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hidePivotFieldList="1" defaultThemeVersion="166925"/>
  <mc:AlternateContent xmlns:mc="http://schemas.openxmlformats.org/markup-compatibility/2006">
    <mc:Choice Requires="x15">
      <x15ac:absPath xmlns:x15ac="http://schemas.microsoft.com/office/spreadsheetml/2010/11/ac" url="C:\Users\palab\OneDrive\Desktop\"/>
    </mc:Choice>
  </mc:AlternateContent>
  <xr:revisionPtr revIDLastSave="0" documentId="8_{EBB99604-C953-4659-ABDA-8357594CB7CC}" xr6:coauthVersionLast="47" xr6:coauthVersionMax="47" xr10:uidLastSave="{00000000-0000-0000-0000-000000000000}"/>
  <bookViews>
    <workbookView xWindow="-108" yWindow="-108" windowWidth="23256" windowHeight="12456" xr2:uid="{67FCBC80-C2CB-4C0D-8F79-286FA614FFCB}"/>
  </bookViews>
  <sheets>
    <sheet name="FNP Sales Analysis" sheetId="3" r:id="rId1"/>
    <sheet name="Pivot" sheetId="2" r:id="rId2"/>
    <sheet name="orders" sheetId="1" r:id="rId3"/>
  </sheets>
  <externalReferences>
    <externalReference r:id="rId4"/>
    <externalReference r:id="rId5"/>
  </externalReferences>
  <definedNames>
    <definedName name="NativeTimeline_Delivery_Date">#N/A</definedName>
    <definedName name="NativeTimeline_Order_Date">#N/A</definedName>
    <definedName name="Slicer_Occasion">#N/A</definedName>
  </definedNames>
  <calcPr calcId="0"/>
  <pivotCaches>
    <pivotCache cacheId="23" r:id="rId6"/>
    <pivotCache cacheId="3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 r:id="rId10"/>
      </x15:timelineCacheRef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2" i="1"/>
  <c r="M18" i="2" s="1"/>
  <c r="G3" i="1"/>
  <c r="S3" i="1" s="1"/>
  <c r="G4" i="1"/>
  <c r="S4" i="1" s="1"/>
  <c r="G5" i="1"/>
  <c r="S5" i="1" s="1"/>
  <c r="G6" i="1"/>
  <c r="S6" i="1" s="1"/>
  <c r="G7" i="1"/>
  <c r="S7" i="1" s="1"/>
  <c r="G8" i="1"/>
  <c r="S8" i="1" s="1"/>
  <c r="G9" i="1"/>
  <c r="S9" i="1" s="1"/>
  <c r="G10" i="1"/>
  <c r="S10" i="1" s="1"/>
  <c r="G11" i="1"/>
  <c r="S11" i="1" s="1"/>
  <c r="G12" i="1"/>
  <c r="S12" i="1" s="1"/>
  <c r="G13" i="1"/>
  <c r="S13" i="1" s="1"/>
  <c r="G14" i="1"/>
  <c r="S14" i="1" s="1"/>
  <c r="G15" i="1"/>
  <c r="S15" i="1" s="1"/>
  <c r="G16" i="1"/>
  <c r="S16" i="1" s="1"/>
  <c r="G17" i="1"/>
  <c r="S17" i="1" s="1"/>
  <c r="G18" i="1"/>
  <c r="S18" i="1" s="1"/>
  <c r="G19" i="1"/>
  <c r="S19" i="1" s="1"/>
  <c r="G20" i="1"/>
  <c r="S20" i="1" s="1"/>
  <c r="G21" i="1"/>
  <c r="S21" i="1" s="1"/>
  <c r="G22" i="1"/>
  <c r="S22" i="1" s="1"/>
  <c r="G23" i="1"/>
  <c r="S23" i="1" s="1"/>
  <c r="G24" i="1"/>
  <c r="S24" i="1" s="1"/>
  <c r="G25" i="1"/>
  <c r="S25" i="1" s="1"/>
  <c r="G26" i="1"/>
  <c r="S26" i="1" s="1"/>
  <c r="G27" i="1"/>
  <c r="S27" i="1" s="1"/>
  <c r="G28" i="1"/>
  <c r="S28" i="1" s="1"/>
  <c r="G29" i="1"/>
  <c r="S29" i="1" s="1"/>
  <c r="G30" i="1"/>
  <c r="S30" i="1" s="1"/>
  <c r="G31" i="1"/>
  <c r="S31" i="1" s="1"/>
  <c r="G32" i="1"/>
  <c r="S32" i="1" s="1"/>
  <c r="G33" i="1"/>
  <c r="S33" i="1" s="1"/>
  <c r="G34" i="1"/>
  <c r="S34" i="1" s="1"/>
  <c r="G35" i="1"/>
  <c r="S35" i="1" s="1"/>
  <c r="G36" i="1"/>
  <c r="S36" i="1" s="1"/>
  <c r="G37" i="1"/>
  <c r="S37" i="1" s="1"/>
  <c r="G38" i="1"/>
  <c r="S38" i="1" s="1"/>
  <c r="G39" i="1"/>
  <c r="S39" i="1" s="1"/>
  <c r="G40" i="1"/>
  <c r="S40" i="1" s="1"/>
  <c r="G41" i="1"/>
  <c r="S41" i="1" s="1"/>
  <c r="G42" i="1"/>
  <c r="S42" i="1" s="1"/>
  <c r="G43" i="1"/>
  <c r="S43" i="1" s="1"/>
  <c r="G44" i="1"/>
  <c r="S44" i="1" s="1"/>
  <c r="G45" i="1"/>
  <c r="S45" i="1" s="1"/>
  <c r="G46" i="1"/>
  <c r="S46" i="1" s="1"/>
  <c r="G47" i="1"/>
  <c r="S47" i="1" s="1"/>
  <c r="G48" i="1"/>
  <c r="S48" i="1" s="1"/>
  <c r="G49" i="1"/>
  <c r="S49" i="1" s="1"/>
  <c r="G50" i="1"/>
  <c r="S50" i="1" s="1"/>
  <c r="G51" i="1"/>
  <c r="S51" i="1" s="1"/>
  <c r="G52" i="1"/>
  <c r="S52" i="1" s="1"/>
  <c r="G53" i="1"/>
  <c r="S53" i="1" s="1"/>
  <c r="G54" i="1"/>
  <c r="S54" i="1" s="1"/>
  <c r="G55" i="1"/>
  <c r="S55" i="1" s="1"/>
  <c r="G56" i="1"/>
  <c r="S56" i="1" s="1"/>
  <c r="G57" i="1"/>
  <c r="S57" i="1" s="1"/>
  <c r="G58" i="1"/>
  <c r="S58" i="1" s="1"/>
  <c r="G59" i="1"/>
  <c r="S59" i="1" s="1"/>
  <c r="G60" i="1"/>
  <c r="S60" i="1" s="1"/>
  <c r="G61" i="1"/>
  <c r="S61" i="1" s="1"/>
  <c r="G62" i="1"/>
  <c r="S62" i="1" s="1"/>
  <c r="G63" i="1"/>
  <c r="S63" i="1" s="1"/>
  <c r="G64" i="1"/>
  <c r="S64" i="1" s="1"/>
  <c r="G65" i="1"/>
  <c r="S65" i="1" s="1"/>
  <c r="G66" i="1"/>
  <c r="S66" i="1" s="1"/>
  <c r="G67" i="1"/>
  <c r="S67" i="1" s="1"/>
  <c r="G68" i="1"/>
  <c r="S68" i="1" s="1"/>
  <c r="G69" i="1"/>
  <c r="S69" i="1" s="1"/>
  <c r="G70" i="1"/>
  <c r="S70" i="1" s="1"/>
  <c r="G71" i="1"/>
  <c r="S71" i="1" s="1"/>
  <c r="G72" i="1"/>
  <c r="S72" i="1" s="1"/>
  <c r="G73" i="1"/>
  <c r="S73" i="1" s="1"/>
  <c r="G74" i="1"/>
  <c r="S74" i="1" s="1"/>
  <c r="G75" i="1"/>
  <c r="S75" i="1" s="1"/>
  <c r="G76" i="1"/>
  <c r="S76" i="1" s="1"/>
  <c r="G77" i="1"/>
  <c r="S77" i="1" s="1"/>
  <c r="G78" i="1"/>
  <c r="S78" i="1" s="1"/>
  <c r="G79" i="1"/>
  <c r="S79" i="1" s="1"/>
  <c r="G80" i="1"/>
  <c r="S80" i="1" s="1"/>
  <c r="G81" i="1"/>
  <c r="S81" i="1" s="1"/>
  <c r="G82" i="1"/>
  <c r="S82" i="1" s="1"/>
  <c r="G83" i="1"/>
  <c r="S83" i="1" s="1"/>
  <c r="G84" i="1"/>
  <c r="S84" i="1" s="1"/>
  <c r="G85" i="1"/>
  <c r="S85" i="1" s="1"/>
  <c r="G86" i="1"/>
  <c r="S86" i="1" s="1"/>
  <c r="G87" i="1"/>
  <c r="S87" i="1" s="1"/>
  <c r="G88" i="1"/>
  <c r="S88" i="1" s="1"/>
  <c r="G89" i="1"/>
  <c r="S89" i="1" s="1"/>
  <c r="G90" i="1"/>
  <c r="S90" i="1" s="1"/>
  <c r="G91" i="1"/>
  <c r="S91" i="1" s="1"/>
  <c r="G92" i="1"/>
  <c r="S92" i="1" s="1"/>
  <c r="G93" i="1"/>
  <c r="S93" i="1" s="1"/>
  <c r="G94" i="1"/>
  <c r="S94" i="1" s="1"/>
  <c r="G95" i="1"/>
  <c r="S95" i="1" s="1"/>
  <c r="G96" i="1"/>
  <c r="S96" i="1" s="1"/>
  <c r="G97" i="1"/>
  <c r="S97" i="1" s="1"/>
  <c r="G98" i="1"/>
  <c r="S98" i="1" s="1"/>
  <c r="G99" i="1"/>
  <c r="S99" i="1" s="1"/>
  <c r="G100" i="1"/>
  <c r="S100" i="1" s="1"/>
  <c r="G101" i="1"/>
  <c r="S101" i="1" s="1"/>
  <c r="G102" i="1"/>
  <c r="S102" i="1" s="1"/>
  <c r="G103" i="1"/>
  <c r="S103" i="1" s="1"/>
  <c r="G104" i="1"/>
  <c r="S104" i="1" s="1"/>
  <c r="G105" i="1"/>
  <c r="S105" i="1" s="1"/>
  <c r="G106" i="1"/>
  <c r="S106" i="1" s="1"/>
  <c r="G107" i="1"/>
  <c r="S107" i="1" s="1"/>
  <c r="G108" i="1"/>
  <c r="S108" i="1" s="1"/>
  <c r="G109" i="1"/>
  <c r="S109" i="1" s="1"/>
  <c r="G110" i="1"/>
  <c r="S110" i="1" s="1"/>
  <c r="G111" i="1"/>
  <c r="S111" i="1" s="1"/>
  <c r="G112" i="1"/>
  <c r="S112" i="1" s="1"/>
  <c r="G113" i="1"/>
  <c r="S113" i="1" s="1"/>
  <c r="G114" i="1"/>
  <c r="S114" i="1" s="1"/>
  <c r="G115" i="1"/>
  <c r="S115" i="1" s="1"/>
  <c r="G116" i="1"/>
  <c r="S116" i="1" s="1"/>
  <c r="G117" i="1"/>
  <c r="S117" i="1" s="1"/>
  <c r="G118" i="1"/>
  <c r="S118" i="1" s="1"/>
  <c r="G119" i="1"/>
  <c r="S119" i="1" s="1"/>
  <c r="G120" i="1"/>
  <c r="S120" i="1" s="1"/>
  <c r="G121" i="1"/>
  <c r="S121" i="1" s="1"/>
  <c r="G122" i="1"/>
  <c r="S122" i="1" s="1"/>
  <c r="G123" i="1"/>
  <c r="S123" i="1" s="1"/>
  <c r="G124" i="1"/>
  <c r="S124" i="1" s="1"/>
  <c r="G125" i="1"/>
  <c r="S125" i="1" s="1"/>
  <c r="G126" i="1"/>
  <c r="S126" i="1" s="1"/>
  <c r="G127" i="1"/>
  <c r="S127" i="1" s="1"/>
  <c r="G128" i="1"/>
  <c r="S128" i="1" s="1"/>
  <c r="G129" i="1"/>
  <c r="S129" i="1" s="1"/>
  <c r="G130" i="1"/>
  <c r="S130" i="1" s="1"/>
  <c r="G131" i="1"/>
  <c r="S131" i="1" s="1"/>
  <c r="G132" i="1"/>
  <c r="S132" i="1" s="1"/>
  <c r="G133" i="1"/>
  <c r="S133" i="1" s="1"/>
  <c r="G134" i="1"/>
  <c r="S134" i="1" s="1"/>
  <c r="G135" i="1"/>
  <c r="S135" i="1" s="1"/>
  <c r="G136" i="1"/>
  <c r="S136" i="1" s="1"/>
  <c r="G137" i="1"/>
  <c r="S137" i="1" s="1"/>
  <c r="G138" i="1"/>
  <c r="S138" i="1" s="1"/>
  <c r="G139" i="1"/>
  <c r="S139" i="1" s="1"/>
  <c r="G140" i="1"/>
  <c r="S140" i="1" s="1"/>
  <c r="G141" i="1"/>
  <c r="S141" i="1" s="1"/>
  <c r="G142" i="1"/>
  <c r="S142" i="1" s="1"/>
  <c r="G143" i="1"/>
  <c r="S143" i="1" s="1"/>
  <c r="G144" i="1"/>
  <c r="S144" i="1" s="1"/>
  <c r="G145" i="1"/>
  <c r="S145" i="1" s="1"/>
  <c r="G146" i="1"/>
  <c r="S146" i="1" s="1"/>
  <c r="G147" i="1"/>
  <c r="S147" i="1" s="1"/>
  <c r="G148" i="1"/>
  <c r="S148" i="1" s="1"/>
  <c r="G149" i="1"/>
  <c r="S149" i="1" s="1"/>
  <c r="G150" i="1"/>
  <c r="S150" i="1" s="1"/>
  <c r="G151" i="1"/>
  <c r="S151" i="1" s="1"/>
  <c r="G152" i="1"/>
  <c r="S152" i="1" s="1"/>
  <c r="G153" i="1"/>
  <c r="S153" i="1" s="1"/>
  <c r="G154" i="1"/>
  <c r="S154" i="1" s="1"/>
  <c r="G155" i="1"/>
  <c r="S155" i="1" s="1"/>
  <c r="G156" i="1"/>
  <c r="S156" i="1" s="1"/>
  <c r="G157" i="1"/>
  <c r="S157" i="1" s="1"/>
  <c r="G158" i="1"/>
  <c r="S158" i="1" s="1"/>
  <c r="G159" i="1"/>
  <c r="S159" i="1" s="1"/>
  <c r="G160" i="1"/>
  <c r="S160" i="1" s="1"/>
  <c r="G161" i="1"/>
  <c r="S161" i="1" s="1"/>
  <c r="G162" i="1"/>
  <c r="S162" i="1" s="1"/>
  <c r="G163" i="1"/>
  <c r="S163" i="1" s="1"/>
  <c r="G164" i="1"/>
  <c r="S164" i="1" s="1"/>
  <c r="G165" i="1"/>
  <c r="S165" i="1" s="1"/>
  <c r="G166" i="1"/>
  <c r="S166" i="1" s="1"/>
  <c r="G167" i="1"/>
  <c r="S167" i="1" s="1"/>
  <c r="G168" i="1"/>
  <c r="S168" i="1" s="1"/>
  <c r="G169" i="1"/>
  <c r="S169" i="1" s="1"/>
  <c r="G170" i="1"/>
  <c r="S170" i="1" s="1"/>
  <c r="G171" i="1"/>
  <c r="S171" i="1" s="1"/>
  <c r="G172" i="1"/>
  <c r="S172" i="1" s="1"/>
  <c r="G173" i="1"/>
  <c r="S173" i="1" s="1"/>
  <c r="G174" i="1"/>
  <c r="S174" i="1" s="1"/>
  <c r="G175" i="1"/>
  <c r="S175" i="1" s="1"/>
  <c r="G176" i="1"/>
  <c r="S176" i="1" s="1"/>
  <c r="G177" i="1"/>
  <c r="S177" i="1" s="1"/>
  <c r="G178" i="1"/>
  <c r="S178" i="1" s="1"/>
  <c r="G179" i="1"/>
  <c r="S179" i="1" s="1"/>
  <c r="G180" i="1"/>
  <c r="S180" i="1" s="1"/>
  <c r="G181" i="1"/>
  <c r="S181" i="1" s="1"/>
  <c r="G182" i="1"/>
  <c r="S182" i="1" s="1"/>
  <c r="G183" i="1"/>
  <c r="S183" i="1" s="1"/>
  <c r="G184" i="1"/>
  <c r="S184" i="1" s="1"/>
  <c r="G185" i="1"/>
  <c r="S185" i="1" s="1"/>
  <c r="G186" i="1"/>
  <c r="S186" i="1" s="1"/>
  <c r="G187" i="1"/>
  <c r="S187" i="1" s="1"/>
  <c r="G188" i="1"/>
  <c r="S188" i="1" s="1"/>
  <c r="G189" i="1"/>
  <c r="S189" i="1" s="1"/>
  <c r="G190" i="1"/>
  <c r="S190" i="1" s="1"/>
  <c r="G191" i="1"/>
  <c r="S191" i="1" s="1"/>
  <c r="G192" i="1"/>
  <c r="S192" i="1" s="1"/>
  <c r="G193" i="1"/>
  <c r="S193" i="1" s="1"/>
  <c r="G194" i="1"/>
  <c r="S194" i="1" s="1"/>
  <c r="G195" i="1"/>
  <c r="S195" i="1" s="1"/>
  <c r="G196" i="1"/>
  <c r="S196" i="1" s="1"/>
  <c r="G197" i="1"/>
  <c r="S197" i="1" s="1"/>
  <c r="G198" i="1"/>
  <c r="S198" i="1" s="1"/>
  <c r="G199" i="1"/>
  <c r="S199" i="1" s="1"/>
  <c r="G200" i="1"/>
  <c r="S200" i="1" s="1"/>
  <c r="G201" i="1"/>
  <c r="S201" i="1" s="1"/>
  <c r="G202" i="1"/>
  <c r="S202" i="1" s="1"/>
  <c r="G203" i="1"/>
  <c r="S203" i="1" s="1"/>
  <c r="G204" i="1"/>
  <c r="S204" i="1" s="1"/>
  <c r="G205" i="1"/>
  <c r="S205" i="1" s="1"/>
  <c r="G206" i="1"/>
  <c r="S206" i="1" s="1"/>
  <c r="G207" i="1"/>
  <c r="S207" i="1" s="1"/>
  <c r="G208" i="1"/>
  <c r="S208" i="1" s="1"/>
  <c r="G209" i="1"/>
  <c r="S209" i="1" s="1"/>
  <c r="G210" i="1"/>
  <c r="S210" i="1" s="1"/>
  <c r="G211" i="1"/>
  <c r="S211" i="1" s="1"/>
  <c r="G212" i="1"/>
  <c r="S212" i="1" s="1"/>
  <c r="G213" i="1"/>
  <c r="S213" i="1" s="1"/>
  <c r="G214" i="1"/>
  <c r="S214" i="1" s="1"/>
  <c r="G215" i="1"/>
  <c r="S215" i="1" s="1"/>
  <c r="G216" i="1"/>
  <c r="S216" i="1" s="1"/>
  <c r="G217" i="1"/>
  <c r="S217" i="1" s="1"/>
  <c r="G218" i="1"/>
  <c r="S218" i="1" s="1"/>
  <c r="G219" i="1"/>
  <c r="S219" i="1" s="1"/>
  <c r="G220" i="1"/>
  <c r="S220" i="1" s="1"/>
  <c r="G221" i="1"/>
  <c r="S221" i="1" s="1"/>
  <c r="G222" i="1"/>
  <c r="S222" i="1" s="1"/>
  <c r="G223" i="1"/>
  <c r="S223" i="1" s="1"/>
  <c r="G224" i="1"/>
  <c r="S224" i="1" s="1"/>
  <c r="G225" i="1"/>
  <c r="S225" i="1" s="1"/>
  <c r="G226" i="1"/>
  <c r="S226" i="1" s="1"/>
  <c r="G227" i="1"/>
  <c r="S227" i="1" s="1"/>
  <c r="G228" i="1"/>
  <c r="S228" i="1" s="1"/>
  <c r="G229" i="1"/>
  <c r="S229" i="1" s="1"/>
  <c r="G230" i="1"/>
  <c r="S230" i="1" s="1"/>
  <c r="G231" i="1"/>
  <c r="S231" i="1" s="1"/>
  <c r="G232" i="1"/>
  <c r="S232" i="1" s="1"/>
  <c r="G233" i="1"/>
  <c r="S233" i="1" s="1"/>
  <c r="G234" i="1"/>
  <c r="S234" i="1" s="1"/>
  <c r="G235" i="1"/>
  <c r="S235" i="1" s="1"/>
  <c r="G236" i="1"/>
  <c r="S236" i="1" s="1"/>
  <c r="G237" i="1"/>
  <c r="S237" i="1" s="1"/>
  <c r="G238" i="1"/>
  <c r="S238" i="1" s="1"/>
  <c r="G239" i="1"/>
  <c r="S239" i="1" s="1"/>
  <c r="G240" i="1"/>
  <c r="S240" i="1" s="1"/>
  <c r="G241" i="1"/>
  <c r="S241" i="1" s="1"/>
  <c r="G242" i="1"/>
  <c r="S242" i="1" s="1"/>
  <c r="G243" i="1"/>
  <c r="S243" i="1" s="1"/>
  <c r="G244" i="1"/>
  <c r="S244" i="1" s="1"/>
  <c r="G245" i="1"/>
  <c r="S245" i="1" s="1"/>
  <c r="G246" i="1"/>
  <c r="S246" i="1" s="1"/>
  <c r="G247" i="1"/>
  <c r="S247" i="1" s="1"/>
  <c r="G248" i="1"/>
  <c r="S248" i="1" s="1"/>
  <c r="G249" i="1"/>
  <c r="S249" i="1" s="1"/>
  <c r="G250" i="1"/>
  <c r="S250" i="1" s="1"/>
  <c r="G251" i="1"/>
  <c r="S251" i="1" s="1"/>
  <c r="G252" i="1"/>
  <c r="S252" i="1" s="1"/>
  <c r="G253" i="1"/>
  <c r="S253" i="1" s="1"/>
  <c r="G254" i="1"/>
  <c r="S254" i="1" s="1"/>
  <c r="G255" i="1"/>
  <c r="S255" i="1" s="1"/>
  <c r="G256" i="1"/>
  <c r="S256" i="1" s="1"/>
  <c r="G257" i="1"/>
  <c r="S257" i="1" s="1"/>
  <c r="G258" i="1"/>
  <c r="S258" i="1" s="1"/>
  <c r="G259" i="1"/>
  <c r="S259" i="1" s="1"/>
  <c r="G260" i="1"/>
  <c r="S260" i="1" s="1"/>
  <c r="G261" i="1"/>
  <c r="S261" i="1" s="1"/>
  <c r="G262" i="1"/>
  <c r="S262" i="1" s="1"/>
  <c r="G263" i="1"/>
  <c r="S263" i="1" s="1"/>
  <c r="G264" i="1"/>
  <c r="S264" i="1" s="1"/>
  <c r="G265" i="1"/>
  <c r="S265" i="1" s="1"/>
  <c r="G266" i="1"/>
  <c r="S266" i="1" s="1"/>
  <c r="G267" i="1"/>
  <c r="S267" i="1" s="1"/>
  <c r="G268" i="1"/>
  <c r="S268" i="1" s="1"/>
  <c r="G269" i="1"/>
  <c r="S269" i="1" s="1"/>
  <c r="G270" i="1"/>
  <c r="S270" i="1" s="1"/>
  <c r="G271" i="1"/>
  <c r="S271" i="1" s="1"/>
  <c r="G272" i="1"/>
  <c r="S272" i="1" s="1"/>
  <c r="G273" i="1"/>
  <c r="S273" i="1" s="1"/>
  <c r="G274" i="1"/>
  <c r="S274" i="1" s="1"/>
  <c r="G275" i="1"/>
  <c r="S275" i="1" s="1"/>
  <c r="G276" i="1"/>
  <c r="S276" i="1" s="1"/>
  <c r="G277" i="1"/>
  <c r="S277" i="1" s="1"/>
  <c r="G278" i="1"/>
  <c r="S278" i="1" s="1"/>
  <c r="G279" i="1"/>
  <c r="S279" i="1" s="1"/>
  <c r="G280" i="1"/>
  <c r="S280" i="1" s="1"/>
  <c r="G281" i="1"/>
  <c r="S281" i="1" s="1"/>
  <c r="G282" i="1"/>
  <c r="S282" i="1" s="1"/>
  <c r="G283" i="1"/>
  <c r="S283" i="1" s="1"/>
  <c r="G284" i="1"/>
  <c r="S284" i="1" s="1"/>
  <c r="G285" i="1"/>
  <c r="S285" i="1" s="1"/>
  <c r="G286" i="1"/>
  <c r="S286" i="1" s="1"/>
  <c r="G287" i="1"/>
  <c r="S287" i="1" s="1"/>
  <c r="G288" i="1"/>
  <c r="S288" i="1" s="1"/>
  <c r="G289" i="1"/>
  <c r="S289" i="1" s="1"/>
  <c r="G290" i="1"/>
  <c r="S290" i="1" s="1"/>
  <c r="G291" i="1"/>
  <c r="S291" i="1" s="1"/>
  <c r="G292" i="1"/>
  <c r="S292" i="1" s="1"/>
  <c r="G293" i="1"/>
  <c r="S293" i="1" s="1"/>
  <c r="G294" i="1"/>
  <c r="S294" i="1" s="1"/>
  <c r="G295" i="1"/>
  <c r="S295" i="1" s="1"/>
  <c r="G296" i="1"/>
  <c r="S296" i="1" s="1"/>
  <c r="G297" i="1"/>
  <c r="S297" i="1" s="1"/>
  <c r="G298" i="1"/>
  <c r="S298" i="1" s="1"/>
  <c r="G299" i="1"/>
  <c r="S299" i="1" s="1"/>
  <c r="G300" i="1"/>
  <c r="S300" i="1" s="1"/>
  <c r="G301" i="1"/>
  <c r="S301" i="1" s="1"/>
  <c r="G302" i="1"/>
  <c r="S302" i="1" s="1"/>
  <c r="G303" i="1"/>
  <c r="S303" i="1" s="1"/>
  <c r="G304" i="1"/>
  <c r="S304" i="1" s="1"/>
  <c r="G305" i="1"/>
  <c r="S305" i="1" s="1"/>
  <c r="G306" i="1"/>
  <c r="S306" i="1" s="1"/>
  <c r="G307" i="1"/>
  <c r="S307" i="1" s="1"/>
  <c r="G308" i="1"/>
  <c r="S308" i="1" s="1"/>
  <c r="G309" i="1"/>
  <c r="S309" i="1" s="1"/>
  <c r="G310" i="1"/>
  <c r="S310" i="1" s="1"/>
  <c r="G311" i="1"/>
  <c r="S311" i="1" s="1"/>
  <c r="G312" i="1"/>
  <c r="S312" i="1" s="1"/>
  <c r="G313" i="1"/>
  <c r="S313" i="1" s="1"/>
  <c r="G314" i="1"/>
  <c r="S314" i="1" s="1"/>
  <c r="G315" i="1"/>
  <c r="S315" i="1" s="1"/>
  <c r="G316" i="1"/>
  <c r="S316" i="1" s="1"/>
  <c r="G317" i="1"/>
  <c r="S317" i="1" s="1"/>
  <c r="G318" i="1"/>
  <c r="S318" i="1" s="1"/>
  <c r="G319" i="1"/>
  <c r="S319" i="1" s="1"/>
  <c r="G320" i="1"/>
  <c r="S320" i="1" s="1"/>
  <c r="G321" i="1"/>
  <c r="S321" i="1" s="1"/>
  <c r="G322" i="1"/>
  <c r="S322" i="1" s="1"/>
  <c r="G323" i="1"/>
  <c r="S323" i="1" s="1"/>
  <c r="G324" i="1"/>
  <c r="S324" i="1" s="1"/>
  <c r="G325" i="1"/>
  <c r="S325" i="1" s="1"/>
  <c r="G326" i="1"/>
  <c r="S326" i="1" s="1"/>
  <c r="G327" i="1"/>
  <c r="S327" i="1" s="1"/>
  <c r="G328" i="1"/>
  <c r="S328" i="1" s="1"/>
  <c r="G329" i="1"/>
  <c r="S329" i="1" s="1"/>
  <c r="G330" i="1"/>
  <c r="S330" i="1" s="1"/>
  <c r="G331" i="1"/>
  <c r="S331" i="1" s="1"/>
  <c r="G332" i="1"/>
  <c r="S332" i="1" s="1"/>
  <c r="G333" i="1"/>
  <c r="S333" i="1" s="1"/>
  <c r="G334" i="1"/>
  <c r="S334" i="1" s="1"/>
  <c r="G335" i="1"/>
  <c r="S335" i="1" s="1"/>
  <c r="G336" i="1"/>
  <c r="S336" i="1" s="1"/>
  <c r="G337" i="1"/>
  <c r="S337" i="1" s="1"/>
  <c r="G338" i="1"/>
  <c r="S338" i="1" s="1"/>
  <c r="G339" i="1"/>
  <c r="S339" i="1" s="1"/>
  <c r="G340" i="1"/>
  <c r="S340" i="1" s="1"/>
  <c r="G341" i="1"/>
  <c r="S341" i="1" s="1"/>
  <c r="G342" i="1"/>
  <c r="S342" i="1" s="1"/>
  <c r="G343" i="1"/>
  <c r="S343" i="1" s="1"/>
  <c r="G344" i="1"/>
  <c r="S344" i="1" s="1"/>
  <c r="G345" i="1"/>
  <c r="S345" i="1" s="1"/>
  <c r="G346" i="1"/>
  <c r="S346" i="1" s="1"/>
  <c r="G347" i="1"/>
  <c r="S347" i="1" s="1"/>
  <c r="G348" i="1"/>
  <c r="S348" i="1" s="1"/>
  <c r="G349" i="1"/>
  <c r="S349" i="1" s="1"/>
  <c r="G350" i="1"/>
  <c r="S350" i="1" s="1"/>
  <c r="G351" i="1"/>
  <c r="S351" i="1" s="1"/>
  <c r="G352" i="1"/>
  <c r="S352" i="1" s="1"/>
  <c r="G353" i="1"/>
  <c r="S353" i="1" s="1"/>
  <c r="G354" i="1"/>
  <c r="S354" i="1" s="1"/>
  <c r="G355" i="1"/>
  <c r="S355" i="1" s="1"/>
  <c r="G356" i="1"/>
  <c r="S356" i="1" s="1"/>
  <c r="G357" i="1"/>
  <c r="S357" i="1" s="1"/>
  <c r="G358" i="1"/>
  <c r="S358" i="1" s="1"/>
  <c r="G359" i="1"/>
  <c r="S359" i="1" s="1"/>
  <c r="G360" i="1"/>
  <c r="S360" i="1" s="1"/>
  <c r="G361" i="1"/>
  <c r="S361" i="1" s="1"/>
  <c r="G362" i="1"/>
  <c r="S362" i="1" s="1"/>
  <c r="G363" i="1"/>
  <c r="S363" i="1" s="1"/>
  <c r="G364" i="1"/>
  <c r="S364" i="1" s="1"/>
  <c r="G365" i="1"/>
  <c r="S365" i="1" s="1"/>
  <c r="G366" i="1"/>
  <c r="S366" i="1" s="1"/>
  <c r="G367" i="1"/>
  <c r="S367" i="1" s="1"/>
  <c r="G368" i="1"/>
  <c r="S368" i="1" s="1"/>
  <c r="G369" i="1"/>
  <c r="S369" i="1" s="1"/>
  <c r="G370" i="1"/>
  <c r="S370" i="1" s="1"/>
  <c r="G371" i="1"/>
  <c r="S371" i="1" s="1"/>
  <c r="G372" i="1"/>
  <c r="S372" i="1" s="1"/>
  <c r="G373" i="1"/>
  <c r="S373" i="1" s="1"/>
  <c r="G374" i="1"/>
  <c r="S374" i="1" s="1"/>
  <c r="G375" i="1"/>
  <c r="S375" i="1" s="1"/>
  <c r="G376" i="1"/>
  <c r="S376" i="1" s="1"/>
  <c r="G377" i="1"/>
  <c r="S377" i="1" s="1"/>
  <c r="G378" i="1"/>
  <c r="S378" i="1" s="1"/>
  <c r="G379" i="1"/>
  <c r="S379" i="1" s="1"/>
  <c r="G380" i="1"/>
  <c r="S380" i="1" s="1"/>
  <c r="G381" i="1"/>
  <c r="S381" i="1" s="1"/>
  <c r="G382" i="1"/>
  <c r="S382" i="1" s="1"/>
  <c r="G383" i="1"/>
  <c r="S383" i="1" s="1"/>
  <c r="G384" i="1"/>
  <c r="S384" i="1" s="1"/>
  <c r="G385" i="1"/>
  <c r="S385" i="1" s="1"/>
  <c r="G386" i="1"/>
  <c r="S386" i="1" s="1"/>
  <c r="G387" i="1"/>
  <c r="S387" i="1" s="1"/>
  <c r="G388" i="1"/>
  <c r="S388" i="1" s="1"/>
  <c r="G389" i="1"/>
  <c r="S389" i="1" s="1"/>
  <c r="G390" i="1"/>
  <c r="S390" i="1" s="1"/>
  <c r="G391" i="1"/>
  <c r="S391" i="1" s="1"/>
  <c r="G392" i="1"/>
  <c r="S392" i="1" s="1"/>
  <c r="G393" i="1"/>
  <c r="S393" i="1" s="1"/>
  <c r="G394" i="1"/>
  <c r="S394" i="1" s="1"/>
  <c r="G395" i="1"/>
  <c r="S395" i="1" s="1"/>
  <c r="G396" i="1"/>
  <c r="S396" i="1" s="1"/>
  <c r="G397" i="1"/>
  <c r="S397" i="1" s="1"/>
  <c r="G398" i="1"/>
  <c r="S398" i="1" s="1"/>
  <c r="G399" i="1"/>
  <c r="S399" i="1" s="1"/>
  <c r="G400" i="1"/>
  <c r="S400" i="1" s="1"/>
  <c r="G401" i="1"/>
  <c r="S401" i="1" s="1"/>
  <c r="G402" i="1"/>
  <c r="S402" i="1" s="1"/>
  <c r="G403" i="1"/>
  <c r="S403" i="1" s="1"/>
  <c r="G404" i="1"/>
  <c r="S404" i="1" s="1"/>
  <c r="G405" i="1"/>
  <c r="S405" i="1" s="1"/>
  <c r="G406" i="1"/>
  <c r="S406" i="1" s="1"/>
  <c r="G407" i="1"/>
  <c r="S407" i="1" s="1"/>
  <c r="G408" i="1"/>
  <c r="S408" i="1" s="1"/>
  <c r="G409" i="1"/>
  <c r="S409" i="1" s="1"/>
  <c r="G410" i="1"/>
  <c r="S410" i="1" s="1"/>
  <c r="G411" i="1"/>
  <c r="S411" i="1" s="1"/>
  <c r="G412" i="1"/>
  <c r="S412" i="1" s="1"/>
  <c r="G413" i="1"/>
  <c r="S413" i="1" s="1"/>
  <c r="G414" i="1"/>
  <c r="S414" i="1" s="1"/>
  <c r="G415" i="1"/>
  <c r="S415" i="1" s="1"/>
  <c r="G416" i="1"/>
  <c r="S416" i="1" s="1"/>
  <c r="G417" i="1"/>
  <c r="S417" i="1" s="1"/>
  <c r="G418" i="1"/>
  <c r="S418" i="1" s="1"/>
  <c r="G419" i="1"/>
  <c r="S419" i="1" s="1"/>
  <c r="G420" i="1"/>
  <c r="S420" i="1" s="1"/>
  <c r="G421" i="1"/>
  <c r="S421" i="1" s="1"/>
  <c r="G422" i="1"/>
  <c r="S422" i="1" s="1"/>
  <c r="G423" i="1"/>
  <c r="S423" i="1" s="1"/>
  <c r="G424" i="1"/>
  <c r="S424" i="1" s="1"/>
  <c r="G425" i="1"/>
  <c r="S425" i="1" s="1"/>
  <c r="G426" i="1"/>
  <c r="S426" i="1" s="1"/>
  <c r="G427" i="1"/>
  <c r="S427" i="1" s="1"/>
  <c r="G428" i="1"/>
  <c r="S428" i="1" s="1"/>
  <c r="G429" i="1"/>
  <c r="S429" i="1" s="1"/>
  <c r="G430" i="1"/>
  <c r="S430" i="1" s="1"/>
  <c r="G431" i="1"/>
  <c r="S431" i="1" s="1"/>
  <c r="G432" i="1"/>
  <c r="S432" i="1" s="1"/>
  <c r="G433" i="1"/>
  <c r="S433" i="1" s="1"/>
  <c r="G434" i="1"/>
  <c r="S434" i="1" s="1"/>
  <c r="G435" i="1"/>
  <c r="S435" i="1" s="1"/>
  <c r="G436" i="1"/>
  <c r="S436" i="1" s="1"/>
  <c r="G437" i="1"/>
  <c r="S437" i="1" s="1"/>
  <c r="G438" i="1"/>
  <c r="S438" i="1" s="1"/>
  <c r="G439" i="1"/>
  <c r="S439" i="1" s="1"/>
  <c r="G440" i="1"/>
  <c r="S440" i="1" s="1"/>
  <c r="G441" i="1"/>
  <c r="S441" i="1" s="1"/>
  <c r="G442" i="1"/>
  <c r="S442" i="1" s="1"/>
  <c r="G443" i="1"/>
  <c r="S443" i="1" s="1"/>
  <c r="G444" i="1"/>
  <c r="S444" i="1" s="1"/>
  <c r="G445" i="1"/>
  <c r="S445" i="1" s="1"/>
  <c r="G446" i="1"/>
  <c r="S446" i="1" s="1"/>
  <c r="G447" i="1"/>
  <c r="S447" i="1" s="1"/>
  <c r="G448" i="1"/>
  <c r="S448" i="1" s="1"/>
  <c r="G449" i="1"/>
  <c r="S449" i="1" s="1"/>
  <c r="G450" i="1"/>
  <c r="S450" i="1" s="1"/>
  <c r="G451" i="1"/>
  <c r="S451" i="1" s="1"/>
  <c r="G452" i="1"/>
  <c r="S452" i="1" s="1"/>
  <c r="G453" i="1"/>
  <c r="S453" i="1" s="1"/>
  <c r="G454" i="1"/>
  <c r="S454" i="1" s="1"/>
  <c r="G455" i="1"/>
  <c r="S455" i="1" s="1"/>
  <c r="G456" i="1"/>
  <c r="S456" i="1" s="1"/>
  <c r="G457" i="1"/>
  <c r="S457" i="1" s="1"/>
  <c r="G458" i="1"/>
  <c r="S458" i="1" s="1"/>
  <c r="G459" i="1"/>
  <c r="S459" i="1" s="1"/>
  <c r="G460" i="1"/>
  <c r="S460" i="1" s="1"/>
  <c r="G461" i="1"/>
  <c r="S461" i="1" s="1"/>
  <c r="G462" i="1"/>
  <c r="S462" i="1" s="1"/>
  <c r="G463" i="1"/>
  <c r="S463" i="1" s="1"/>
  <c r="G464" i="1"/>
  <c r="S464" i="1" s="1"/>
  <c r="G465" i="1"/>
  <c r="S465" i="1" s="1"/>
  <c r="G466" i="1"/>
  <c r="S466" i="1" s="1"/>
  <c r="G467" i="1"/>
  <c r="S467" i="1" s="1"/>
  <c r="G468" i="1"/>
  <c r="S468" i="1" s="1"/>
  <c r="G469" i="1"/>
  <c r="S469" i="1" s="1"/>
  <c r="G470" i="1"/>
  <c r="S470" i="1" s="1"/>
  <c r="G471" i="1"/>
  <c r="S471" i="1" s="1"/>
  <c r="G472" i="1"/>
  <c r="S472" i="1" s="1"/>
  <c r="G473" i="1"/>
  <c r="S473" i="1" s="1"/>
  <c r="G474" i="1"/>
  <c r="S474" i="1" s="1"/>
  <c r="G475" i="1"/>
  <c r="S475" i="1" s="1"/>
  <c r="G476" i="1"/>
  <c r="S476" i="1" s="1"/>
  <c r="G477" i="1"/>
  <c r="S477" i="1" s="1"/>
  <c r="G478" i="1"/>
  <c r="S478" i="1" s="1"/>
  <c r="G479" i="1"/>
  <c r="S479" i="1" s="1"/>
  <c r="G480" i="1"/>
  <c r="S480" i="1" s="1"/>
  <c r="G481" i="1"/>
  <c r="S481" i="1" s="1"/>
  <c r="G482" i="1"/>
  <c r="S482" i="1" s="1"/>
  <c r="G483" i="1"/>
  <c r="S483" i="1" s="1"/>
  <c r="G484" i="1"/>
  <c r="S484" i="1" s="1"/>
  <c r="G485" i="1"/>
  <c r="S485" i="1" s="1"/>
  <c r="G486" i="1"/>
  <c r="S486" i="1" s="1"/>
  <c r="G487" i="1"/>
  <c r="S487" i="1" s="1"/>
  <c r="G488" i="1"/>
  <c r="S488" i="1" s="1"/>
  <c r="G489" i="1"/>
  <c r="S489" i="1" s="1"/>
  <c r="G490" i="1"/>
  <c r="S490" i="1" s="1"/>
  <c r="G491" i="1"/>
  <c r="S491" i="1" s="1"/>
  <c r="G492" i="1"/>
  <c r="S492" i="1" s="1"/>
  <c r="G493" i="1"/>
  <c r="S493" i="1" s="1"/>
  <c r="G494" i="1"/>
  <c r="S494" i="1" s="1"/>
  <c r="G495" i="1"/>
  <c r="S495" i="1" s="1"/>
  <c r="G496" i="1"/>
  <c r="S496" i="1" s="1"/>
  <c r="G497" i="1"/>
  <c r="S497" i="1" s="1"/>
  <c r="G498" i="1"/>
  <c r="S498" i="1" s="1"/>
  <c r="G499" i="1"/>
  <c r="S499" i="1" s="1"/>
  <c r="G500" i="1"/>
  <c r="S500" i="1" s="1"/>
  <c r="G501" i="1"/>
  <c r="S501" i="1" s="1"/>
  <c r="G502" i="1"/>
  <c r="S502" i="1" s="1"/>
  <c r="G503" i="1"/>
  <c r="S503" i="1" s="1"/>
  <c r="G504" i="1"/>
  <c r="S504" i="1" s="1"/>
  <c r="G505" i="1"/>
  <c r="S505" i="1" s="1"/>
  <c r="G506" i="1"/>
  <c r="S506" i="1" s="1"/>
  <c r="G507" i="1"/>
  <c r="S507" i="1" s="1"/>
  <c r="G508" i="1"/>
  <c r="S508" i="1" s="1"/>
  <c r="G509" i="1"/>
  <c r="S509" i="1" s="1"/>
  <c r="G510" i="1"/>
  <c r="S510" i="1" s="1"/>
  <c r="G511" i="1"/>
  <c r="S511" i="1" s="1"/>
  <c r="G512" i="1"/>
  <c r="S512" i="1" s="1"/>
  <c r="G513" i="1"/>
  <c r="S513" i="1" s="1"/>
  <c r="G514" i="1"/>
  <c r="S514" i="1" s="1"/>
  <c r="G515" i="1"/>
  <c r="S515" i="1" s="1"/>
  <c r="G516" i="1"/>
  <c r="S516" i="1" s="1"/>
  <c r="G517" i="1"/>
  <c r="S517" i="1" s="1"/>
  <c r="G518" i="1"/>
  <c r="S518" i="1" s="1"/>
  <c r="G519" i="1"/>
  <c r="S519" i="1" s="1"/>
  <c r="G520" i="1"/>
  <c r="S520" i="1" s="1"/>
  <c r="G521" i="1"/>
  <c r="S521" i="1" s="1"/>
  <c r="G522" i="1"/>
  <c r="S522" i="1" s="1"/>
  <c r="G523" i="1"/>
  <c r="S523" i="1" s="1"/>
  <c r="G524" i="1"/>
  <c r="S524" i="1" s="1"/>
  <c r="G525" i="1"/>
  <c r="S525" i="1" s="1"/>
  <c r="G526" i="1"/>
  <c r="S526" i="1" s="1"/>
  <c r="G527" i="1"/>
  <c r="S527" i="1" s="1"/>
  <c r="G528" i="1"/>
  <c r="S528" i="1" s="1"/>
  <c r="G529" i="1"/>
  <c r="S529" i="1" s="1"/>
  <c r="G530" i="1"/>
  <c r="S530" i="1" s="1"/>
  <c r="G531" i="1"/>
  <c r="S531" i="1" s="1"/>
  <c r="G532" i="1"/>
  <c r="S532" i="1" s="1"/>
  <c r="G533" i="1"/>
  <c r="S533" i="1" s="1"/>
  <c r="G534" i="1"/>
  <c r="S534" i="1" s="1"/>
  <c r="G535" i="1"/>
  <c r="S535" i="1" s="1"/>
  <c r="G536" i="1"/>
  <c r="S536" i="1" s="1"/>
  <c r="G537" i="1"/>
  <c r="S537" i="1" s="1"/>
  <c r="G538" i="1"/>
  <c r="S538" i="1" s="1"/>
  <c r="G539" i="1"/>
  <c r="S539" i="1" s="1"/>
  <c r="G540" i="1"/>
  <c r="S540" i="1" s="1"/>
  <c r="G541" i="1"/>
  <c r="S541" i="1" s="1"/>
  <c r="G542" i="1"/>
  <c r="S542" i="1" s="1"/>
  <c r="G543" i="1"/>
  <c r="S543" i="1" s="1"/>
  <c r="G544" i="1"/>
  <c r="S544" i="1" s="1"/>
  <c r="G545" i="1"/>
  <c r="S545" i="1" s="1"/>
  <c r="G546" i="1"/>
  <c r="S546" i="1" s="1"/>
  <c r="G547" i="1"/>
  <c r="S547" i="1" s="1"/>
  <c r="G548" i="1"/>
  <c r="S548" i="1" s="1"/>
  <c r="G549" i="1"/>
  <c r="S549" i="1" s="1"/>
  <c r="G550" i="1"/>
  <c r="S550" i="1" s="1"/>
  <c r="G551" i="1"/>
  <c r="S551" i="1" s="1"/>
  <c r="G552" i="1"/>
  <c r="S552" i="1" s="1"/>
  <c r="G553" i="1"/>
  <c r="S553" i="1" s="1"/>
  <c r="G554" i="1"/>
  <c r="S554" i="1" s="1"/>
  <c r="G555" i="1"/>
  <c r="S555" i="1" s="1"/>
  <c r="G556" i="1"/>
  <c r="S556" i="1" s="1"/>
  <c r="G557" i="1"/>
  <c r="S557" i="1" s="1"/>
  <c r="G558" i="1"/>
  <c r="S558" i="1" s="1"/>
  <c r="G559" i="1"/>
  <c r="S559" i="1" s="1"/>
  <c r="G560" i="1"/>
  <c r="S560" i="1" s="1"/>
  <c r="G561" i="1"/>
  <c r="S561" i="1" s="1"/>
  <c r="G562" i="1"/>
  <c r="S562" i="1" s="1"/>
  <c r="G563" i="1"/>
  <c r="S563" i="1" s="1"/>
  <c r="G564" i="1"/>
  <c r="S564" i="1" s="1"/>
  <c r="G565" i="1"/>
  <c r="S565" i="1" s="1"/>
  <c r="G566" i="1"/>
  <c r="S566" i="1" s="1"/>
  <c r="G567" i="1"/>
  <c r="S567" i="1" s="1"/>
  <c r="G568" i="1"/>
  <c r="S568" i="1" s="1"/>
  <c r="G569" i="1"/>
  <c r="S569" i="1" s="1"/>
  <c r="G570" i="1"/>
  <c r="S570" i="1" s="1"/>
  <c r="G571" i="1"/>
  <c r="S571" i="1" s="1"/>
  <c r="G572" i="1"/>
  <c r="S572" i="1" s="1"/>
  <c r="G573" i="1"/>
  <c r="S573" i="1" s="1"/>
  <c r="G574" i="1"/>
  <c r="S574" i="1" s="1"/>
  <c r="G575" i="1"/>
  <c r="S575" i="1" s="1"/>
  <c r="G576" i="1"/>
  <c r="S576" i="1" s="1"/>
  <c r="G577" i="1"/>
  <c r="S577" i="1" s="1"/>
  <c r="G578" i="1"/>
  <c r="S578" i="1" s="1"/>
  <c r="G579" i="1"/>
  <c r="S579" i="1" s="1"/>
  <c r="G580" i="1"/>
  <c r="S580" i="1" s="1"/>
  <c r="G581" i="1"/>
  <c r="S581" i="1" s="1"/>
  <c r="G582" i="1"/>
  <c r="S582" i="1" s="1"/>
  <c r="G583" i="1"/>
  <c r="S583" i="1" s="1"/>
  <c r="G584" i="1"/>
  <c r="S584" i="1" s="1"/>
  <c r="G585" i="1"/>
  <c r="S585" i="1" s="1"/>
  <c r="G586" i="1"/>
  <c r="S586" i="1" s="1"/>
  <c r="G587" i="1"/>
  <c r="S587" i="1" s="1"/>
  <c r="G588" i="1"/>
  <c r="S588" i="1" s="1"/>
  <c r="G589" i="1"/>
  <c r="S589" i="1" s="1"/>
  <c r="G590" i="1"/>
  <c r="S590" i="1" s="1"/>
  <c r="G591" i="1"/>
  <c r="S591" i="1" s="1"/>
  <c r="G592" i="1"/>
  <c r="S592" i="1" s="1"/>
  <c r="G593" i="1"/>
  <c r="S593" i="1" s="1"/>
  <c r="G594" i="1"/>
  <c r="S594" i="1" s="1"/>
  <c r="G595" i="1"/>
  <c r="S595" i="1" s="1"/>
  <c r="G596" i="1"/>
  <c r="S596" i="1" s="1"/>
  <c r="G597" i="1"/>
  <c r="S597" i="1" s="1"/>
  <c r="G598" i="1"/>
  <c r="S598" i="1" s="1"/>
  <c r="G599" i="1"/>
  <c r="S599" i="1" s="1"/>
  <c r="G600" i="1"/>
  <c r="S600" i="1" s="1"/>
  <c r="G601" i="1"/>
  <c r="S601" i="1" s="1"/>
  <c r="G602" i="1"/>
  <c r="S602" i="1" s="1"/>
  <c r="G603" i="1"/>
  <c r="S603" i="1" s="1"/>
  <c r="G604" i="1"/>
  <c r="S604" i="1" s="1"/>
  <c r="G605" i="1"/>
  <c r="S605" i="1" s="1"/>
  <c r="G606" i="1"/>
  <c r="S606" i="1" s="1"/>
  <c r="G607" i="1"/>
  <c r="S607" i="1" s="1"/>
  <c r="G608" i="1"/>
  <c r="S608" i="1" s="1"/>
  <c r="G609" i="1"/>
  <c r="S609" i="1" s="1"/>
  <c r="G610" i="1"/>
  <c r="S610" i="1" s="1"/>
  <c r="G611" i="1"/>
  <c r="S611" i="1" s="1"/>
  <c r="G612" i="1"/>
  <c r="S612" i="1" s="1"/>
  <c r="G613" i="1"/>
  <c r="S613" i="1" s="1"/>
  <c r="G614" i="1"/>
  <c r="S614" i="1" s="1"/>
  <c r="G615" i="1"/>
  <c r="S615" i="1" s="1"/>
  <c r="G616" i="1"/>
  <c r="S616" i="1" s="1"/>
  <c r="G617" i="1"/>
  <c r="S617" i="1" s="1"/>
  <c r="G618" i="1"/>
  <c r="S618" i="1" s="1"/>
  <c r="G619" i="1"/>
  <c r="S619" i="1" s="1"/>
  <c r="G620" i="1"/>
  <c r="S620" i="1" s="1"/>
  <c r="G621" i="1"/>
  <c r="S621" i="1" s="1"/>
  <c r="G622" i="1"/>
  <c r="S622" i="1" s="1"/>
  <c r="G623" i="1"/>
  <c r="S623" i="1" s="1"/>
  <c r="G624" i="1"/>
  <c r="S624" i="1" s="1"/>
  <c r="G625" i="1"/>
  <c r="S625" i="1" s="1"/>
  <c r="G626" i="1"/>
  <c r="S626" i="1" s="1"/>
  <c r="G627" i="1"/>
  <c r="S627" i="1" s="1"/>
  <c r="G628" i="1"/>
  <c r="S628" i="1" s="1"/>
  <c r="G629" i="1"/>
  <c r="S629" i="1" s="1"/>
  <c r="G630" i="1"/>
  <c r="S630" i="1" s="1"/>
  <c r="G631" i="1"/>
  <c r="S631" i="1" s="1"/>
  <c r="G632" i="1"/>
  <c r="S632" i="1" s="1"/>
  <c r="G633" i="1"/>
  <c r="S633" i="1" s="1"/>
  <c r="G634" i="1"/>
  <c r="S634" i="1" s="1"/>
  <c r="G635" i="1"/>
  <c r="S635" i="1" s="1"/>
  <c r="G636" i="1"/>
  <c r="S636" i="1" s="1"/>
  <c r="G637" i="1"/>
  <c r="S637" i="1" s="1"/>
  <c r="G638" i="1"/>
  <c r="S638" i="1" s="1"/>
  <c r="G639" i="1"/>
  <c r="S639" i="1" s="1"/>
  <c r="G640" i="1"/>
  <c r="S640" i="1" s="1"/>
  <c r="G641" i="1"/>
  <c r="S641" i="1" s="1"/>
  <c r="G642" i="1"/>
  <c r="S642" i="1" s="1"/>
  <c r="G643" i="1"/>
  <c r="S643" i="1" s="1"/>
  <c r="G644" i="1"/>
  <c r="S644" i="1" s="1"/>
  <c r="G645" i="1"/>
  <c r="S645" i="1" s="1"/>
  <c r="G646" i="1"/>
  <c r="S646" i="1" s="1"/>
  <c r="G647" i="1"/>
  <c r="S647" i="1" s="1"/>
  <c r="G648" i="1"/>
  <c r="S648" i="1" s="1"/>
  <c r="G649" i="1"/>
  <c r="S649" i="1" s="1"/>
  <c r="G650" i="1"/>
  <c r="S650" i="1" s="1"/>
  <c r="G651" i="1"/>
  <c r="S651" i="1" s="1"/>
  <c r="G652" i="1"/>
  <c r="S652" i="1" s="1"/>
  <c r="G653" i="1"/>
  <c r="S653" i="1" s="1"/>
  <c r="G654" i="1"/>
  <c r="S654" i="1" s="1"/>
  <c r="G655" i="1"/>
  <c r="S655" i="1" s="1"/>
  <c r="G656" i="1"/>
  <c r="S656" i="1" s="1"/>
  <c r="G657" i="1"/>
  <c r="S657" i="1" s="1"/>
  <c r="G658" i="1"/>
  <c r="S658" i="1" s="1"/>
  <c r="G659" i="1"/>
  <c r="S659" i="1" s="1"/>
  <c r="G660" i="1"/>
  <c r="S660" i="1" s="1"/>
  <c r="G661" i="1"/>
  <c r="S661" i="1" s="1"/>
  <c r="G662" i="1"/>
  <c r="S662" i="1" s="1"/>
  <c r="G663" i="1"/>
  <c r="S663" i="1" s="1"/>
  <c r="G664" i="1"/>
  <c r="S664" i="1" s="1"/>
  <c r="G665" i="1"/>
  <c r="S665" i="1" s="1"/>
  <c r="G666" i="1"/>
  <c r="S666" i="1" s="1"/>
  <c r="G667" i="1"/>
  <c r="S667" i="1" s="1"/>
  <c r="G668" i="1"/>
  <c r="S668" i="1" s="1"/>
  <c r="G669" i="1"/>
  <c r="S669" i="1" s="1"/>
  <c r="G670" i="1"/>
  <c r="S670" i="1" s="1"/>
  <c r="G671" i="1"/>
  <c r="S671" i="1" s="1"/>
  <c r="G672" i="1"/>
  <c r="S672" i="1" s="1"/>
  <c r="G673" i="1"/>
  <c r="S673" i="1" s="1"/>
  <c r="G674" i="1"/>
  <c r="S674" i="1" s="1"/>
  <c r="G675" i="1"/>
  <c r="S675" i="1" s="1"/>
  <c r="G676" i="1"/>
  <c r="S676" i="1" s="1"/>
  <c r="G677" i="1"/>
  <c r="S677" i="1" s="1"/>
  <c r="G678" i="1"/>
  <c r="S678" i="1" s="1"/>
  <c r="G679" i="1"/>
  <c r="S679" i="1" s="1"/>
  <c r="G680" i="1"/>
  <c r="S680" i="1" s="1"/>
  <c r="G681" i="1"/>
  <c r="S681" i="1" s="1"/>
  <c r="G682" i="1"/>
  <c r="S682" i="1" s="1"/>
  <c r="G683" i="1"/>
  <c r="S683" i="1" s="1"/>
  <c r="G684" i="1"/>
  <c r="S684" i="1" s="1"/>
  <c r="G685" i="1"/>
  <c r="S685" i="1" s="1"/>
  <c r="G686" i="1"/>
  <c r="S686" i="1" s="1"/>
  <c r="G687" i="1"/>
  <c r="S687" i="1" s="1"/>
  <c r="G688" i="1"/>
  <c r="S688" i="1" s="1"/>
  <c r="G689" i="1"/>
  <c r="S689" i="1" s="1"/>
  <c r="G690" i="1"/>
  <c r="S690" i="1" s="1"/>
  <c r="G691" i="1"/>
  <c r="S691" i="1" s="1"/>
  <c r="G692" i="1"/>
  <c r="S692" i="1" s="1"/>
  <c r="G693" i="1"/>
  <c r="S693" i="1" s="1"/>
  <c r="G694" i="1"/>
  <c r="S694" i="1" s="1"/>
  <c r="G695" i="1"/>
  <c r="S695" i="1" s="1"/>
  <c r="G696" i="1"/>
  <c r="S696" i="1" s="1"/>
  <c r="G697" i="1"/>
  <c r="S697" i="1" s="1"/>
  <c r="G698" i="1"/>
  <c r="S698" i="1" s="1"/>
  <c r="G699" i="1"/>
  <c r="S699" i="1" s="1"/>
  <c r="G700" i="1"/>
  <c r="S700" i="1" s="1"/>
  <c r="G701" i="1"/>
  <c r="S701" i="1" s="1"/>
  <c r="G702" i="1"/>
  <c r="S702" i="1" s="1"/>
  <c r="G703" i="1"/>
  <c r="S703" i="1" s="1"/>
  <c r="G704" i="1"/>
  <c r="S704" i="1" s="1"/>
  <c r="G705" i="1"/>
  <c r="S705" i="1" s="1"/>
  <c r="G706" i="1"/>
  <c r="S706" i="1" s="1"/>
  <c r="G707" i="1"/>
  <c r="S707" i="1" s="1"/>
  <c r="G708" i="1"/>
  <c r="S708" i="1" s="1"/>
  <c r="G709" i="1"/>
  <c r="S709" i="1" s="1"/>
  <c r="G710" i="1"/>
  <c r="S710" i="1" s="1"/>
  <c r="G711" i="1"/>
  <c r="S711" i="1" s="1"/>
  <c r="G712" i="1"/>
  <c r="S712" i="1" s="1"/>
  <c r="G713" i="1"/>
  <c r="S713" i="1" s="1"/>
  <c r="G714" i="1"/>
  <c r="S714" i="1" s="1"/>
  <c r="G715" i="1"/>
  <c r="S715" i="1" s="1"/>
  <c r="G716" i="1"/>
  <c r="S716" i="1" s="1"/>
  <c r="G717" i="1"/>
  <c r="S717" i="1" s="1"/>
  <c r="G718" i="1"/>
  <c r="S718" i="1" s="1"/>
  <c r="G719" i="1"/>
  <c r="S719" i="1" s="1"/>
  <c r="G720" i="1"/>
  <c r="S720" i="1" s="1"/>
  <c r="G721" i="1"/>
  <c r="S721" i="1" s="1"/>
  <c r="G722" i="1"/>
  <c r="S722" i="1" s="1"/>
  <c r="G723" i="1"/>
  <c r="S723" i="1" s="1"/>
  <c r="G724" i="1"/>
  <c r="S724" i="1" s="1"/>
  <c r="G725" i="1"/>
  <c r="S725" i="1" s="1"/>
  <c r="G726" i="1"/>
  <c r="S726" i="1" s="1"/>
  <c r="G727" i="1"/>
  <c r="S727" i="1" s="1"/>
  <c r="G728" i="1"/>
  <c r="S728" i="1" s="1"/>
  <c r="G729" i="1"/>
  <c r="S729" i="1" s="1"/>
  <c r="G730" i="1"/>
  <c r="S730" i="1" s="1"/>
  <c r="G731" i="1"/>
  <c r="S731" i="1" s="1"/>
  <c r="G732" i="1"/>
  <c r="S732" i="1" s="1"/>
  <c r="G733" i="1"/>
  <c r="S733" i="1" s="1"/>
  <c r="G734" i="1"/>
  <c r="S734" i="1" s="1"/>
  <c r="G735" i="1"/>
  <c r="S735" i="1" s="1"/>
  <c r="G736" i="1"/>
  <c r="S736" i="1" s="1"/>
  <c r="G737" i="1"/>
  <c r="S737" i="1" s="1"/>
  <c r="G738" i="1"/>
  <c r="S738" i="1" s="1"/>
  <c r="G739" i="1"/>
  <c r="S739" i="1" s="1"/>
  <c r="G740" i="1"/>
  <c r="S740" i="1" s="1"/>
  <c r="G741" i="1"/>
  <c r="S741" i="1" s="1"/>
  <c r="G742" i="1"/>
  <c r="S742" i="1" s="1"/>
  <c r="G743" i="1"/>
  <c r="S743" i="1" s="1"/>
  <c r="G744" i="1"/>
  <c r="S744" i="1" s="1"/>
  <c r="G745" i="1"/>
  <c r="S745" i="1" s="1"/>
  <c r="G746" i="1"/>
  <c r="S746" i="1" s="1"/>
  <c r="G747" i="1"/>
  <c r="S747" i="1" s="1"/>
  <c r="G748" i="1"/>
  <c r="S748" i="1" s="1"/>
  <c r="G749" i="1"/>
  <c r="S749" i="1" s="1"/>
  <c r="G750" i="1"/>
  <c r="S750" i="1" s="1"/>
  <c r="G751" i="1"/>
  <c r="S751" i="1" s="1"/>
  <c r="G752" i="1"/>
  <c r="S752" i="1" s="1"/>
  <c r="G753" i="1"/>
  <c r="S753" i="1" s="1"/>
  <c r="G754" i="1"/>
  <c r="S754" i="1" s="1"/>
  <c r="G755" i="1"/>
  <c r="S755" i="1" s="1"/>
  <c r="G756" i="1"/>
  <c r="S756" i="1" s="1"/>
  <c r="G757" i="1"/>
  <c r="S757" i="1" s="1"/>
  <c r="G758" i="1"/>
  <c r="S758" i="1" s="1"/>
  <c r="G759" i="1"/>
  <c r="S759" i="1" s="1"/>
  <c r="G760" i="1"/>
  <c r="S760" i="1" s="1"/>
  <c r="G761" i="1"/>
  <c r="S761" i="1" s="1"/>
  <c r="G762" i="1"/>
  <c r="S762" i="1" s="1"/>
  <c r="G763" i="1"/>
  <c r="S763" i="1" s="1"/>
  <c r="G764" i="1"/>
  <c r="S764" i="1" s="1"/>
  <c r="G765" i="1"/>
  <c r="S765" i="1" s="1"/>
  <c r="G766" i="1"/>
  <c r="S766" i="1" s="1"/>
  <c r="G767" i="1"/>
  <c r="S767" i="1" s="1"/>
  <c r="G768" i="1"/>
  <c r="S768" i="1" s="1"/>
  <c r="G769" i="1"/>
  <c r="S769" i="1" s="1"/>
  <c r="G770" i="1"/>
  <c r="S770" i="1" s="1"/>
  <c r="G771" i="1"/>
  <c r="S771" i="1" s="1"/>
  <c r="G772" i="1"/>
  <c r="S772" i="1" s="1"/>
  <c r="G773" i="1"/>
  <c r="S773" i="1" s="1"/>
  <c r="G774" i="1"/>
  <c r="S774" i="1" s="1"/>
  <c r="G775" i="1"/>
  <c r="S775" i="1" s="1"/>
  <c r="G776" i="1"/>
  <c r="S776" i="1" s="1"/>
  <c r="G777" i="1"/>
  <c r="S777" i="1" s="1"/>
  <c r="G778" i="1"/>
  <c r="S778" i="1" s="1"/>
  <c r="G779" i="1"/>
  <c r="S779" i="1" s="1"/>
  <c r="G780" i="1"/>
  <c r="S780" i="1" s="1"/>
  <c r="G781" i="1"/>
  <c r="S781" i="1" s="1"/>
  <c r="G782" i="1"/>
  <c r="S782" i="1" s="1"/>
  <c r="G783" i="1"/>
  <c r="S783" i="1" s="1"/>
  <c r="G784" i="1"/>
  <c r="S784" i="1" s="1"/>
  <c r="G785" i="1"/>
  <c r="S785" i="1" s="1"/>
  <c r="G786" i="1"/>
  <c r="S786" i="1" s="1"/>
  <c r="G787" i="1"/>
  <c r="S787" i="1" s="1"/>
  <c r="G788" i="1"/>
  <c r="S788" i="1" s="1"/>
  <c r="G789" i="1"/>
  <c r="S789" i="1" s="1"/>
  <c r="G790" i="1"/>
  <c r="S790" i="1" s="1"/>
  <c r="G791" i="1"/>
  <c r="S791" i="1" s="1"/>
  <c r="G792" i="1"/>
  <c r="S792" i="1" s="1"/>
  <c r="G793" i="1"/>
  <c r="S793" i="1" s="1"/>
  <c r="G794" i="1"/>
  <c r="S794" i="1" s="1"/>
  <c r="G795" i="1"/>
  <c r="S795" i="1" s="1"/>
  <c r="G796" i="1"/>
  <c r="S796" i="1" s="1"/>
  <c r="G797" i="1"/>
  <c r="S797" i="1" s="1"/>
  <c r="G798" i="1"/>
  <c r="S798" i="1" s="1"/>
  <c r="G799" i="1"/>
  <c r="S799" i="1" s="1"/>
  <c r="G800" i="1"/>
  <c r="S800" i="1" s="1"/>
  <c r="G801" i="1"/>
  <c r="S801" i="1" s="1"/>
  <c r="G802" i="1"/>
  <c r="S802" i="1" s="1"/>
  <c r="G803" i="1"/>
  <c r="S803" i="1" s="1"/>
  <c r="G804" i="1"/>
  <c r="S804" i="1" s="1"/>
  <c r="G805" i="1"/>
  <c r="S805" i="1" s="1"/>
  <c r="G806" i="1"/>
  <c r="S806" i="1" s="1"/>
  <c r="G807" i="1"/>
  <c r="S807" i="1" s="1"/>
  <c r="G808" i="1"/>
  <c r="S808" i="1" s="1"/>
  <c r="G809" i="1"/>
  <c r="S809" i="1" s="1"/>
  <c r="G810" i="1"/>
  <c r="S810" i="1" s="1"/>
  <c r="G811" i="1"/>
  <c r="S811" i="1" s="1"/>
  <c r="G812" i="1"/>
  <c r="S812" i="1" s="1"/>
  <c r="G813" i="1"/>
  <c r="S813" i="1" s="1"/>
  <c r="G814" i="1"/>
  <c r="S814" i="1" s="1"/>
  <c r="G815" i="1"/>
  <c r="S815" i="1" s="1"/>
  <c r="G816" i="1"/>
  <c r="S816" i="1" s="1"/>
  <c r="G817" i="1"/>
  <c r="S817" i="1" s="1"/>
  <c r="G818" i="1"/>
  <c r="S818" i="1" s="1"/>
  <c r="G819" i="1"/>
  <c r="S819" i="1" s="1"/>
  <c r="G820" i="1"/>
  <c r="S820" i="1" s="1"/>
  <c r="G821" i="1"/>
  <c r="S821" i="1" s="1"/>
  <c r="G822" i="1"/>
  <c r="S822" i="1" s="1"/>
  <c r="G823" i="1"/>
  <c r="S823" i="1" s="1"/>
  <c r="G824" i="1"/>
  <c r="S824" i="1" s="1"/>
  <c r="G825" i="1"/>
  <c r="S825" i="1" s="1"/>
  <c r="G826" i="1"/>
  <c r="S826" i="1" s="1"/>
  <c r="G827" i="1"/>
  <c r="S827" i="1" s="1"/>
  <c r="G828" i="1"/>
  <c r="S828" i="1" s="1"/>
  <c r="G829" i="1"/>
  <c r="S829" i="1" s="1"/>
  <c r="G830" i="1"/>
  <c r="S830" i="1" s="1"/>
  <c r="G831" i="1"/>
  <c r="S831" i="1" s="1"/>
  <c r="G832" i="1"/>
  <c r="S832" i="1" s="1"/>
  <c r="G833" i="1"/>
  <c r="S833" i="1" s="1"/>
  <c r="G834" i="1"/>
  <c r="S834" i="1" s="1"/>
  <c r="G835" i="1"/>
  <c r="S835" i="1" s="1"/>
  <c r="G836" i="1"/>
  <c r="S836" i="1" s="1"/>
  <c r="G837" i="1"/>
  <c r="S837" i="1" s="1"/>
  <c r="G838" i="1"/>
  <c r="S838" i="1" s="1"/>
  <c r="G839" i="1"/>
  <c r="S839" i="1" s="1"/>
  <c r="G840" i="1"/>
  <c r="S840" i="1" s="1"/>
  <c r="G841" i="1"/>
  <c r="S841" i="1" s="1"/>
  <c r="G842" i="1"/>
  <c r="S842" i="1" s="1"/>
  <c r="G843" i="1"/>
  <c r="S843" i="1" s="1"/>
  <c r="G844" i="1"/>
  <c r="S844" i="1" s="1"/>
  <c r="G845" i="1"/>
  <c r="S845" i="1" s="1"/>
  <c r="G846" i="1"/>
  <c r="S846" i="1" s="1"/>
  <c r="G847" i="1"/>
  <c r="S847" i="1" s="1"/>
  <c r="G848" i="1"/>
  <c r="S848" i="1" s="1"/>
  <c r="G849" i="1"/>
  <c r="S849" i="1" s="1"/>
  <c r="G850" i="1"/>
  <c r="S850" i="1" s="1"/>
  <c r="G851" i="1"/>
  <c r="S851" i="1" s="1"/>
  <c r="G852" i="1"/>
  <c r="S852" i="1" s="1"/>
  <c r="G853" i="1"/>
  <c r="S853" i="1" s="1"/>
  <c r="G854" i="1"/>
  <c r="S854" i="1" s="1"/>
  <c r="G855" i="1"/>
  <c r="S855" i="1" s="1"/>
  <c r="G856" i="1"/>
  <c r="S856" i="1" s="1"/>
  <c r="G857" i="1"/>
  <c r="S857" i="1" s="1"/>
  <c r="G858" i="1"/>
  <c r="S858" i="1" s="1"/>
  <c r="G859" i="1"/>
  <c r="S859" i="1" s="1"/>
  <c r="G860" i="1"/>
  <c r="S860" i="1" s="1"/>
  <c r="G861" i="1"/>
  <c r="S861" i="1" s="1"/>
  <c r="G862" i="1"/>
  <c r="S862" i="1" s="1"/>
  <c r="G863" i="1"/>
  <c r="S863" i="1" s="1"/>
  <c r="G864" i="1"/>
  <c r="S864" i="1" s="1"/>
  <c r="G865" i="1"/>
  <c r="S865" i="1" s="1"/>
  <c r="G866" i="1"/>
  <c r="S866" i="1" s="1"/>
  <c r="G867" i="1"/>
  <c r="S867" i="1" s="1"/>
  <c r="G868" i="1"/>
  <c r="S868" i="1" s="1"/>
  <c r="G869" i="1"/>
  <c r="S869" i="1" s="1"/>
  <c r="G870" i="1"/>
  <c r="S870" i="1" s="1"/>
  <c r="G871" i="1"/>
  <c r="S871" i="1" s="1"/>
  <c r="G872" i="1"/>
  <c r="S872" i="1" s="1"/>
  <c r="G873" i="1"/>
  <c r="S873" i="1" s="1"/>
  <c r="G874" i="1"/>
  <c r="S874" i="1" s="1"/>
  <c r="G875" i="1"/>
  <c r="S875" i="1" s="1"/>
  <c r="G876" i="1"/>
  <c r="S876" i="1" s="1"/>
  <c r="G877" i="1"/>
  <c r="S877" i="1" s="1"/>
  <c r="G878" i="1"/>
  <c r="S878" i="1" s="1"/>
  <c r="G879" i="1"/>
  <c r="S879" i="1" s="1"/>
  <c r="G880" i="1"/>
  <c r="S880" i="1" s="1"/>
  <c r="G881" i="1"/>
  <c r="S881" i="1" s="1"/>
  <c r="G882" i="1"/>
  <c r="S882" i="1" s="1"/>
  <c r="G883" i="1"/>
  <c r="S883" i="1" s="1"/>
  <c r="G884" i="1"/>
  <c r="S884" i="1" s="1"/>
  <c r="G885" i="1"/>
  <c r="S885" i="1" s="1"/>
  <c r="G886" i="1"/>
  <c r="S886" i="1" s="1"/>
  <c r="G887" i="1"/>
  <c r="S887" i="1" s="1"/>
  <c r="G888" i="1"/>
  <c r="S888" i="1" s="1"/>
  <c r="G889" i="1"/>
  <c r="S889" i="1" s="1"/>
  <c r="G890" i="1"/>
  <c r="S890" i="1" s="1"/>
  <c r="G891" i="1"/>
  <c r="S891" i="1" s="1"/>
  <c r="G892" i="1"/>
  <c r="S892" i="1" s="1"/>
  <c r="G893" i="1"/>
  <c r="S893" i="1" s="1"/>
  <c r="G894" i="1"/>
  <c r="S894" i="1" s="1"/>
  <c r="G895" i="1"/>
  <c r="S895" i="1" s="1"/>
  <c r="G896" i="1"/>
  <c r="S896" i="1" s="1"/>
  <c r="G897" i="1"/>
  <c r="S897" i="1" s="1"/>
  <c r="G898" i="1"/>
  <c r="S898" i="1" s="1"/>
  <c r="G899" i="1"/>
  <c r="S899" i="1" s="1"/>
  <c r="G900" i="1"/>
  <c r="S900" i="1" s="1"/>
  <c r="G901" i="1"/>
  <c r="S901" i="1" s="1"/>
  <c r="G902" i="1"/>
  <c r="S902" i="1" s="1"/>
  <c r="G903" i="1"/>
  <c r="S903" i="1" s="1"/>
  <c r="G904" i="1"/>
  <c r="S904" i="1" s="1"/>
  <c r="G905" i="1"/>
  <c r="S905" i="1" s="1"/>
  <c r="G906" i="1"/>
  <c r="S906" i="1" s="1"/>
  <c r="G907" i="1"/>
  <c r="S907" i="1" s="1"/>
  <c r="G908" i="1"/>
  <c r="S908" i="1" s="1"/>
  <c r="G909" i="1"/>
  <c r="S909" i="1" s="1"/>
  <c r="G910" i="1"/>
  <c r="S910" i="1" s="1"/>
  <c r="G911" i="1"/>
  <c r="S911" i="1" s="1"/>
  <c r="G912" i="1"/>
  <c r="S912" i="1" s="1"/>
  <c r="G913" i="1"/>
  <c r="S913" i="1" s="1"/>
  <c r="G914" i="1"/>
  <c r="S914" i="1" s="1"/>
  <c r="G915" i="1"/>
  <c r="S915" i="1" s="1"/>
  <c r="G916" i="1"/>
  <c r="S916" i="1" s="1"/>
  <c r="G917" i="1"/>
  <c r="S917" i="1" s="1"/>
  <c r="G918" i="1"/>
  <c r="S918" i="1" s="1"/>
  <c r="G919" i="1"/>
  <c r="S919" i="1" s="1"/>
  <c r="G920" i="1"/>
  <c r="S920" i="1" s="1"/>
  <c r="G921" i="1"/>
  <c r="S921" i="1" s="1"/>
  <c r="G922" i="1"/>
  <c r="S922" i="1" s="1"/>
  <c r="G923" i="1"/>
  <c r="S923" i="1" s="1"/>
  <c r="G924" i="1"/>
  <c r="S924" i="1" s="1"/>
  <c r="G925" i="1"/>
  <c r="S925" i="1" s="1"/>
  <c r="G926" i="1"/>
  <c r="S926" i="1" s="1"/>
  <c r="G927" i="1"/>
  <c r="S927" i="1" s="1"/>
  <c r="G928" i="1"/>
  <c r="S928" i="1" s="1"/>
  <c r="G929" i="1"/>
  <c r="S929" i="1" s="1"/>
  <c r="G930" i="1"/>
  <c r="S930" i="1" s="1"/>
  <c r="G931" i="1"/>
  <c r="S931" i="1" s="1"/>
  <c r="G932" i="1"/>
  <c r="S932" i="1" s="1"/>
  <c r="G933" i="1"/>
  <c r="S933" i="1" s="1"/>
  <c r="G934" i="1"/>
  <c r="S934" i="1" s="1"/>
  <c r="G935" i="1"/>
  <c r="S935" i="1" s="1"/>
  <c r="G936" i="1"/>
  <c r="S936" i="1" s="1"/>
  <c r="G937" i="1"/>
  <c r="S937" i="1" s="1"/>
  <c r="G938" i="1"/>
  <c r="S938" i="1" s="1"/>
  <c r="G939" i="1"/>
  <c r="S939" i="1" s="1"/>
  <c r="G940" i="1"/>
  <c r="S940" i="1" s="1"/>
  <c r="G941" i="1"/>
  <c r="S941" i="1" s="1"/>
  <c r="G942" i="1"/>
  <c r="S942" i="1" s="1"/>
  <c r="G943" i="1"/>
  <c r="S943" i="1" s="1"/>
  <c r="G944" i="1"/>
  <c r="S944" i="1" s="1"/>
  <c r="G945" i="1"/>
  <c r="S945" i="1" s="1"/>
  <c r="G946" i="1"/>
  <c r="S946" i="1" s="1"/>
  <c r="G947" i="1"/>
  <c r="S947" i="1" s="1"/>
  <c r="G948" i="1"/>
  <c r="S948" i="1" s="1"/>
  <c r="G949" i="1"/>
  <c r="S949" i="1" s="1"/>
  <c r="G950" i="1"/>
  <c r="S950" i="1" s="1"/>
  <c r="G951" i="1"/>
  <c r="S951" i="1" s="1"/>
  <c r="G952" i="1"/>
  <c r="S952" i="1" s="1"/>
  <c r="G953" i="1"/>
  <c r="S953" i="1" s="1"/>
  <c r="G954" i="1"/>
  <c r="S954" i="1" s="1"/>
  <c r="G955" i="1"/>
  <c r="S955" i="1" s="1"/>
  <c r="G956" i="1"/>
  <c r="S956" i="1" s="1"/>
  <c r="G957" i="1"/>
  <c r="S957" i="1" s="1"/>
  <c r="G958" i="1"/>
  <c r="S958" i="1" s="1"/>
  <c r="G959" i="1"/>
  <c r="S959" i="1" s="1"/>
  <c r="G960" i="1"/>
  <c r="S960" i="1" s="1"/>
  <c r="G961" i="1"/>
  <c r="S961" i="1" s="1"/>
  <c r="G962" i="1"/>
  <c r="S962" i="1" s="1"/>
  <c r="G963" i="1"/>
  <c r="S963" i="1" s="1"/>
  <c r="G964" i="1"/>
  <c r="S964" i="1" s="1"/>
  <c r="G965" i="1"/>
  <c r="S965" i="1" s="1"/>
  <c r="G966" i="1"/>
  <c r="S966" i="1" s="1"/>
  <c r="G967" i="1"/>
  <c r="S967" i="1" s="1"/>
  <c r="G968" i="1"/>
  <c r="S968" i="1" s="1"/>
  <c r="G969" i="1"/>
  <c r="S969" i="1" s="1"/>
  <c r="G970" i="1"/>
  <c r="S970" i="1" s="1"/>
  <c r="G971" i="1"/>
  <c r="S971" i="1" s="1"/>
  <c r="G972" i="1"/>
  <c r="S972" i="1" s="1"/>
  <c r="G973" i="1"/>
  <c r="S973" i="1" s="1"/>
  <c r="G974" i="1"/>
  <c r="S974" i="1" s="1"/>
  <c r="G975" i="1"/>
  <c r="S975" i="1" s="1"/>
  <c r="G976" i="1"/>
  <c r="S976" i="1" s="1"/>
  <c r="G977" i="1"/>
  <c r="S977" i="1" s="1"/>
  <c r="G978" i="1"/>
  <c r="S978" i="1" s="1"/>
  <c r="G979" i="1"/>
  <c r="S979" i="1" s="1"/>
  <c r="G980" i="1"/>
  <c r="S980" i="1" s="1"/>
  <c r="G981" i="1"/>
  <c r="S981" i="1" s="1"/>
  <c r="G982" i="1"/>
  <c r="S982" i="1" s="1"/>
  <c r="G983" i="1"/>
  <c r="S983" i="1" s="1"/>
  <c r="G984" i="1"/>
  <c r="S984" i="1" s="1"/>
  <c r="G985" i="1"/>
  <c r="S985" i="1" s="1"/>
  <c r="G986" i="1"/>
  <c r="S986" i="1" s="1"/>
  <c r="G987" i="1"/>
  <c r="S987" i="1" s="1"/>
  <c r="G988" i="1"/>
  <c r="S988" i="1" s="1"/>
  <c r="G989" i="1"/>
  <c r="S989" i="1" s="1"/>
  <c r="G990" i="1"/>
  <c r="S990" i="1" s="1"/>
  <c r="G991" i="1"/>
  <c r="S991" i="1" s="1"/>
  <c r="G992" i="1"/>
  <c r="S992" i="1" s="1"/>
  <c r="G993" i="1"/>
  <c r="S993" i="1" s="1"/>
  <c r="G994" i="1"/>
  <c r="S994" i="1" s="1"/>
  <c r="G995" i="1"/>
  <c r="S995" i="1" s="1"/>
  <c r="G996" i="1"/>
  <c r="S996" i="1" s="1"/>
  <c r="G997" i="1"/>
  <c r="S997" i="1" s="1"/>
  <c r="G998" i="1"/>
  <c r="S998" i="1" s="1"/>
  <c r="G999" i="1"/>
  <c r="S999" i="1" s="1"/>
  <c r="G1000" i="1"/>
  <c r="S1000" i="1" s="1"/>
  <c r="G1001" i="1"/>
  <c r="S1001" i="1" s="1"/>
  <c r="G2" i="1"/>
  <c r="S2" i="1" s="1"/>
  <c r="M15" i="2"/>
  <c r="M11" i="2"/>
  <c r="M7" i="2"/>
  <c r="M3" i="2"/>
</calcChain>
</file>

<file path=xl/sharedStrings.xml><?xml version="1.0" encoding="utf-8"?>
<sst xmlns="http://schemas.openxmlformats.org/spreadsheetml/2006/main" count="5114" uniqueCount="531">
  <si>
    <t>Order_ID</t>
  </si>
  <si>
    <t>Customer_ID</t>
  </si>
  <si>
    <t>Product_ID</t>
  </si>
  <si>
    <t>Quantity</t>
  </si>
  <si>
    <t>Order_Date</t>
  </si>
  <si>
    <t>Order_Time</t>
  </si>
  <si>
    <t>Delivery_Date</t>
  </si>
  <si>
    <t>Delivery_Time</t>
  </si>
  <si>
    <t>Location</t>
  </si>
  <si>
    <t>Occasion</t>
  </si>
  <si>
    <t>C037</t>
  </si>
  <si>
    <t>Bardhaman</t>
  </si>
  <si>
    <t>Anniversary</t>
  </si>
  <si>
    <t>C019</t>
  </si>
  <si>
    <t>Jaipur</t>
  </si>
  <si>
    <t>Diwali</t>
  </si>
  <si>
    <t>C029</t>
  </si>
  <si>
    <t>Bilaspur</t>
  </si>
  <si>
    <t>C012</t>
  </si>
  <si>
    <t>Guwahati</t>
  </si>
  <si>
    <t>Birthday</t>
  </si>
  <si>
    <t>C078</t>
  </si>
  <si>
    <t>Rajkot</t>
  </si>
  <si>
    <t>Valentine's Day</t>
  </si>
  <si>
    <t>C040</t>
  </si>
  <si>
    <t>Sirsa</t>
  </si>
  <si>
    <t>Raksha Bandhan</t>
  </si>
  <si>
    <t>C009</t>
  </si>
  <si>
    <t>Nanded</t>
  </si>
  <si>
    <t>C097</t>
  </si>
  <si>
    <t>Morena</t>
  </si>
  <si>
    <t>C044</t>
  </si>
  <si>
    <t>C099</t>
  </si>
  <si>
    <t>Ambala</t>
  </si>
  <si>
    <t>C065</t>
  </si>
  <si>
    <t>Belgaum</t>
  </si>
  <si>
    <t>Holi</t>
  </si>
  <si>
    <t>Karnal</t>
  </si>
  <si>
    <t>C024</t>
  </si>
  <si>
    <t>Gandhidham</t>
  </si>
  <si>
    <t>C042</t>
  </si>
  <si>
    <t>C069</t>
  </si>
  <si>
    <t>Pune</t>
  </si>
  <si>
    <t>C013</t>
  </si>
  <si>
    <t>Khammam</t>
  </si>
  <si>
    <t>C056</t>
  </si>
  <si>
    <t>Kota</t>
  </si>
  <si>
    <t>C072</t>
  </si>
  <si>
    <t>Moradabad</t>
  </si>
  <si>
    <t>Vijayanagaram</t>
  </si>
  <si>
    <t>C011</t>
  </si>
  <si>
    <t>Madurai</t>
  </si>
  <si>
    <t>C090</t>
  </si>
  <si>
    <t>Bathinda</t>
  </si>
  <si>
    <t>C054</t>
  </si>
  <si>
    <t>Tenali</t>
  </si>
  <si>
    <t>C041</t>
  </si>
  <si>
    <t>Ludhiana</t>
  </si>
  <si>
    <t>C018</t>
  </si>
  <si>
    <t>Durg</t>
  </si>
  <si>
    <t>All Occasions</t>
  </si>
  <si>
    <t>C091</t>
  </si>
  <si>
    <t>Panipat</t>
  </si>
  <si>
    <t>Amroha</t>
  </si>
  <si>
    <t>C063</t>
  </si>
  <si>
    <t>Raipur</t>
  </si>
  <si>
    <t>C088</t>
  </si>
  <si>
    <t>C064</t>
  </si>
  <si>
    <t>Kollam</t>
  </si>
  <si>
    <t>Bulandshahr</t>
  </si>
  <si>
    <t>Nandyal</t>
  </si>
  <si>
    <t>Pudukkottai</t>
  </si>
  <si>
    <t>C047</t>
  </si>
  <si>
    <t>C071</t>
  </si>
  <si>
    <t>Tirupati</t>
  </si>
  <si>
    <t>C055</t>
  </si>
  <si>
    <t>Asansol</t>
  </si>
  <si>
    <t>New Delhi</t>
  </si>
  <si>
    <t>C096</t>
  </si>
  <si>
    <t>Katni</t>
  </si>
  <si>
    <t>C067</t>
  </si>
  <si>
    <t>Indore</t>
  </si>
  <si>
    <t>Vellore</t>
  </si>
  <si>
    <t>C066</t>
  </si>
  <si>
    <t>Raiganj</t>
  </si>
  <si>
    <t>Saharsa</t>
  </si>
  <si>
    <t>C080</t>
  </si>
  <si>
    <t>Faridabad</t>
  </si>
  <si>
    <t>C046</t>
  </si>
  <si>
    <t>Sambalpur</t>
  </si>
  <si>
    <t>C006</t>
  </si>
  <si>
    <t>Bhavnagar</t>
  </si>
  <si>
    <t>Haldia</t>
  </si>
  <si>
    <t>C059</t>
  </si>
  <si>
    <t>Guna</t>
  </si>
  <si>
    <t>C031</t>
  </si>
  <si>
    <t>Delhi</t>
  </si>
  <si>
    <t>C020</t>
  </si>
  <si>
    <t>Nangloi Jat</t>
  </si>
  <si>
    <t>C014</t>
  </si>
  <si>
    <t>Jamalpur</t>
  </si>
  <si>
    <t>C036</t>
  </si>
  <si>
    <t>Agartala</t>
  </si>
  <si>
    <t>C023</t>
  </si>
  <si>
    <t>Hospet</t>
  </si>
  <si>
    <t>C045</t>
  </si>
  <si>
    <t>Kozhikode</t>
  </si>
  <si>
    <t>Ratlam</t>
  </si>
  <si>
    <t>Kottayam</t>
  </si>
  <si>
    <t>C095</t>
  </si>
  <si>
    <t>Danapur</t>
  </si>
  <si>
    <t>Ahmedabad</t>
  </si>
  <si>
    <t>C077</t>
  </si>
  <si>
    <t>Amravati</t>
  </si>
  <si>
    <t>Thiruvananthapuram</t>
  </si>
  <si>
    <t>Darbhanga</t>
  </si>
  <si>
    <t>C058</t>
  </si>
  <si>
    <t>Panihati</t>
  </si>
  <si>
    <t>C074</t>
  </si>
  <si>
    <t>Jorhat</t>
  </si>
  <si>
    <t>Munger</t>
  </si>
  <si>
    <t>C015</t>
  </si>
  <si>
    <t>Chittoor</t>
  </si>
  <si>
    <t>C033</t>
  </si>
  <si>
    <t>Berhampur</t>
  </si>
  <si>
    <t>C017</t>
  </si>
  <si>
    <t>Thrissur</t>
  </si>
  <si>
    <t>C050</t>
  </si>
  <si>
    <t>Hyderabad</t>
  </si>
  <si>
    <t>Bally</t>
  </si>
  <si>
    <t>C057</t>
  </si>
  <si>
    <t>Farrukhabad</t>
  </si>
  <si>
    <t>Shivpuri</t>
  </si>
  <si>
    <t>Anand</t>
  </si>
  <si>
    <t>C028</t>
  </si>
  <si>
    <t>Kanpur</t>
  </si>
  <si>
    <t>C062</t>
  </si>
  <si>
    <t>Pallavaram</t>
  </si>
  <si>
    <t>C010</t>
  </si>
  <si>
    <t>Varanasi</t>
  </si>
  <si>
    <t>C008</t>
  </si>
  <si>
    <t>Salem</t>
  </si>
  <si>
    <t>C053</t>
  </si>
  <si>
    <t>Kalyan-Dombivli</t>
  </si>
  <si>
    <t>C038</t>
  </si>
  <si>
    <t>Gwalior</t>
  </si>
  <si>
    <t>C032</t>
  </si>
  <si>
    <t>Agra</t>
  </si>
  <si>
    <t>Malda</t>
  </si>
  <si>
    <t>Avadi</t>
  </si>
  <si>
    <t>C060</t>
  </si>
  <si>
    <t>Aurangabad</t>
  </si>
  <si>
    <t>Shahjahanpur</t>
  </si>
  <si>
    <t>C061</t>
  </si>
  <si>
    <t>Mahbubnagar</t>
  </si>
  <si>
    <t>C100</t>
  </si>
  <si>
    <t>Rohtak</t>
  </si>
  <si>
    <t>Warangal</t>
  </si>
  <si>
    <t>Purnia</t>
  </si>
  <si>
    <t>C039</t>
  </si>
  <si>
    <t>Narasaraopet</t>
  </si>
  <si>
    <t>Latur</t>
  </si>
  <si>
    <t>Burhanpur</t>
  </si>
  <si>
    <t>Bhiwani</t>
  </si>
  <si>
    <t>C081</t>
  </si>
  <si>
    <t>Ozhukarai</t>
  </si>
  <si>
    <t>Ichalkaranji</t>
  </si>
  <si>
    <t>C082</t>
  </si>
  <si>
    <t>Ahmednagar</t>
  </si>
  <si>
    <t>Chinsurah</t>
  </si>
  <si>
    <t>Gorakhpur</t>
  </si>
  <si>
    <t>Berhampore</t>
  </si>
  <si>
    <t>C075</t>
  </si>
  <si>
    <t>Kishanganj</t>
  </si>
  <si>
    <t>Ramgarh</t>
  </si>
  <si>
    <t>Kochi</t>
  </si>
  <si>
    <t>Kirari Suleman Nagar</t>
  </si>
  <si>
    <t>Jhansi</t>
  </si>
  <si>
    <t>Howrah</t>
  </si>
  <si>
    <t>Loni</t>
  </si>
  <si>
    <t>C035</t>
  </si>
  <si>
    <t>Fatehpur</t>
  </si>
  <si>
    <t>C048</t>
  </si>
  <si>
    <t>Guntur</t>
  </si>
  <si>
    <t>C083</t>
  </si>
  <si>
    <t>Gulbarga</t>
  </si>
  <si>
    <t>C026</t>
  </si>
  <si>
    <t>Malegaon</t>
  </si>
  <si>
    <t>C030</t>
  </si>
  <si>
    <t>Bhilwara</t>
  </si>
  <si>
    <t>Kolkata</t>
  </si>
  <si>
    <t>Dharmavaram</t>
  </si>
  <si>
    <t>C051</t>
  </si>
  <si>
    <t>Dhanbad</t>
  </si>
  <si>
    <t>C070</t>
  </si>
  <si>
    <t>Satara</t>
  </si>
  <si>
    <t>Thoothukudi</t>
  </si>
  <si>
    <t>Tiruppur</t>
  </si>
  <si>
    <t>C087</t>
  </si>
  <si>
    <t>Bokaro</t>
  </si>
  <si>
    <t>C022</t>
  </si>
  <si>
    <t>Siliguri</t>
  </si>
  <si>
    <t>Amritsar</t>
  </si>
  <si>
    <t>Bharatpur</t>
  </si>
  <si>
    <t>Allahabad</t>
  </si>
  <si>
    <t>Ramagundam</t>
  </si>
  <si>
    <t>Srinagar</t>
  </si>
  <si>
    <t>Kumbakonam</t>
  </si>
  <si>
    <t>Vijayawada</t>
  </si>
  <si>
    <t>Jodhpur</t>
  </si>
  <si>
    <t>Gopalpur</t>
  </si>
  <si>
    <t>Mangalore</t>
  </si>
  <si>
    <t>C092</t>
  </si>
  <si>
    <t>Bidar</t>
  </si>
  <si>
    <t>Jalna</t>
  </si>
  <si>
    <t>C084</t>
  </si>
  <si>
    <t>C094</t>
  </si>
  <si>
    <t>Rewa</t>
  </si>
  <si>
    <t>C049</t>
  </si>
  <si>
    <t>Sambhal</t>
  </si>
  <si>
    <t>C007</t>
  </si>
  <si>
    <t>Medininagar</t>
  </si>
  <si>
    <t>Davanagere</t>
  </si>
  <si>
    <t>Karaikudi</t>
  </si>
  <si>
    <t>Barasat</t>
  </si>
  <si>
    <t>Ujjain</t>
  </si>
  <si>
    <t>Lucknow</t>
  </si>
  <si>
    <t>Madanapalle</t>
  </si>
  <si>
    <t>Kamarhati</t>
  </si>
  <si>
    <t>Tiruvottiyur</t>
  </si>
  <si>
    <t>Patiala</t>
  </si>
  <si>
    <t>Deoghar</t>
  </si>
  <si>
    <t>Navi Mumbai</t>
  </si>
  <si>
    <t>C085</t>
  </si>
  <si>
    <t>Bhilai</t>
  </si>
  <si>
    <t>Nellore</t>
  </si>
  <si>
    <t>Chennai</t>
  </si>
  <si>
    <t>Bahraich</t>
  </si>
  <si>
    <t>C027</t>
  </si>
  <si>
    <t>C068</t>
  </si>
  <si>
    <t>Raurkela Industrial Township</t>
  </si>
  <si>
    <t>Anantapur</t>
  </si>
  <si>
    <t>Serampore</t>
  </si>
  <si>
    <t>C016</t>
  </si>
  <si>
    <t>Srikakulam</t>
  </si>
  <si>
    <t>Etawah</t>
  </si>
  <si>
    <t>Pondicherry</t>
  </si>
  <si>
    <t>Begusarai</t>
  </si>
  <si>
    <t>Phagwara</t>
  </si>
  <si>
    <t>C093</t>
  </si>
  <si>
    <t>Bareilly</t>
  </si>
  <si>
    <t>C004</t>
  </si>
  <si>
    <t>Dewas</t>
  </si>
  <si>
    <t>C089</t>
  </si>
  <si>
    <t>Bhimavaram</t>
  </si>
  <si>
    <t>Ulhasnagar</t>
  </si>
  <si>
    <t>C001</t>
  </si>
  <si>
    <t>Kulti</t>
  </si>
  <si>
    <t>Hajipur</t>
  </si>
  <si>
    <t>Aligarh</t>
  </si>
  <si>
    <t>C043</t>
  </si>
  <si>
    <t>Orai</t>
  </si>
  <si>
    <t>Dehradun</t>
  </si>
  <si>
    <t>Durgapur</t>
  </si>
  <si>
    <t>C098</t>
  </si>
  <si>
    <t>Bhatpara</t>
  </si>
  <si>
    <t>Gurgaon</t>
  </si>
  <si>
    <t>Jalandhar</t>
  </si>
  <si>
    <t>C076</t>
  </si>
  <si>
    <t>Naihati</t>
  </si>
  <si>
    <t>Bhalswa Jahangir Pur</t>
  </si>
  <si>
    <t>Suryapet</t>
  </si>
  <si>
    <t>Arrah</t>
  </si>
  <si>
    <t>Surat</t>
  </si>
  <si>
    <t>Bijapur</t>
  </si>
  <si>
    <t>C079</t>
  </si>
  <si>
    <t>Junagadh</t>
  </si>
  <si>
    <t>Mehsana</t>
  </si>
  <si>
    <t>Proddatur</t>
  </si>
  <si>
    <t>Nadiad</t>
  </si>
  <si>
    <t>Nizamabad</t>
  </si>
  <si>
    <t>Khandwa</t>
  </si>
  <si>
    <t>Panvel</t>
  </si>
  <si>
    <t>Sasaram</t>
  </si>
  <si>
    <t>Jammu</t>
  </si>
  <si>
    <t>Siwan</t>
  </si>
  <si>
    <t>Guntakal</t>
  </si>
  <si>
    <t>Noida</t>
  </si>
  <si>
    <t>C052</t>
  </si>
  <si>
    <t>Gudivada</t>
  </si>
  <si>
    <t>Alwar</t>
  </si>
  <si>
    <t>C003</t>
  </si>
  <si>
    <t>C086</t>
  </si>
  <si>
    <t>Korba</t>
  </si>
  <si>
    <t xml:space="preserve">Khora </t>
  </si>
  <si>
    <t>Bangalore</t>
  </si>
  <si>
    <t>Tirunelveli</t>
  </si>
  <si>
    <t>Sonipat</t>
  </si>
  <si>
    <t>Chandrapur</t>
  </si>
  <si>
    <t>Raebareli</t>
  </si>
  <si>
    <t>Patna</t>
  </si>
  <si>
    <t>Ranchi</t>
  </si>
  <si>
    <t>Muzaffarpur</t>
  </si>
  <si>
    <t>Ballia</t>
  </si>
  <si>
    <t>Erode</t>
  </si>
  <si>
    <t>Mango</t>
  </si>
  <si>
    <t>Muzaffarnagar</t>
  </si>
  <si>
    <t>Imphal</t>
  </si>
  <si>
    <t>Tezpur</t>
  </si>
  <si>
    <t>Nagpur</t>
  </si>
  <si>
    <t>Tadepalligudem</t>
  </si>
  <si>
    <t>Tinsukia</t>
  </si>
  <si>
    <t>Tiruchirappalli</t>
  </si>
  <si>
    <t>Bellary</t>
  </si>
  <si>
    <t>C005</t>
  </si>
  <si>
    <t>Akola</t>
  </si>
  <si>
    <t>Thane</t>
  </si>
  <si>
    <t>Ambattur</t>
  </si>
  <si>
    <t>Hosur</t>
  </si>
  <si>
    <t>Bikaner</t>
  </si>
  <si>
    <t>Rampur</t>
  </si>
  <si>
    <t>Udaipur</t>
  </si>
  <si>
    <t>C073</t>
  </si>
  <si>
    <t>North Dumdum</t>
  </si>
  <si>
    <t>Panchkula</t>
  </si>
  <si>
    <t>Maheshtala</t>
  </si>
  <si>
    <t>Nashik</t>
  </si>
  <si>
    <t>South Dumdum</t>
  </si>
  <si>
    <t>Sri Ganganagar</t>
  </si>
  <si>
    <t>Ongole</t>
  </si>
  <si>
    <t>Parbhani</t>
  </si>
  <si>
    <t>C034</t>
  </si>
  <si>
    <t>Shimoga</t>
  </si>
  <si>
    <t>Kavali</t>
  </si>
  <si>
    <t>Secunderabad</t>
  </si>
  <si>
    <t>Mysore</t>
  </si>
  <si>
    <t>Ghaziabad</t>
  </si>
  <si>
    <t>Hindupur</t>
  </si>
  <si>
    <t>Bidhannagar</t>
  </si>
  <si>
    <t>C002</t>
  </si>
  <si>
    <t>Gangtok</t>
  </si>
  <si>
    <t>Solapur</t>
  </si>
  <si>
    <t>Chapra</t>
  </si>
  <si>
    <t>C025</t>
  </si>
  <si>
    <t>Surendranagar Dudhrej</t>
  </si>
  <si>
    <t>Saharanpur</t>
  </si>
  <si>
    <t>Karimnagar</t>
  </si>
  <si>
    <t>Eluru</t>
  </si>
  <si>
    <t>Alappuzha</t>
  </si>
  <si>
    <t>Kharagpur</t>
  </si>
  <si>
    <t>Rourkela</t>
  </si>
  <si>
    <t>Mira-Bhayandar</t>
  </si>
  <si>
    <t>Uluberia</t>
  </si>
  <si>
    <t>Kurnool</t>
  </si>
  <si>
    <t>C021</t>
  </si>
  <si>
    <t>Mirzapur</t>
  </si>
  <si>
    <t>Kolhapur</t>
  </si>
  <si>
    <t>Hazaribagh</t>
  </si>
  <si>
    <t>Buxar</t>
  </si>
  <si>
    <t>Rajahmundry</t>
  </si>
  <si>
    <t>Giridih</t>
  </si>
  <si>
    <t>Dibrugarh</t>
  </si>
  <si>
    <t>Jalgaon</t>
  </si>
  <si>
    <t>Ambarnath</t>
  </si>
  <si>
    <t>Sagar</t>
  </si>
  <si>
    <t>Bhiwandi</t>
  </si>
  <si>
    <t>Bhubaneswar</t>
  </si>
  <si>
    <t>Pimpri-Chinchwad</t>
  </si>
  <si>
    <t>Bhusawal</t>
  </si>
  <si>
    <t>Bongaigaon</t>
  </si>
  <si>
    <t>Dehri</t>
  </si>
  <si>
    <t>Meerut</t>
  </si>
  <si>
    <t>Unnao</t>
  </si>
  <si>
    <t>Gaya</t>
  </si>
  <si>
    <t>Bhagalpur</t>
  </si>
  <si>
    <t>Jehanabad</t>
  </si>
  <si>
    <t>Morbi</t>
  </si>
  <si>
    <t>Motihari</t>
  </si>
  <si>
    <t>Bettiah</t>
  </si>
  <si>
    <t>Sangli-Miraj &amp; Kupwad</t>
  </si>
  <si>
    <t>Cuttack</t>
  </si>
  <si>
    <t>Mau</t>
  </si>
  <si>
    <t>Gandhinagar</t>
  </si>
  <si>
    <t>Satna</t>
  </si>
  <si>
    <t>Phusro</t>
  </si>
  <si>
    <t>Shimla</t>
  </si>
  <si>
    <t>Tadipatri</t>
  </si>
  <si>
    <t>Kakinada</t>
  </si>
  <si>
    <t>Aizawl</t>
  </si>
  <si>
    <t>Adoni</t>
  </si>
  <si>
    <t>Amaravati</t>
  </si>
  <si>
    <t>Anantapuram</t>
  </si>
  <si>
    <t>Silchar</t>
  </si>
  <si>
    <t>Ajmer</t>
  </si>
  <si>
    <t>Bhopal</t>
  </si>
  <si>
    <t>Pali</t>
  </si>
  <si>
    <t>Tumkur</t>
  </si>
  <si>
    <t>Sikar</t>
  </si>
  <si>
    <t>Raichur</t>
  </si>
  <si>
    <t>Jaunpur</t>
  </si>
  <si>
    <t>Rajpur Sonarpur</t>
  </si>
  <si>
    <t>Dhule</t>
  </si>
  <si>
    <t>Yamunanagar</t>
  </si>
  <si>
    <t>Jabalpur</t>
  </si>
  <si>
    <t>Vasai-Virar</t>
  </si>
  <si>
    <t>Mathura</t>
  </si>
  <si>
    <t>Machilipatnam</t>
  </si>
  <si>
    <t>Visakhapatnam</t>
  </si>
  <si>
    <t>Sultan Pur Majra</t>
  </si>
  <si>
    <t>Dindigul</t>
  </si>
  <si>
    <t>Bhind</t>
  </si>
  <si>
    <t>Hapur</t>
  </si>
  <si>
    <t>Udupi</t>
  </si>
  <si>
    <t>Singrauli</t>
  </si>
  <si>
    <t>Kadapa</t>
  </si>
  <si>
    <t>Bihar Sharif</t>
  </si>
  <si>
    <t>Chandigarh</t>
  </si>
  <si>
    <t>Miryalaguda</t>
  </si>
  <si>
    <t>Price</t>
  </si>
  <si>
    <t>Sales</t>
  </si>
  <si>
    <t>Diff_Del_Time</t>
  </si>
  <si>
    <t>Order_Month</t>
  </si>
  <si>
    <t>Delivery_Month</t>
  </si>
  <si>
    <t>Product_name</t>
  </si>
  <si>
    <t>Category</t>
  </si>
  <si>
    <t>Maiores Box</t>
  </si>
  <si>
    <t>Aut Box</t>
  </si>
  <si>
    <t>Sweets</t>
  </si>
  <si>
    <t>Deserunt Box</t>
  </si>
  <si>
    <t>Colors</t>
  </si>
  <si>
    <t>Sed Pack</t>
  </si>
  <si>
    <t>Cake</t>
  </si>
  <si>
    <t>Velit Set</t>
  </si>
  <si>
    <t>Iusto Set</t>
  </si>
  <si>
    <t>Quisquam Pack</t>
  </si>
  <si>
    <t>Architecto Gift</t>
  </si>
  <si>
    <t>Quia Gift</t>
  </si>
  <si>
    <t>Ut Pack</t>
  </si>
  <si>
    <t>Mollitia Set</t>
  </si>
  <si>
    <t>Reiciendis Box</t>
  </si>
  <si>
    <t>Ea Set</t>
  </si>
  <si>
    <t>Dignissimos Pack</t>
  </si>
  <si>
    <t>Sed Set</t>
  </si>
  <si>
    <t>Dolorum Box</t>
  </si>
  <si>
    <t>Fuga Set</t>
  </si>
  <si>
    <t>Soft Toys</t>
  </si>
  <si>
    <t>Non Set</t>
  </si>
  <si>
    <t>Plants</t>
  </si>
  <si>
    <t>Expedita Gift</t>
  </si>
  <si>
    <t>Recusandae Pack</t>
  </si>
  <si>
    <t>Quos Box</t>
  </si>
  <si>
    <t>Aperiam Box</t>
  </si>
  <si>
    <t>Accusantium Gift</t>
  </si>
  <si>
    <t>Quos Set</t>
  </si>
  <si>
    <t>Qui Box</t>
  </si>
  <si>
    <t>Delectus Gift</t>
  </si>
  <si>
    <t>Quas Box</t>
  </si>
  <si>
    <t>Iure Gift</t>
  </si>
  <si>
    <t>Mugs</t>
  </si>
  <si>
    <t>Officiis Pack</t>
  </si>
  <si>
    <t>Maiores Gift</t>
  </si>
  <si>
    <t>Occaecati Gift</t>
  </si>
  <si>
    <t>Nam Gift</t>
  </si>
  <si>
    <t>Voluptate Pack</t>
  </si>
  <si>
    <t>Iusto Box</t>
  </si>
  <si>
    <t>Exercitationem Pack</t>
  </si>
  <si>
    <t>Error Gift</t>
  </si>
  <si>
    <t>Natus Gift</t>
  </si>
  <si>
    <t>Cum Gift</t>
  </si>
  <si>
    <t>Fugit Set</t>
  </si>
  <si>
    <t>Dolorum Set</t>
  </si>
  <si>
    <t>Qui Gift</t>
  </si>
  <si>
    <t>Placeat Pack</t>
  </si>
  <si>
    <t>Aliquam Box</t>
  </si>
  <si>
    <t>Nihil Box</t>
  </si>
  <si>
    <t>Accusantium Set</t>
  </si>
  <si>
    <t>Maxime Set</t>
  </si>
  <si>
    <t>Provident Pack</t>
  </si>
  <si>
    <t>Voluptate Set</t>
  </si>
  <si>
    <t>Magnam Set</t>
  </si>
  <si>
    <t>Harum Pack</t>
  </si>
  <si>
    <t>Voluptas Box</t>
  </si>
  <si>
    <t>Repudiandae Box</t>
  </si>
  <si>
    <t>Eius Gift</t>
  </si>
  <si>
    <t>Nemo Set</t>
  </si>
  <si>
    <t>Ad Box</t>
  </si>
  <si>
    <t>Id Box</t>
  </si>
  <si>
    <t>Eligendi Set</t>
  </si>
  <si>
    <t>Voluptatem Box</t>
  </si>
  <si>
    <t>Pariatur Box</t>
  </si>
  <si>
    <t>Earum Set</t>
  </si>
  <si>
    <t>Dolores Gift</t>
  </si>
  <si>
    <t>Nostrum Box</t>
  </si>
  <si>
    <t>Pariatur Set</t>
  </si>
  <si>
    <t>Quas Gift</t>
  </si>
  <si>
    <t>Et Set</t>
  </si>
  <si>
    <t>Ipsam Set</t>
  </si>
  <si>
    <t>In Set</t>
  </si>
  <si>
    <t>Adipisci Set</t>
  </si>
  <si>
    <t>Day</t>
  </si>
  <si>
    <t>Sum of Sales</t>
  </si>
  <si>
    <t>Row Labels</t>
  </si>
  <si>
    <t>January</t>
  </si>
  <si>
    <t>February</t>
  </si>
  <si>
    <t>March</t>
  </si>
  <si>
    <t>April</t>
  </si>
  <si>
    <t>May</t>
  </si>
  <si>
    <t>June</t>
  </si>
  <si>
    <t>July</t>
  </si>
  <si>
    <t>August</t>
  </si>
  <si>
    <t>September</t>
  </si>
  <si>
    <t>October</t>
  </si>
  <si>
    <t>November</t>
  </si>
  <si>
    <t>December</t>
  </si>
  <si>
    <t>Grand Total</t>
  </si>
  <si>
    <t>Average of Sales</t>
  </si>
  <si>
    <t>Sunday</t>
  </si>
  <si>
    <t>Monday</t>
  </si>
  <si>
    <t>Tuesday</t>
  </si>
  <si>
    <t>Wednesday</t>
  </si>
  <si>
    <t>Thursday</t>
  </si>
  <si>
    <t>Friday</t>
  </si>
  <si>
    <t>Saturday</t>
  </si>
  <si>
    <t>2023</t>
  </si>
  <si>
    <t>2024</t>
  </si>
  <si>
    <t>Avg_Del_Time</t>
  </si>
  <si>
    <t>Count of Order_ID</t>
  </si>
  <si>
    <t>City</t>
  </si>
  <si>
    <t>Haridwar</t>
  </si>
  <si>
    <t>Correaltion Ord/Del</t>
  </si>
  <si>
    <t>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</si>
</sst>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
      <patternFill patternType="solid">
        <fgColor theme="9"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style="medium">
        <color indexed="64"/>
      </left>
      <right/>
      <top/>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64" fontId="0" fillId="0" borderId="0" xfId="0" applyNumberFormat="1"/>
    <xf numFmtId="0" fontId="0" fillId="0" borderId="0" xfId="0" pivotButton="1"/>
    <xf numFmtId="2" fontId="0" fillId="0" borderId="0" xfId="0" applyNumberFormat="1"/>
    <xf numFmtId="0" fontId="0" fillId="0" borderId="0" xfId="0" applyAlignment="1">
      <alignment horizontal="left"/>
    </xf>
    <xf numFmtId="1" fontId="0" fillId="0" borderId="0" xfId="0" applyNumberFormat="1"/>
    <xf numFmtId="0" fontId="0" fillId="35" borderId="10" xfId="0" applyFill="1" applyBorder="1"/>
    <xf numFmtId="0" fontId="14" fillId="0" borderId="12" xfId="0" applyFont="1" applyBorder="1"/>
    <xf numFmtId="0" fontId="0" fillId="33" borderId="14" xfId="0" applyFont="1" applyFill="1" applyBorder="1"/>
    <xf numFmtId="164" fontId="0" fillId="33" borderId="14" xfId="0" applyNumberFormat="1" applyFont="1" applyFill="1" applyBorder="1"/>
    <xf numFmtId="14" fontId="0" fillId="33" borderId="14" xfId="0" applyNumberFormat="1" applyFont="1" applyFill="1" applyBorder="1"/>
    <xf numFmtId="21" fontId="0" fillId="33" borderId="14" xfId="0" applyNumberFormat="1" applyFont="1" applyFill="1" applyBorder="1"/>
    <xf numFmtId="0" fontId="0" fillId="33" borderId="14" xfId="0" applyNumberFormat="1" applyFont="1" applyFill="1" applyBorder="1"/>
    <xf numFmtId="0" fontId="0" fillId="33" borderId="15" xfId="0" applyFont="1" applyFill="1" applyBorder="1"/>
    <xf numFmtId="0" fontId="0" fillId="0" borderId="16" xfId="0" applyFont="1" applyBorder="1"/>
    <xf numFmtId="164" fontId="0" fillId="0" borderId="16" xfId="0" applyNumberFormat="1" applyFont="1" applyBorder="1"/>
    <xf numFmtId="14" fontId="0" fillId="0" borderId="16" xfId="0" applyNumberFormat="1" applyFont="1" applyBorder="1"/>
    <xf numFmtId="21" fontId="0" fillId="0" borderId="16" xfId="0" applyNumberFormat="1" applyFont="1" applyBorder="1"/>
    <xf numFmtId="0" fontId="0" fillId="0" borderId="16" xfId="0" applyNumberFormat="1" applyFont="1" applyBorder="1"/>
    <xf numFmtId="0" fontId="0" fillId="0" borderId="13" xfId="0" applyFont="1" applyBorder="1"/>
    <xf numFmtId="0" fontId="0" fillId="33" borderId="16" xfId="0" applyFont="1" applyFill="1" applyBorder="1"/>
    <xf numFmtId="164" fontId="0" fillId="33" borderId="16" xfId="0" applyNumberFormat="1" applyFont="1" applyFill="1" applyBorder="1"/>
    <xf numFmtId="14" fontId="0" fillId="33" borderId="16" xfId="0" applyNumberFormat="1" applyFont="1" applyFill="1" applyBorder="1"/>
    <xf numFmtId="21" fontId="0" fillId="33" borderId="16" xfId="0" applyNumberFormat="1" applyFont="1" applyFill="1" applyBorder="1"/>
    <xf numFmtId="0" fontId="0" fillId="33" borderId="16" xfId="0" applyNumberFormat="1" applyFont="1" applyFill="1" applyBorder="1"/>
    <xf numFmtId="0" fontId="0" fillId="33" borderId="13" xfId="0" applyFont="1" applyFill="1" applyBorder="1"/>
    <xf numFmtId="0" fontId="13" fillId="34" borderId="17" xfId="0" applyFont="1" applyFill="1" applyBorder="1"/>
    <xf numFmtId="0" fontId="13" fillId="34" borderId="11" xfId="0" applyFont="1" applyFill="1" applyBorder="1"/>
    <xf numFmtId="0" fontId="0" fillId="36" borderId="0" xfId="0" applyFill="1"/>
    <xf numFmtId="44" fontId="0" fillId="0" borderId="0" xfId="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63">
    <dxf>
      <numFmt numFmtId="1" formatCode="0"/>
    </dxf>
    <dxf>
      <numFmt numFmtId="1" formatCode="0"/>
    </dxf>
    <dxf>
      <numFmt numFmtId="1" formatCode="0"/>
    </dxf>
    <dxf>
      <numFmt numFmtId="164" formatCode="_ [$₹-4009]\ * #,##0.00_ ;_ [$₹-4009]\ * \-#,##0.00_ ;_ [$₹-4009]\ * &quot;-&quot;??_ ;_ @_ "/>
    </dxf>
    <dxf>
      <numFmt numFmtId="1" formatCode="0"/>
    </dxf>
    <dxf>
      <numFmt numFmtId="1" formatCode="0"/>
    </dxf>
    <dxf>
      <numFmt numFmtId="1" formatCode="0"/>
    </dxf>
    <dxf>
      <numFmt numFmtId="164" formatCode="_ [$₹-4009]\ * #,##0.00_ ;_ [$₹-4009]\ * \-#,##0.00_ ;_ [$₹-4009]\ * &quot;-&quot;??_ ;_ @_ "/>
    </dxf>
    <dxf>
      <numFmt numFmtId="1" formatCode="0"/>
    </dxf>
    <dxf>
      <numFmt numFmtId="1" formatCode="0"/>
    </dxf>
    <dxf>
      <numFmt numFmtId="1" formatCode="0"/>
    </dxf>
    <dxf>
      <numFmt numFmtId="164" formatCode="_ [$₹-4009]\ * #,##0.00_ ;_ [$₹-4009]\ * \-#,##0.00_ ;_ [$₹-4009]\ * &quot;-&quot;??_ ;_ @_ "/>
    </dxf>
    <dxf>
      <numFmt numFmtId="1" formatCode="0"/>
    </dxf>
    <dxf>
      <numFmt numFmtId="1" formatCode="0"/>
    </dxf>
    <dxf>
      <numFmt numFmtId="1" formatCode="0"/>
    </dxf>
    <dxf>
      <numFmt numFmtId="164" formatCode="_ [$₹-4009]\ * #,##0.00_ ;_ [$₹-4009]\ * \-#,##0.00_ ;_ [$₹-4009]\ * &quot;-&quot;??_ ;_ @_ "/>
    </dxf>
    <dxf>
      <numFmt numFmtId="1" formatCode="0"/>
    </dxf>
    <dxf>
      <numFmt numFmtId="1" formatCode="0"/>
    </dxf>
    <dxf>
      <numFmt numFmtId="1" formatCode="0"/>
    </dxf>
    <dxf>
      <numFmt numFmtId="164" formatCode="_ [$₹-4009]\ * #,##0.00_ ;_ [$₹-4009]\ * \-#,##0.00_ ;_ [$₹-4009]\ * &quot;-&quot;??_ ;_ @_ "/>
    </dxf>
    <dxf>
      <numFmt numFmtId="1" formatCode="0"/>
    </dxf>
    <dxf>
      <numFmt numFmtId="1" formatCode="0"/>
    </dxf>
    <dxf>
      <numFmt numFmtId="1" formatCode="0"/>
    </dxf>
    <dxf>
      <numFmt numFmtId="164" formatCode="_ [$₹-4009]\ * #,##0.00_ ;_ [$₹-4009]\ * \-#,##0.00_ ;_ [$₹-4009]\ * &quot;-&quot;??_ ;_ @_ "/>
    </dxf>
    <dxf>
      <numFmt numFmtId="1" formatCode="0"/>
    </dxf>
    <dxf>
      <numFmt numFmtId="1" formatCode="0"/>
    </dxf>
    <dxf>
      <numFmt numFmtId="1" formatCode="0"/>
    </dxf>
    <dxf>
      <numFmt numFmtId="164" formatCode="_ [$₹-4009]\ * #,##0.00_ ;_ [$₹-4009]\ * \-#,##0.00_ ;_ [$₹-4009]\ * &quot;-&quot;??_ ;_ @_ "/>
    </dxf>
    <dxf>
      <numFmt numFmtId="2" formatCode="0.00"/>
    </dxf>
    <dxf>
      <numFmt numFmtId="2" formatCode="0.00"/>
    </dxf>
    <dxf>
      <numFmt numFmtId="2" formatCode="0.00"/>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4009]\ * #,##0.00_ ;_ [$₹-4009]\ * \-#,##0.00_ ;_ [$₹-4009]\ * &quot;-&quot;??_ ;_ @_ "/>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26" formatCode="hh:mm:ss"/>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26" formatCode="hh:mm:ss"/>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26" formatCode="hh:mm:ss"/>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4009]\ * #,##0.00_ ;_ [$₹-4009]\ * \-#,##0.00_ ;_ [$₹-4009]\ * &quot;-&quot;??_ ;_ @_ "/>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vertical/>
        <horizontal/>
      </border>
    </dxf>
    <dxf>
      <border outline="0">
        <top style="medium">
          <color indexed="64"/>
        </top>
        <bottom style="thin">
          <color indexed="64"/>
        </bottom>
      </border>
    </dxf>
    <dxf>
      <numFmt numFmtId="2" formatCode="0.0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microsoft.com/office/2011/relationships/timelineCache" Target="timelineCaches/timelineCache2.xml"/><Relationship Id="rId4" Type="http://schemas.openxmlformats.org/officeDocument/2006/relationships/externalLink" Target="externalLinks/externalLink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50000"/>
                  </a:schemeClr>
                </a:solidFill>
              </a:rPr>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Pivot!$K$1</c:f>
              <c:strCache>
                <c:ptCount val="1"/>
                <c:pt idx="0">
                  <c:v>Total</c:v>
                </c:pt>
              </c:strCache>
            </c:strRef>
          </c:tx>
          <c:spPr>
            <a:ln w="28575" cap="rnd">
              <a:solidFill>
                <a:schemeClr val="accent6">
                  <a:lumMod val="50000"/>
                </a:schemeClr>
              </a:solidFill>
              <a:round/>
            </a:ln>
            <a:effectLst/>
          </c:spPr>
          <c:marker>
            <c:symbol val="none"/>
          </c:marker>
          <c:cat>
            <c:strRef>
              <c:f>Pivot!$J$2:$J$14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Pivot!$K$2:$K$14</c:f>
              <c:numCache>
                <c:formatCode>_ [$₹-4009]\ * #,##0.00_ ;_ [$₹-4009]\ * \-#,##0.00_ ;_ [$₹-4009]\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274-4D2C-B94B-EDCED309A3F8}"/>
            </c:ext>
          </c:extLst>
        </c:ser>
        <c:dLbls>
          <c:showLegendKey val="0"/>
          <c:showVal val="0"/>
          <c:showCatName val="0"/>
          <c:showSerName val="0"/>
          <c:showPercent val="0"/>
          <c:showBubbleSize val="0"/>
        </c:dLbls>
        <c:smooth val="0"/>
        <c:axId val="218255503"/>
        <c:axId val="218256943"/>
      </c:lineChart>
      <c:catAx>
        <c:axId val="218255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solidFill>
                      <a:schemeClr val="accent6">
                        <a:lumMod val="50000"/>
                      </a:schemeClr>
                    </a:solidFill>
                  </a:rPr>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218256943"/>
        <c:crosses val="autoZero"/>
        <c:auto val="1"/>
        <c:lblAlgn val="ctr"/>
        <c:lblOffset val="100"/>
        <c:noMultiLvlLbl val="0"/>
      </c:catAx>
      <c:valAx>
        <c:axId val="218256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solidFill>
                      <a:schemeClr val="accent6">
                        <a:lumMod val="50000"/>
                      </a:schemeClr>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218255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Analysis.xlsx]Pivot!PivotTable8</c:name>
    <c:fmtId val="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Revenue By</a:t>
            </a:r>
            <a:r>
              <a:rPr lang="en-US" baseline="0">
                <a:solidFill>
                  <a:schemeClr val="accent6">
                    <a:lumMod val="50000"/>
                  </a:schemeClr>
                </a:solidFill>
              </a:rPr>
              <a:t> Product Category</a:t>
            </a:r>
            <a:endParaRPr lang="en-US">
              <a:solidFill>
                <a:schemeClr val="accent6">
                  <a:lumMod val="50000"/>
                </a:scheme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Pivot!$K$16</c:f>
              <c:strCache>
                <c:ptCount val="1"/>
                <c:pt idx="0">
                  <c:v>Total</c:v>
                </c:pt>
              </c:strCache>
            </c:strRef>
          </c:tx>
          <c:spPr>
            <a:solidFill>
              <a:schemeClr val="accent6">
                <a:lumMod val="50000"/>
              </a:schemeClr>
            </a:solidFill>
            <a:ln>
              <a:noFill/>
            </a:ln>
            <a:effectLst/>
          </c:spPr>
          <c:invertIfNegative val="0"/>
          <c:cat>
            <c:strRef>
              <c:f>Pivot!$J$17:$J$24</c:f>
              <c:strCache>
                <c:ptCount val="7"/>
                <c:pt idx="0">
                  <c:v>Cake</c:v>
                </c:pt>
                <c:pt idx="1">
                  <c:v>Colors</c:v>
                </c:pt>
                <c:pt idx="2">
                  <c:v>Mugs</c:v>
                </c:pt>
                <c:pt idx="3">
                  <c:v>Plants</c:v>
                </c:pt>
                <c:pt idx="4">
                  <c:v>Raksha Bandhan</c:v>
                </c:pt>
                <c:pt idx="5">
                  <c:v>Soft Toys</c:v>
                </c:pt>
                <c:pt idx="6">
                  <c:v>Sweets</c:v>
                </c:pt>
              </c:strCache>
            </c:strRef>
          </c:cat>
          <c:val>
            <c:numRef>
              <c:f>Pivot!$K$17:$K$24</c:f>
              <c:numCache>
                <c:formatCode>_ [$₹-4009]\ * #,##0.00_ ;_ [$₹-4009]\ * \-#,##0.00_ ;_ [$₹-4009]\ * "-"??_ ;_ @_ </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F183-4DDB-9D45-279DD754F943}"/>
            </c:ext>
          </c:extLst>
        </c:ser>
        <c:dLbls>
          <c:showLegendKey val="0"/>
          <c:showVal val="0"/>
          <c:showCatName val="0"/>
          <c:showSerName val="0"/>
          <c:showPercent val="0"/>
          <c:showBubbleSize val="0"/>
        </c:dLbls>
        <c:gapWidth val="150"/>
        <c:overlap val="100"/>
        <c:axId val="540771487"/>
        <c:axId val="540771967"/>
      </c:barChart>
      <c:catAx>
        <c:axId val="540771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solidFill>
                      <a:schemeClr val="accent6">
                        <a:lumMod val="50000"/>
                      </a:schemeClr>
                    </a:solidFill>
                  </a:rPr>
                  <a:t>Product Category</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540771967"/>
        <c:crosses val="autoZero"/>
        <c:auto val="1"/>
        <c:lblAlgn val="ctr"/>
        <c:lblOffset val="100"/>
        <c:noMultiLvlLbl val="0"/>
      </c:catAx>
      <c:valAx>
        <c:axId val="54077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solidFill>
                      <a:schemeClr val="accent6">
                        <a:lumMod val="50000"/>
                      </a:schemeClr>
                    </a:solidFill>
                  </a:rPr>
                  <a:t>Sales</a:t>
                </a:r>
              </a:p>
            </c:rich>
          </c:tx>
          <c:overlay val="0"/>
          <c:spPr>
            <a:noFill/>
            <a:ln>
              <a:noFill/>
            </a:ln>
            <a:effectLst/>
          </c:sp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540771487"/>
        <c:crosses val="autoZero"/>
        <c:crossBetween val="between"/>
      </c:valAx>
      <c:spPr>
        <a:solidFill>
          <a:schemeClr val="accent6">
            <a:lumMod val="60000"/>
            <a:lumOff val="40000"/>
          </a:schemeClr>
        </a:solidFill>
      </c:spPr>
    </c:plotArea>
    <c:plotVisOnly val="1"/>
    <c:dispBlanksAs val="gap"/>
    <c:showDLblsOverMax val="0"/>
    <c:extLst/>
  </c:chart>
  <c:spPr>
    <a:solidFill>
      <a:schemeClr val="accent6">
        <a:lumMod val="60000"/>
        <a:lumOff val="40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Analysis.xlsx]Pivot!PivotTable4</c:name>
    <c:fmtId val="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Total</a:t>
            </a:r>
            <a:r>
              <a:rPr lang="en-US" baseline="0">
                <a:solidFill>
                  <a:schemeClr val="accent6">
                    <a:lumMod val="50000"/>
                  </a:schemeClr>
                </a:solidFill>
              </a:rPr>
              <a:t> Sales By Occasions</a:t>
            </a:r>
            <a:endParaRPr lang="en-US">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Pivot!$B$1</c:f>
              <c:strCache>
                <c:ptCount val="1"/>
                <c:pt idx="0">
                  <c:v>Total</c:v>
                </c:pt>
              </c:strCache>
            </c:strRef>
          </c:tx>
          <c:spPr>
            <a:solidFill>
              <a:schemeClr val="accent6">
                <a:lumMod val="50000"/>
              </a:schemeClr>
            </a:solidFill>
            <a:ln>
              <a:noFill/>
            </a:ln>
            <a:effectLst/>
          </c:spPr>
          <c:invertIfNegative val="0"/>
          <c:cat>
            <c:strRef>
              <c:f>Pivot!$A$2:$A$9</c:f>
              <c:strCache>
                <c:ptCount val="7"/>
                <c:pt idx="0">
                  <c:v>All Occasions</c:v>
                </c:pt>
                <c:pt idx="1">
                  <c:v>Anniversary</c:v>
                </c:pt>
                <c:pt idx="2">
                  <c:v>Birthday</c:v>
                </c:pt>
                <c:pt idx="3">
                  <c:v>Diwali</c:v>
                </c:pt>
                <c:pt idx="4">
                  <c:v>Holi</c:v>
                </c:pt>
                <c:pt idx="5">
                  <c:v>Raksha Bandhan</c:v>
                </c:pt>
                <c:pt idx="6">
                  <c:v>Valentine's Day</c:v>
                </c:pt>
              </c:strCache>
            </c:strRef>
          </c:cat>
          <c:val>
            <c:numRef>
              <c:f>Pivot!$B$2:$B$9</c:f>
              <c:numCache>
                <c:formatCode>_ [$₹-4009]\ * #,##0.00_ ;_ [$₹-4009]\ * \-#,##0.00_ ;_ [$₹-4009]\ * "-"??_ ;_ @_ </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44D-48B9-8A20-B2545BF5C2B5}"/>
            </c:ext>
          </c:extLst>
        </c:ser>
        <c:dLbls>
          <c:showLegendKey val="0"/>
          <c:showVal val="0"/>
          <c:showCatName val="0"/>
          <c:showSerName val="0"/>
          <c:showPercent val="0"/>
          <c:showBubbleSize val="0"/>
        </c:dLbls>
        <c:gapWidth val="150"/>
        <c:overlap val="100"/>
        <c:axId val="540771487"/>
        <c:axId val="540771967"/>
      </c:barChart>
      <c:catAx>
        <c:axId val="540771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solidFill>
                      <a:schemeClr val="accent6">
                        <a:lumMod val="50000"/>
                      </a:schemeClr>
                    </a:solidFill>
                  </a:rPr>
                  <a:t>Occasions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540771967"/>
        <c:crosses val="autoZero"/>
        <c:auto val="1"/>
        <c:lblAlgn val="ctr"/>
        <c:lblOffset val="100"/>
        <c:noMultiLvlLbl val="0"/>
      </c:catAx>
      <c:valAx>
        <c:axId val="54077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solidFill>
                      <a:schemeClr val="accent6">
                        <a:lumMod val="50000"/>
                      </a:schemeClr>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540771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Pivot!$H$1</c:f>
              <c:strCache>
                <c:ptCount val="1"/>
                <c:pt idx="0">
                  <c:v>Total</c:v>
                </c:pt>
              </c:strCache>
            </c:strRef>
          </c:tx>
          <c:spPr>
            <a:solidFill>
              <a:schemeClr val="accent6">
                <a:lumMod val="50000"/>
              </a:schemeClr>
            </a:solidFill>
            <a:ln>
              <a:noFill/>
            </a:ln>
            <a:effectLst/>
          </c:spPr>
          <c:invertIfNegative val="0"/>
          <c:cat>
            <c:strRef>
              <c:f>Pivot!$G$2:$G$12</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Pivot!$H$2:$H$12</c:f>
              <c:numCache>
                <c:formatCode>_ [$₹-4009]\ * #,##0.00_ ;_ [$₹-4009]\ * \-#,##0.00_ ;_ [$₹-4009]\ * "-"??_ ;_ @_ </c:formatCode>
                <c:ptCount val="10"/>
                <c:pt idx="0">
                  <c:v>97665</c:v>
                </c:pt>
                <c:pt idx="1">
                  <c:v>90036</c:v>
                </c:pt>
                <c:pt idx="2">
                  <c:v>106624</c:v>
                </c:pt>
                <c:pt idx="3">
                  <c:v>97012</c:v>
                </c:pt>
                <c:pt idx="4">
                  <c:v>96701</c:v>
                </c:pt>
                <c:pt idx="5">
                  <c:v>101556</c:v>
                </c:pt>
                <c:pt idx="6">
                  <c:v>121905</c:v>
                </c:pt>
                <c:pt idx="7">
                  <c:v>91385</c:v>
                </c:pt>
                <c:pt idx="8">
                  <c:v>97656</c:v>
                </c:pt>
                <c:pt idx="9">
                  <c:v>114476</c:v>
                </c:pt>
              </c:numCache>
            </c:numRef>
          </c:val>
          <c:extLst>
            <c:ext xmlns:c16="http://schemas.microsoft.com/office/drawing/2014/chart" uri="{C3380CC4-5D6E-409C-BE32-E72D297353CC}">
              <c16:uniqueId val="{00000002-51F2-42D9-B2DF-6C5C692D9A53}"/>
            </c:ext>
          </c:extLst>
        </c:ser>
        <c:dLbls>
          <c:showLegendKey val="0"/>
          <c:showVal val="0"/>
          <c:showCatName val="0"/>
          <c:showSerName val="0"/>
          <c:showPercent val="0"/>
          <c:showBubbleSize val="0"/>
        </c:dLbls>
        <c:gapWidth val="150"/>
        <c:overlap val="100"/>
        <c:axId val="540771487"/>
        <c:axId val="540771967"/>
      </c:barChart>
      <c:catAx>
        <c:axId val="540771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solidFill>
                      <a:schemeClr val="accent6">
                        <a:lumMod val="50000"/>
                      </a:schemeClr>
                    </a:solidFill>
                  </a:rPr>
                  <a:t>Products</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540771967"/>
        <c:crosses val="autoZero"/>
        <c:auto val="1"/>
        <c:lblAlgn val="ctr"/>
        <c:lblOffset val="100"/>
        <c:noMultiLvlLbl val="0"/>
      </c:catAx>
      <c:valAx>
        <c:axId val="54077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solidFill>
                      <a:schemeClr val="accent6">
                        <a:lumMod val="50000"/>
                      </a:schemeClr>
                    </a:solidFill>
                  </a:rPr>
                  <a:t>Sales</a:t>
                </a:r>
              </a:p>
            </c:rich>
          </c:tx>
          <c:overlay val="0"/>
          <c:spPr>
            <a:noFill/>
            <a:ln>
              <a:noFill/>
            </a:ln>
            <a:effectLst/>
          </c:sp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540771487"/>
        <c:crosses val="autoZero"/>
        <c:crossBetween val="between"/>
      </c:valAx>
      <c:spPr>
        <a:solidFill>
          <a:schemeClr val="accent6">
            <a:lumMod val="60000"/>
            <a:lumOff val="40000"/>
          </a:schemeClr>
        </a:solidFill>
      </c:spPr>
    </c:plotArea>
    <c:plotVisOnly val="1"/>
    <c:dispBlanksAs val="gap"/>
    <c:showDLblsOverMax val="0"/>
    <c:extLst/>
  </c:chart>
  <c:spPr>
    <a:solidFill>
      <a:schemeClr val="accent6">
        <a:lumMod val="60000"/>
        <a:lumOff val="40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Analysis.xlsx]Pivot!PivotTable9</c:name>
    <c:fmtId val="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Orders By Citys</a:t>
            </a:r>
          </a:p>
        </c:rich>
      </c:tx>
      <c:overlay val="0"/>
      <c:spPr>
        <a:noFill/>
        <a:ln>
          <a:solidFill>
            <a:schemeClr val="accent1"/>
          </a:solidFill>
          <a:round/>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Pivot!$E$1</c:f>
              <c:strCache>
                <c:ptCount val="1"/>
                <c:pt idx="0">
                  <c:v>Total</c:v>
                </c:pt>
              </c:strCache>
            </c:strRef>
          </c:tx>
          <c:spPr>
            <a:solidFill>
              <a:schemeClr val="accent6">
                <a:lumMod val="50000"/>
              </a:schemeClr>
            </a:solidFill>
            <a:ln>
              <a:noFill/>
            </a:ln>
            <a:effectLst/>
          </c:spPr>
          <c:invertIfNegative val="0"/>
          <c:cat>
            <c:strRef>
              <c:f>Pivot!$D$2:$D$12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Pivot!$E$2:$E$12</c:f>
              <c:numCache>
                <c:formatCode>0</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1E6E-4B58-A6DD-FE0923FC0822}"/>
            </c:ext>
          </c:extLst>
        </c:ser>
        <c:dLbls>
          <c:showLegendKey val="0"/>
          <c:showVal val="0"/>
          <c:showCatName val="0"/>
          <c:showSerName val="0"/>
          <c:showPercent val="0"/>
          <c:showBubbleSize val="0"/>
        </c:dLbls>
        <c:gapWidth val="150"/>
        <c:overlap val="100"/>
        <c:axId val="540771487"/>
        <c:axId val="540771967"/>
      </c:barChart>
      <c:catAx>
        <c:axId val="540771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solidFill>
                      <a:schemeClr val="accent6">
                        <a:lumMod val="50000"/>
                      </a:schemeClr>
                    </a:solidFill>
                  </a:rPr>
                  <a:t>Citys</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540771967"/>
        <c:crosses val="autoZero"/>
        <c:auto val="1"/>
        <c:lblAlgn val="ctr"/>
        <c:lblOffset val="100"/>
        <c:noMultiLvlLbl val="0"/>
      </c:catAx>
      <c:valAx>
        <c:axId val="54077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solidFill>
                      <a:schemeClr val="accent6">
                        <a:lumMod val="50000"/>
                      </a:schemeClr>
                    </a:solidFill>
                  </a:rPr>
                  <a:t>Orders</a:t>
                </a:r>
              </a:p>
            </c:rich>
          </c:tx>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540771487"/>
        <c:crosses val="autoZero"/>
        <c:crossBetween val="between"/>
      </c:valAx>
      <c:spPr>
        <a:solidFill>
          <a:schemeClr val="accent6">
            <a:lumMod val="60000"/>
            <a:lumOff val="40000"/>
          </a:schemeClr>
        </a:solidFill>
      </c:spPr>
    </c:plotArea>
    <c:plotVisOnly val="1"/>
    <c:dispBlanksAs val="gap"/>
    <c:showDLblsOverMax val="0"/>
    <c:extLst/>
  </c:chart>
  <c:spPr>
    <a:solidFill>
      <a:schemeClr val="accent6">
        <a:lumMod val="60000"/>
        <a:lumOff val="40000"/>
      </a:schemeClr>
    </a:solidFill>
    <a:ln cap="rn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Hours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Pivot!$H$14</c:f>
              <c:strCache>
                <c:ptCount val="1"/>
                <c:pt idx="0">
                  <c:v>Total</c:v>
                </c:pt>
              </c:strCache>
            </c:strRef>
          </c:tx>
          <c:spPr>
            <a:solidFill>
              <a:schemeClr val="accent6">
                <a:lumMod val="50000"/>
              </a:schemeClr>
            </a:solidFill>
            <a:ln>
              <a:noFill/>
            </a:ln>
            <a:effectLst/>
          </c:spPr>
          <c:invertIfNegative val="0"/>
          <c:cat>
            <c:strRef>
              <c:f>Pivot!$G$15:$G$39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Pivot!$H$15:$H$39</c:f>
              <c:numCache>
                <c:formatCode>_ [$₹-4009]\ * #,##0.00_ ;_ [$₹-4009]\ * \-#,##0.00_ ;_ [$₹-4009]\ * "-"??_ ;_ @_ </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extLst>
            <c:ext xmlns:c16="http://schemas.microsoft.com/office/drawing/2014/chart" uri="{C3380CC4-5D6E-409C-BE32-E72D297353CC}">
              <c16:uniqueId val="{00000002-1C6A-4E7D-9C48-E815D389740A}"/>
            </c:ext>
          </c:extLst>
        </c:ser>
        <c:dLbls>
          <c:showLegendKey val="0"/>
          <c:showVal val="0"/>
          <c:showCatName val="0"/>
          <c:showSerName val="0"/>
          <c:showPercent val="0"/>
          <c:showBubbleSize val="0"/>
        </c:dLbls>
        <c:gapWidth val="150"/>
        <c:overlap val="100"/>
        <c:axId val="540771487"/>
        <c:axId val="540771967"/>
      </c:barChart>
      <c:catAx>
        <c:axId val="540771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solidFill>
                      <a:schemeClr val="accent6">
                        <a:lumMod val="50000"/>
                      </a:schemeClr>
                    </a:solidFill>
                  </a:rPr>
                  <a:t>Hpurs</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540771967"/>
        <c:crosses val="autoZero"/>
        <c:auto val="1"/>
        <c:lblAlgn val="ctr"/>
        <c:lblOffset val="100"/>
        <c:noMultiLvlLbl val="0"/>
      </c:catAx>
      <c:valAx>
        <c:axId val="54077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solidFill>
                      <a:schemeClr val="accent6">
                        <a:lumMod val="50000"/>
                      </a:schemeClr>
                    </a:solidFill>
                  </a:rPr>
                  <a:t>Sales</a:t>
                </a:r>
              </a:p>
            </c:rich>
          </c:tx>
          <c:overlay val="0"/>
          <c:spPr>
            <a:noFill/>
            <a:ln>
              <a:noFill/>
            </a:ln>
            <a:effectLst/>
          </c:sp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540771487"/>
        <c:crosses val="autoZero"/>
        <c:crossBetween val="between"/>
      </c:valAx>
      <c:spPr>
        <a:solidFill>
          <a:schemeClr val="accent6">
            <a:lumMod val="60000"/>
            <a:lumOff val="40000"/>
          </a:schemeClr>
        </a:solidFill>
      </c:spPr>
    </c:plotArea>
    <c:plotVisOnly val="1"/>
    <c:dispBlanksAs val="gap"/>
    <c:showDLblsOverMax val="0"/>
    <c:extLst/>
  </c:chart>
  <c:spPr>
    <a:solidFill>
      <a:schemeClr val="accent6">
        <a:lumMod val="60000"/>
        <a:lumOff val="40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518160</xdr:colOff>
      <xdr:row>6</xdr:row>
      <xdr:rowOff>99060</xdr:rowOff>
    </xdr:from>
    <xdr:to>
      <xdr:col>7</xdr:col>
      <xdr:colOff>390960</xdr:colOff>
      <xdr:row>21</xdr:row>
      <xdr:rowOff>91860</xdr:rowOff>
    </xdr:to>
    <xdr:graphicFrame macro="">
      <xdr:nvGraphicFramePr>
        <xdr:cNvPr id="2" name="Chart 1">
          <a:extLst>
            <a:ext uri="{FF2B5EF4-FFF2-40B4-BE49-F238E27FC236}">
              <a16:creationId xmlns:a16="http://schemas.microsoft.com/office/drawing/2014/main" id="{D5B4A79C-A3E5-4C41-B79E-F575E8C79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464820</xdr:colOff>
      <xdr:row>6</xdr:row>
      <xdr:rowOff>99060</xdr:rowOff>
    </xdr:from>
    <xdr:to>
      <xdr:col>14</xdr:col>
      <xdr:colOff>157620</xdr:colOff>
      <xdr:row>21</xdr:row>
      <xdr:rowOff>91860</xdr:rowOff>
    </xdr:to>
    <xdr:graphicFrame macro="">
      <xdr:nvGraphicFramePr>
        <xdr:cNvPr id="3" name="Chart 2">
          <a:extLst>
            <a:ext uri="{FF2B5EF4-FFF2-40B4-BE49-F238E27FC236}">
              <a16:creationId xmlns:a16="http://schemas.microsoft.com/office/drawing/2014/main" id="{A40C8086-9894-4FC3-8958-66F1FAAAC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14</xdr:col>
      <xdr:colOff>259080</xdr:colOff>
      <xdr:row>22</xdr:row>
      <xdr:rowOff>15240</xdr:rowOff>
    </xdr:from>
    <xdr:to>
      <xdr:col>20</xdr:col>
      <xdr:colOff>561480</xdr:colOff>
      <xdr:row>37</xdr:row>
      <xdr:rowOff>8040</xdr:rowOff>
    </xdr:to>
    <xdr:graphicFrame macro="">
      <xdr:nvGraphicFramePr>
        <xdr:cNvPr id="4" name="Chart 3">
          <a:extLst>
            <a:ext uri="{FF2B5EF4-FFF2-40B4-BE49-F238E27FC236}">
              <a16:creationId xmlns:a16="http://schemas.microsoft.com/office/drawing/2014/main" id="{E82D786C-DB4C-46B4-AECA-52D750335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487680</xdr:colOff>
      <xdr:row>22</xdr:row>
      <xdr:rowOff>0</xdr:rowOff>
    </xdr:from>
    <xdr:to>
      <xdr:col>14</xdr:col>
      <xdr:colOff>180480</xdr:colOff>
      <xdr:row>36</xdr:row>
      <xdr:rowOff>175680</xdr:rowOff>
    </xdr:to>
    <xdr:graphicFrame macro="">
      <xdr:nvGraphicFramePr>
        <xdr:cNvPr id="5" name="Chart 4">
          <a:extLst>
            <a:ext uri="{FF2B5EF4-FFF2-40B4-BE49-F238E27FC236}">
              <a16:creationId xmlns:a16="http://schemas.microsoft.com/office/drawing/2014/main" id="{20CDB4DA-D4BD-49E8-B94C-9029ECF79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14</xdr:col>
      <xdr:colOff>243840</xdr:colOff>
      <xdr:row>6</xdr:row>
      <xdr:rowOff>99060</xdr:rowOff>
    </xdr:from>
    <xdr:to>
      <xdr:col>20</xdr:col>
      <xdr:colOff>546240</xdr:colOff>
      <xdr:row>21</xdr:row>
      <xdr:rowOff>91860</xdr:rowOff>
    </xdr:to>
    <xdr:graphicFrame macro="">
      <xdr:nvGraphicFramePr>
        <xdr:cNvPr id="6" name="Chart 5">
          <a:extLst>
            <a:ext uri="{FF2B5EF4-FFF2-40B4-BE49-F238E27FC236}">
              <a16:creationId xmlns:a16="http://schemas.microsoft.com/office/drawing/2014/main" id="{7D5FD112-30BD-474D-9A11-4003A450F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533400</xdr:colOff>
      <xdr:row>22</xdr:row>
      <xdr:rowOff>0</xdr:rowOff>
    </xdr:from>
    <xdr:to>
      <xdr:col>7</xdr:col>
      <xdr:colOff>406200</xdr:colOff>
      <xdr:row>36</xdr:row>
      <xdr:rowOff>175680</xdr:rowOff>
    </xdr:to>
    <xdr:graphicFrame macro="">
      <xdr:nvGraphicFramePr>
        <xdr:cNvPr id="7" name="Chart 6">
          <a:extLst>
            <a:ext uri="{FF2B5EF4-FFF2-40B4-BE49-F238E27FC236}">
              <a16:creationId xmlns:a16="http://schemas.microsoft.com/office/drawing/2014/main" id="{A5BE7FA5-9709-49BD-818E-E5D62BFF2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21</xdr:col>
      <xdr:colOff>0</xdr:colOff>
      <xdr:row>18</xdr:row>
      <xdr:rowOff>137160</xdr:rowOff>
    </xdr:from>
    <xdr:to>
      <xdr:col>24</xdr:col>
      <xdr:colOff>0</xdr:colOff>
      <xdr:row>37</xdr:row>
      <xdr:rowOff>0</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3C1AAA58-E011-45AE-9FFD-3A45D81BEEF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801600" y="3429000"/>
              <a:ext cx="1828800" cy="3337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21</xdr:col>
      <xdr:colOff>182880</xdr:colOff>
      <xdr:row>10</xdr:row>
      <xdr:rowOff>15240</xdr:rowOff>
    </xdr:from>
    <xdr:to>
      <xdr:col>24</xdr:col>
      <xdr:colOff>15240</xdr:colOff>
      <xdr:row>18</xdr:row>
      <xdr:rowOff>15240</xdr:rowOff>
    </xdr:to>
    <mc:AlternateContent xmlns:mc="http://schemas.openxmlformats.org/markup-compatibility/2006">
      <mc:Choice xmlns:tsle="http://schemas.microsoft.com/office/drawing/2012/timeslicer" Requires="tsle">
        <xdr:graphicFrame macro="">
          <xdr:nvGraphicFramePr>
            <xdr:cNvPr id="9" name="Order_Date">
              <a:extLst>
                <a:ext uri="{FF2B5EF4-FFF2-40B4-BE49-F238E27FC236}">
                  <a16:creationId xmlns:a16="http://schemas.microsoft.com/office/drawing/2014/main" id="{D368BF7E-E200-4A52-8B91-C80CA17387AC}"/>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984480" y="1844040"/>
              <a:ext cx="1661160" cy="14630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21</xdr:col>
      <xdr:colOff>160020</xdr:colOff>
      <xdr:row>0</xdr:row>
      <xdr:rowOff>129540</xdr:rowOff>
    </xdr:from>
    <xdr:to>
      <xdr:col>24</xdr:col>
      <xdr:colOff>0</xdr:colOff>
      <xdr:row>9</xdr:row>
      <xdr:rowOff>76200</xdr:rowOff>
    </xdr:to>
    <mc:AlternateContent xmlns:mc="http://schemas.openxmlformats.org/markup-compatibility/2006">
      <mc:Choice xmlns:tsle="http://schemas.microsoft.com/office/drawing/2012/timeslicer" Requires="tsle">
        <xdr:graphicFrame macro="">
          <xdr:nvGraphicFramePr>
            <xdr:cNvPr id="11" name="Delivery_Date">
              <a:extLst>
                <a:ext uri="{FF2B5EF4-FFF2-40B4-BE49-F238E27FC236}">
                  <a16:creationId xmlns:a16="http://schemas.microsoft.com/office/drawing/2014/main" id="{04454DAF-FD78-4405-B7E0-F71D5C6F79DC}"/>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961620" y="129540"/>
              <a:ext cx="1668780" cy="15925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6</xdr:col>
      <xdr:colOff>457200</xdr:colOff>
      <xdr:row>1</xdr:row>
      <xdr:rowOff>38100</xdr:rowOff>
    </xdr:from>
    <xdr:to>
      <xdr:col>9</xdr:col>
      <xdr:colOff>236220</xdr:colOff>
      <xdr:row>5</xdr:row>
      <xdr:rowOff>144780</xdr:rowOff>
    </xdr:to>
    <xdr:sp macro="" textlink="Pivot!M11">
      <xdr:nvSpPr>
        <xdr:cNvPr id="12" name="Rectangle: Rounded Corners 11">
          <a:extLst>
            <a:ext uri="{FF2B5EF4-FFF2-40B4-BE49-F238E27FC236}">
              <a16:creationId xmlns:a16="http://schemas.microsoft.com/office/drawing/2014/main" id="{588B754F-5DDE-0F4F-70E2-8C9147BBBCA6}"/>
            </a:ext>
          </a:extLst>
        </xdr:cNvPr>
        <xdr:cNvSpPr/>
      </xdr:nvSpPr>
      <xdr:spPr>
        <a:xfrm>
          <a:off x="4114800" y="220980"/>
          <a:ext cx="1607820" cy="8382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47AA04F-070C-4D86-8414-32D25BBB8519}" type="TxLink">
            <a:rPr lang="en-US" sz="1400" b="0" i="0" u="none" strike="noStrike">
              <a:solidFill>
                <a:schemeClr val="accent6">
                  <a:lumMod val="50000"/>
                </a:schemeClr>
              </a:solidFill>
              <a:latin typeface="Calibri"/>
              <a:ea typeface="Calibri"/>
              <a:cs typeface="Calibri"/>
            </a:rPr>
            <a:pPr algn="ctr"/>
            <a:t>1000</a:t>
          </a:fld>
          <a:endParaRPr lang="en-US" sz="1400" b="0" i="0" u="none" strike="noStrike">
            <a:solidFill>
              <a:schemeClr val="accent6">
                <a:lumMod val="50000"/>
              </a:schemeClr>
            </a:solidFill>
            <a:latin typeface="Calibri"/>
            <a:ea typeface="Calibri"/>
            <a:cs typeface="Calibri"/>
          </a:endParaRPr>
        </a:p>
        <a:p>
          <a:pPr algn="ctr"/>
          <a:r>
            <a:rPr lang="en-US" sz="1400" b="0" i="0" u="none" strike="noStrike">
              <a:solidFill>
                <a:schemeClr val="accent6">
                  <a:lumMod val="50000"/>
                </a:schemeClr>
              </a:solidFill>
              <a:latin typeface="Calibri"/>
              <a:ea typeface="Calibri"/>
              <a:cs typeface="Calibri"/>
            </a:rPr>
            <a:t>Total Orders</a:t>
          </a:r>
          <a:endParaRPr lang="en-IN" sz="1400">
            <a:solidFill>
              <a:schemeClr val="accent6">
                <a:lumMod val="50000"/>
              </a:schemeClr>
            </a:solidFill>
          </a:endParaRPr>
        </a:p>
      </xdr:txBody>
    </xdr:sp>
    <xdr:clientData/>
  </xdr:twoCellAnchor>
  <xdr:twoCellAnchor>
    <xdr:from>
      <xdr:col>9</xdr:col>
      <xdr:colOff>327660</xdr:colOff>
      <xdr:row>1</xdr:row>
      <xdr:rowOff>30480</xdr:rowOff>
    </xdr:from>
    <xdr:to>
      <xdr:col>12</xdr:col>
      <xdr:colOff>114300</xdr:colOff>
      <xdr:row>5</xdr:row>
      <xdr:rowOff>137160</xdr:rowOff>
    </xdr:to>
    <xdr:sp macro="" textlink="Pivot!M15">
      <xdr:nvSpPr>
        <xdr:cNvPr id="17" name="Rectangle: Rounded Corners 16">
          <a:extLst>
            <a:ext uri="{FF2B5EF4-FFF2-40B4-BE49-F238E27FC236}">
              <a16:creationId xmlns:a16="http://schemas.microsoft.com/office/drawing/2014/main" id="{03B787E6-B78E-4476-A869-A0D5B2501F4A}"/>
            </a:ext>
          </a:extLst>
        </xdr:cNvPr>
        <xdr:cNvSpPr/>
      </xdr:nvSpPr>
      <xdr:spPr>
        <a:xfrm>
          <a:off x="5814060" y="213360"/>
          <a:ext cx="1615440" cy="8382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F243D8-E93B-4B29-8EF9-D514895E1AA9}" type="TxLink">
            <a:rPr lang="en-US" sz="1400" b="0" i="0" u="none" strike="noStrike">
              <a:solidFill>
                <a:schemeClr val="accent6">
                  <a:lumMod val="50000"/>
                </a:schemeClr>
              </a:solidFill>
              <a:latin typeface="Calibri"/>
              <a:ea typeface="Calibri"/>
              <a:cs typeface="Calibri"/>
            </a:rPr>
            <a:pPr algn="ctr"/>
            <a:t>5.53</a:t>
          </a:fld>
          <a:endParaRPr lang="en-US" sz="1400" b="0" i="0" u="none" strike="noStrike">
            <a:solidFill>
              <a:schemeClr val="accent6">
                <a:lumMod val="50000"/>
              </a:schemeClr>
            </a:solidFill>
            <a:latin typeface="Calibri"/>
            <a:ea typeface="Calibri"/>
            <a:cs typeface="Calibri"/>
          </a:endParaRPr>
        </a:p>
        <a:p>
          <a:pPr algn="ctr"/>
          <a:r>
            <a:rPr lang="en-US" sz="1400" b="0" i="0" u="none" strike="noStrike">
              <a:solidFill>
                <a:schemeClr val="accent6">
                  <a:lumMod val="50000"/>
                </a:schemeClr>
              </a:solidFill>
              <a:latin typeface="Calibri"/>
              <a:ea typeface="Calibri"/>
              <a:cs typeface="Calibri"/>
            </a:rPr>
            <a:t>Avg-Delivery</a:t>
          </a:r>
          <a:r>
            <a:rPr lang="en-US" sz="1400" b="0" i="0" u="none" strike="noStrike" baseline="0">
              <a:solidFill>
                <a:schemeClr val="accent6">
                  <a:lumMod val="50000"/>
                </a:schemeClr>
              </a:solidFill>
              <a:latin typeface="Calibri"/>
              <a:ea typeface="Calibri"/>
              <a:cs typeface="Calibri"/>
            </a:rPr>
            <a:t> Days</a:t>
          </a:r>
          <a:endParaRPr lang="en-US" sz="1400" b="0" i="0" u="none" strike="noStrike">
            <a:solidFill>
              <a:schemeClr val="accent6">
                <a:lumMod val="50000"/>
              </a:schemeClr>
            </a:solidFill>
            <a:latin typeface="Calibri"/>
            <a:ea typeface="Calibri"/>
            <a:cs typeface="Calibri"/>
          </a:endParaRPr>
        </a:p>
      </xdr:txBody>
    </xdr:sp>
    <xdr:clientData/>
  </xdr:twoCellAnchor>
  <xdr:twoCellAnchor>
    <xdr:from>
      <xdr:col>12</xdr:col>
      <xdr:colOff>198120</xdr:colOff>
      <xdr:row>1</xdr:row>
      <xdr:rowOff>22860</xdr:rowOff>
    </xdr:from>
    <xdr:to>
      <xdr:col>15</xdr:col>
      <xdr:colOff>335280</xdr:colOff>
      <xdr:row>5</xdr:row>
      <xdr:rowOff>129540</xdr:rowOff>
    </xdr:to>
    <xdr:sp macro="" textlink="Pivot!M7">
      <xdr:nvSpPr>
        <xdr:cNvPr id="18" name="Rectangle: Rounded Corners 17">
          <a:extLst>
            <a:ext uri="{FF2B5EF4-FFF2-40B4-BE49-F238E27FC236}">
              <a16:creationId xmlns:a16="http://schemas.microsoft.com/office/drawing/2014/main" id="{D63496FC-1A4E-4D45-B42E-BC225780700A}"/>
            </a:ext>
          </a:extLst>
        </xdr:cNvPr>
        <xdr:cNvSpPr/>
      </xdr:nvSpPr>
      <xdr:spPr>
        <a:xfrm>
          <a:off x="7513320" y="205740"/>
          <a:ext cx="1965960" cy="8382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E846E9F-5186-4084-A363-E8C3AFB7AF1B}" type="TxLink">
            <a:rPr lang="en-US" sz="1400" b="0" i="0" u="none" strike="noStrike">
              <a:solidFill>
                <a:schemeClr val="accent6">
                  <a:lumMod val="50000"/>
                </a:schemeClr>
              </a:solidFill>
              <a:latin typeface="Calibri"/>
              <a:ea typeface="Calibri"/>
              <a:cs typeface="Calibri"/>
            </a:rPr>
            <a:pPr algn="ctr"/>
            <a:t> ₹ 3,520.98 </a:t>
          </a:fld>
          <a:endParaRPr lang="en-US" sz="1400" b="0" i="0" u="none" strike="noStrike">
            <a:solidFill>
              <a:schemeClr val="accent6">
                <a:lumMod val="50000"/>
              </a:schemeClr>
            </a:solidFill>
            <a:latin typeface="Calibri"/>
            <a:ea typeface="Calibri"/>
            <a:cs typeface="Calibri"/>
          </a:endParaRPr>
        </a:p>
        <a:p>
          <a:pPr algn="ctr"/>
          <a:r>
            <a:rPr lang="en-US" sz="1400" b="0" i="0" u="none" strike="noStrike">
              <a:solidFill>
                <a:schemeClr val="accent6">
                  <a:lumMod val="50000"/>
                </a:schemeClr>
              </a:solidFill>
              <a:latin typeface="Calibri"/>
              <a:ea typeface="Calibri"/>
              <a:cs typeface="Calibri"/>
            </a:rPr>
            <a:t>Avg-Customer"s Spent</a:t>
          </a:r>
          <a:endParaRPr lang="en-IN" sz="1400">
            <a:solidFill>
              <a:schemeClr val="accent6">
                <a:lumMod val="50000"/>
              </a:schemeClr>
            </a:solidFill>
          </a:endParaRPr>
        </a:p>
      </xdr:txBody>
    </xdr:sp>
    <xdr:clientData/>
  </xdr:twoCellAnchor>
  <xdr:twoCellAnchor>
    <xdr:from>
      <xdr:col>15</xdr:col>
      <xdr:colOff>426720</xdr:colOff>
      <xdr:row>1</xdr:row>
      <xdr:rowOff>22860</xdr:rowOff>
    </xdr:from>
    <xdr:to>
      <xdr:col>18</xdr:col>
      <xdr:colOff>205740</xdr:colOff>
      <xdr:row>5</xdr:row>
      <xdr:rowOff>129540</xdr:rowOff>
    </xdr:to>
    <xdr:sp macro="" textlink="Pivot!M3">
      <xdr:nvSpPr>
        <xdr:cNvPr id="19" name="Rectangle: Rounded Corners 18">
          <a:extLst>
            <a:ext uri="{FF2B5EF4-FFF2-40B4-BE49-F238E27FC236}">
              <a16:creationId xmlns:a16="http://schemas.microsoft.com/office/drawing/2014/main" id="{5951F4B7-90DB-414F-B8DD-142863A4D02A}"/>
            </a:ext>
          </a:extLst>
        </xdr:cNvPr>
        <xdr:cNvSpPr/>
      </xdr:nvSpPr>
      <xdr:spPr>
        <a:xfrm>
          <a:off x="9570720" y="205740"/>
          <a:ext cx="1607820" cy="8382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4EBFBE-94F7-4C9B-8268-DC444245E926}" type="TxLink">
            <a:rPr lang="en-US" sz="1400" b="0" i="0" u="none" strike="noStrike">
              <a:solidFill>
                <a:schemeClr val="accent6">
                  <a:lumMod val="50000"/>
                </a:schemeClr>
              </a:solidFill>
              <a:latin typeface="Calibri"/>
              <a:ea typeface="Calibri"/>
              <a:cs typeface="Calibri"/>
            </a:rPr>
            <a:pPr algn="ctr"/>
            <a:t> ₹ 35,20,984.00 </a:t>
          </a:fld>
          <a:endParaRPr lang="en-US" sz="1400" b="0" i="0" u="none" strike="noStrike">
            <a:solidFill>
              <a:schemeClr val="accent6">
                <a:lumMod val="50000"/>
              </a:schemeClr>
            </a:solidFill>
            <a:latin typeface="Calibri"/>
            <a:ea typeface="Calibri"/>
            <a:cs typeface="Calibri"/>
          </a:endParaRPr>
        </a:p>
        <a:p>
          <a:pPr algn="ctr"/>
          <a:r>
            <a:rPr lang="en-US" sz="1400" b="0" i="0" u="none" strike="noStrike">
              <a:solidFill>
                <a:schemeClr val="accent6">
                  <a:lumMod val="50000"/>
                </a:schemeClr>
              </a:solidFill>
              <a:latin typeface="Calibri"/>
              <a:ea typeface="Calibri"/>
              <a:cs typeface="Calibri"/>
            </a:rPr>
            <a:t>Total</a:t>
          </a:r>
          <a:r>
            <a:rPr lang="en-US" sz="1400" b="0" i="0" u="none" strike="noStrike" baseline="0">
              <a:solidFill>
                <a:schemeClr val="accent6">
                  <a:lumMod val="50000"/>
                </a:schemeClr>
              </a:solidFill>
              <a:latin typeface="Calibri"/>
              <a:ea typeface="Calibri"/>
              <a:cs typeface="Calibri"/>
            </a:rPr>
            <a:t> Revenue</a:t>
          </a:r>
          <a:endParaRPr lang="en-IN" sz="1400">
            <a:solidFill>
              <a:schemeClr val="accent6">
                <a:lumMod val="50000"/>
              </a:schemeClr>
            </a:solidFill>
          </a:endParaRPr>
        </a:p>
      </xdr:txBody>
    </xdr:sp>
    <xdr:clientData/>
  </xdr:twoCellAnchor>
  <xdr:twoCellAnchor>
    <xdr:from>
      <xdr:col>18</xdr:col>
      <xdr:colOff>266700</xdr:colOff>
      <xdr:row>1</xdr:row>
      <xdr:rowOff>7620</xdr:rowOff>
    </xdr:from>
    <xdr:to>
      <xdr:col>21</xdr:col>
      <xdr:colOff>121920</xdr:colOff>
      <xdr:row>5</xdr:row>
      <xdr:rowOff>114300</xdr:rowOff>
    </xdr:to>
    <xdr:sp macro="" textlink="Pivot!M18">
      <xdr:nvSpPr>
        <xdr:cNvPr id="20" name="Rectangle: Rounded Corners 19">
          <a:extLst>
            <a:ext uri="{FF2B5EF4-FFF2-40B4-BE49-F238E27FC236}">
              <a16:creationId xmlns:a16="http://schemas.microsoft.com/office/drawing/2014/main" id="{AC8249D7-8DBF-4B99-A766-6D6B061A7668}"/>
            </a:ext>
          </a:extLst>
        </xdr:cNvPr>
        <xdr:cNvSpPr/>
      </xdr:nvSpPr>
      <xdr:spPr>
        <a:xfrm>
          <a:off x="11239500" y="190500"/>
          <a:ext cx="1684020" cy="8382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E70DB5C-ECCB-4F51-9826-6DFE9082816F}" type="TxLink">
            <a:rPr lang="en-US" sz="1400" b="0" i="0" u="none" strike="noStrike">
              <a:solidFill>
                <a:schemeClr val="accent6">
                  <a:lumMod val="50000"/>
                </a:schemeClr>
              </a:solidFill>
              <a:latin typeface="Calibri"/>
              <a:ea typeface="Calibri"/>
              <a:cs typeface="Calibri"/>
            </a:rPr>
            <a:t>0.003478174</a:t>
          </a:fld>
          <a:endParaRPr lang="en-US" sz="1400" b="0" i="0" u="none" strike="noStrike">
            <a:solidFill>
              <a:schemeClr val="accent6">
                <a:lumMod val="50000"/>
              </a:schemeClr>
            </a:solidFill>
            <a:latin typeface="Calibri"/>
            <a:ea typeface="Calibri"/>
            <a:cs typeface="Calibri"/>
          </a:endParaRPr>
        </a:p>
        <a:p>
          <a:pPr algn="ctr"/>
          <a:r>
            <a:rPr lang="en-US" sz="1400" b="0" i="0" u="none" strike="noStrike">
              <a:solidFill>
                <a:schemeClr val="accent6">
                  <a:lumMod val="50000"/>
                </a:schemeClr>
              </a:solidFill>
              <a:latin typeface="Calibri"/>
              <a:ea typeface="Calibri"/>
              <a:cs typeface="Calibri"/>
            </a:rPr>
            <a:t>Correlation</a:t>
          </a:r>
          <a:r>
            <a:rPr lang="en-US" sz="1400" b="0" i="0" u="none" strike="noStrike" baseline="0">
              <a:solidFill>
                <a:schemeClr val="accent6">
                  <a:lumMod val="50000"/>
                </a:schemeClr>
              </a:solidFill>
              <a:latin typeface="Calibri"/>
              <a:ea typeface="Calibri"/>
              <a:cs typeface="Calibri"/>
            </a:rPr>
            <a:t> Ord/Time</a:t>
          </a:r>
          <a:endParaRPr lang="en-IN" sz="1400">
            <a:solidFill>
              <a:schemeClr val="accent6">
                <a:lumMod val="50000"/>
              </a:schemeClr>
            </a:solidFill>
          </a:endParaRPr>
        </a:p>
      </xdr:txBody>
    </xdr:sp>
    <xdr:clientData/>
  </xdr:twoCellAnchor>
  <xdr:twoCellAnchor>
    <xdr:from>
      <xdr:col>0</xdr:col>
      <xdr:colOff>525780</xdr:colOff>
      <xdr:row>1</xdr:row>
      <xdr:rowOff>30480</xdr:rowOff>
    </xdr:from>
    <xdr:to>
      <xdr:col>6</xdr:col>
      <xdr:colOff>350520</xdr:colOff>
      <xdr:row>5</xdr:row>
      <xdr:rowOff>137160</xdr:rowOff>
    </xdr:to>
    <xdr:sp macro="" textlink="Pivot!M11">
      <xdr:nvSpPr>
        <xdr:cNvPr id="21" name="Rectangle: Rounded Corners 20">
          <a:extLst>
            <a:ext uri="{FF2B5EF4-FFF2-40B4-BE49-F238E27FC236}">
              <a16:creationId xmlns:a16="http://schemas.microsoft.com/office/drawing/2014/main" id="{A1AA5309-ACE1-4562-8568-D9AFB439C753}"/>
            </a:ext>
          </a:extLst>
        </xdr:cNvPr>
        <xdr:cNvSpPr/>
      </xdr:nvSpPr>
      <xdr:spPr>
        <a:xfrm>
          <a:off x="525780" y="213360"/>
          <a:ext cx="3482340" cy="8382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accent6">
                  <a:lumMod val="50000"/>
                </a:schemeClr>
              </a:solidFill>
            </a:rPr>
            <a:t>          Sales Analysis</a:t>
          </a:r>
        </a:p>
      </xdr:txBody>
    </xdr:sp>
    <xdr:clientData/>
  </xdr:twoCellAnchor>
  <xdr:twoCellAnchor editAs="oneCell">
    <xdr:from>
      <xdr:col>1</xdr:col>
      <xdr:colOff>7620</xdr:colOff>
      <xdr:row>1</xdr:row>
      <xdr:rowOff>83820</xdr:rowOff>
    </xdr:from>
    <xdr:to>
      <xdr:col>2</xdr:col>
      <xdr:colOff>228600</xdr:colOff>
      <xdr:row>5</xdr:row>
      <xdr:rowOff>91440</xdr:rowOff>
    </xdr:to>
    <xdr:pic>
      <xdr:nvPicPr>
        <xdr:cNvPr id="23" name="Picture 22">
          <a:extLst>
            <a:ext uri="{FF2B5EF4-FFF2-40B4-BE49-F238E27FC236}">
              <a16:creationId xmlns:a16="http://schemas.microsoft.com/office/drawing/2014/main" id="{C9A8EE91-AE60-A834-693B-BBF19F4CA8C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17220" y="266700"/>
          <a:ext cx="830580" cy="7391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alab\OneDrive\Desktop\Excel%20Practice\products.csv" TargetMode="External"/><Relationship Id="rId1" Type="http://schemas.openxmlformats.org/officeDocument/2006/relationships/externalLinkPath" Target="Excel%20Practice/products.csv"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palab\OneDrive\Desktop\Excel%20Practice\customers.csv" TargetMode="External"/><Relationship Id="rId1" Type="http://schemas.openxmlformats.org/officeDocument/2006/relationships/externalLinkPath" Target="Excel%20Practice/customer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ducts"/>
    </sheetNames>
    <sheetDataSet>
      <sheetData sheetId="0">
        <row r="2">
          <cell r="A2">
            <v>1</v>
          </cell>
          <cell r="D2">
            <v>1935</v>
          </cell>
        </row>
        <row r="3">
          <cell r="A3">
            <v>2</v>
          </cell>
          <cell r="D3">
            <v>441</v>
          </cell>
        </row>
        <row r="4">
          <cell r="A4">
            <v>3</v>
          </cell>
          <cell r="D4">
            <v>1534</v>
          </cell>
        </row>
        <row r="5">
          <cell r="A5">
            <v>4</v>
          </cell>
          <cell r="D5">
            <v>1199</v>
          </cell>
        </row>
        <row r="6">
          <cell r="A6">
            <v>5</v>
          </cell>
          <cell r="D6">
            <v>1444</v>
          </cell>
        </row>
        <row r="7">
          <cell r="A7">
            <v>6</v>
          </cell>
          <cell r="D7">
            <v>1112</v>
          </cell>
        </row>
        <row r="8">
          <cell r="A8">
            <v>7</v>
          </cell>
          <cell r="D8">
            <v>409</v>
          </cell>
        </row>
        <row r="9">
          <cell r="A9">
            <v>8</v>
          </cell>
          <cell r="D9">
            <v>252</v>
          </cell>
        </row>
        <row r="10">
          <cell r="A10">
            <v>9</v>
          </cell>
          <cell r="D10">
            <v>1605</v>
          </cell>
        </row>
        <row r="11">
          <cell r="A11">
            <v>10</v>
          </cell>
          <cell r="D11">
            <v>259</v>
          </cell>
        </row>
        <row r="12">
          <cell r="A12">
            <v>11</v>
          </cell>
          <cell r="D12">
            <v>1096</v>
          </cell>
        </row>
        <row r="13">
          <cell r="A13">
            <v>12</v>
          </cell>
          <cell r="D13">
            <v>672</v>
          </cell>
        </row>
        <row r="14">
          <cell r="A14">
            <v>13</v>
          </cell>
          <cell r="D14">
            <v>1141</v>
          </cell>
        </row>
        <row r="15">
          <cell r="A15">
            <v>14</v>
          </cell>
          <cell r="D15">
            <v>1915</v>
          </cell>
        </row>
        <row r="16">
          <cell r="A16">
            <v>15</v>
          </cell>
          <cell r="D16">
            <v>1488</v>
          </cell>
        </row>
        <row r="17">
          <cell r="A17">
            <v>16</v>
          </cell>
          <cell r="D17">
            <v>1721</v>
          </cell>
        </row>
        <row r="18">
          <cell r="A18">
            <v>17</v>
          </cell>
          <cell r="D18">
            <v>1899</v>
          </cell>
        </row>
        <row r="19">
          <cell r="A19">
            <v>18</v>
          </cell>
          <cell r="D19">
            <v>781</v>
          </cell>
        </row>
        <row r="20">
          <cell r="A20">
            <v>19</v>
          </cell>
          <cell r="D20">
            <v>1234</v>
          </cell>
        </row>
        <row r="21">
          <cell r="A21">
            <v>20</v>
          </cell>
          <cell r="D21">
            <v>697</v>
          </cell>
        </row>
        <row r="22">
          <cell r="A22">
            <v>21</v>
          </cell>
          <cell r="D22">
            <v>1561</v>
          </cell>
        </row>
        <row r="23">
          <cell r="A23">
            <v>22</v>
          </cell>
          <cell r="D23">
            <v>1639</v>
          </cell>
        </row>
        <row r="24">
          <cell r="A24">
            <v>23</v>
          </cell>
          <cell r="D24">
            <v>1098</v>
          </cell>
        </row>
        <row r="25">
          <cell r="A25">
            <v>24</v>
          </cell>
          <cell r="D25">
            <v>535</v>
          </cell>
        </row>
        <row r="26">
          <cell r="A26">
            <v>25</v>
          </cell>
          <cell r="D26">
            <v>1202</v>
          </cell>
        </row>
        <row r="27">
          <cell r="A27">
            <v>26</v>
          </cell>
          <cell r="D27">
            <v>289</v>
          </cell>
        </row>
        <row r="28">
          <cell r="A28">
            <v>27</v>
          </cell>
          <cell r="D28">
            <v>548</v>
          </cell>
        </row>
        <row r="29">
          <cell r="A29">
            <v>28</v>
          </cell>
          <cell r="D29">
            <v>1778</v>
          </cell>
        </row>
        <row r="30">
          <cell r="A30">
            <v>29</v>
          </cell>
          <cell r="D30">
            <v>1252</v>
          </cell>
        </row>
        <row r="31">
          <cell r="A31">
            <v>30</v>
          </cell>
          <cell r="D31">
            <v>751</v>
          </cell>
        </row>
        <row r="32">
          <cell r="A32">
            <v>31</v>
          </cell>
          <cell r="D32">
            <v>1804</v>
          </cell>
        </row>
        <row r="33">
          <cell r="A33">
            <v>32</v>
          </cell>
          <cell r="D33">
            <v>1792</v>
          </cell>
        </row>
        <row r="34">
          <cell r="A34">
            <v>33</v>
          </cell>
          <cell r="D34">
            <v>314</v>
          </cell>
        </row>
        <row r="35">
          <cell r="A35">
            <v>34</v>
          </cell>
          <cell r="D35">
            <v>1335</v>
          </cell>
        </row>
        <row r="36">
          <cell r="A36">
            <v>35</v>
          </cell>
          <cell r="D36">
            <v>1865</v>
          </cell>
        </row>
        <row r="37">
          <cell r="A37">
            <v>36</v>
          </cell>
          <cell r="D37">
            <v>203</v>
          </cell>
        </row>
        <row r="38">
          <cell r="A38">
            <v>37</v>
          </cell>
          <cell r="D38">
            <v>1428</v>
          </cell>
        </row>
        <row r="39">
          <cell r="A39">
            <v>38</v>
          </cell>
          <cell r="D39">
            <v>562</v>
          </cell>
        </row>
        <row r="40">
          <cell r="A40">
            <v>39</v>
          </cell>
          <cell r="D40">
            <v>387</v>
          </cell>
        </row>
        <row r="41">
          <cell r="A41">
            <v>40</v>
          </cell>
          <cell r="D41">
            <v>1923</v>
          </cell>
        </row>
        <row r="42">
          <cell r="A42">
            <v>41</v>
          </cell>
          <cell r="D42">
            <v>1977</v>
          </cell>
        </row>
        <row r="43">
          <cell r="A43">
            <v>42</v>
          </cell>
          <cell r="D43">
            <v>1744</v>
          </cell>
        </row>
        <row r="44">
          <cell r="A44">
            <v>43</v>
          </cell>
          <cell r="D44">
            <v>750</v>
          </cell>
        </row>
        <row r="45">
          <cell r="A45">
            <v>44</v>
          </cell>
          <cell r="D45">
            <v>794</v>
          </cell>
        </row>
        <row r="46">
          <cell r="A46">
            <v>45</v>
          </cell>
          <cell r="D46">
            <v>722</v>
          </cell>
        </row>
        <row r="47">
          <cell r="A47">
            <v>46</v>
          </cell>
          <cell r="D47">
            <v>758</v>
          </cell>
        </row>
        <row r="48">
          <cell r="A48">
            <v>47</v>
          </cell>
          <cell r="D48">
            <v>1638</v>
          </cell>
        </row>
        <row r="49">
          <cell r="A49">
            <v>48</v>
          </cell>
          <cell r="D49">
            <v>433</v>
          </cell>
        </row>
        <row r="50">
          <cell r="A50">
            <v>49</v>
          </cell>
          <cell r="D50">
            <v>903</v>
          </cell>
        </row>
        <row r="51">
          <cell r="A51">
            <v>50</v>
          </cell>
          <cell r="D51">
            <v>422</v>
          </cell>
        </row>
        <row r="52">
          <cell r="A52">
            <v>51</v>
          </cell>
          <cell r="D52">
            <v>1084</v>
          </cell>
        </row>
        <row r="53">
          <cell r="A53">
            <v>52</v>
          </cell>
          <cell r="D53">
            <v>236</v>
          </cell>
        </row>
        <row r="54">
          <cell r="A54">
            <v>53</v>
          </cell>
          <cell r="D54">
            <v>1672</v>
          </cell>
        </row>
        <row r="55">
          <cell r="A55">
            <v>54</v>
          </cell>
          <cell r="D55">
            <v>1236</v>
          </cell>
        </row>
        <row r="56">
          <cell r="A56">
            <v>55</v>
          </cell>
          <cell r="D56">
            <v>1904</v>
          </cell>
        </row>
        <row r="57">
          <cell r="A57">
            <v>56</v>
          </cell>
          <cell r="D57">
            <v>1272</v>
          </cell>
        </row>
        <row r="58">
          <cell r="A58">
            <v>57</v>
          </cell>
          <cell r="D58">
            <v>1582</v>
          </cell>
        </row>
        <row r="59">
          <cell r="A59">
            <v>58</v>
          </cell>
          <cell r="D59">
            <v>1492</v>
          </cell>
        </row>
        <row r="60">
          <cell r="A60">
            <v>59</v>
          </cell>
          <cell r="D60">
            <v>811</v>
          </cell>
        </row>
        <row r="61">
          <cell r="A61">
            <v>60</v>
          </cell>
          <cell r="D61">
            <v>827</v>
          </cell>
        </row>
        <row r="62">
          <cell r="A62">
            <v>61</v>
          </cell>
          <cell r="D62">
            <v>810</v>
          </cell>
        </row>
        <row r="63">
          <cell r="A63">
            <v>62</v>
          </cell>
          <cell r="D63">
            <v>1356</v>
          </cell>
        </row>
        <row r="64">
          <cell r="A64">
            <v>63</v>
          </cell>
          <cell r="D64">
            <v>1348</v>
          </cell>
        </row>
        <row r="65">
          <cell r="A65">
            <v>64</v>
          </cell>
          <cell r="D65">
            <v>1878</v>
          </cell>
        </row>
        <row r="66">
          <cell r="A66">
            <v>65</v>
          </cell>
          <cell r="D66">
            <v>1895</v>
          </cell>
        </row>
        <row r="67">
          <cell r="A67">
            <v>66</v>
          </cell>
          <cell r="D67">
            <v>610</v>
          </cell>
        </row>
        <row r="68">
          <cell r="A68">
            <v>67</v>
          </cell>
          <cell r="D68">
            <v>1374</v>
          </cell>
        </row>
        <row r="69">
          <cell r="A69">
            <v>68</v>
          </cell>
          <cell r="D69">
            <v>597</v>
          </cell>
        </row>
        <row r="70">
          <cell r="A70">
            <v>69</v>
          </cell>
          <cell r="D70">
            <v>998</v>
          </cell>
        </row>
        <row r="71">
          <cell r="A71">
            <v>70</v>
          </cell>
          <cell r="D71">
            <v>866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s"/>
    </sheetNames>
    <sheetDataSet>
      <sheetData sheetId="0">
        <row r="2">
          <cell r="A2" t="str">
            <v>C001</v>
          </cell>
          <cell r="C2" t="str">
            <v>Panchkula</v>
          </cell>
        </row>
        <row r="3">
          <cell r="A3" t="str">
            <v>C002</v>
          </cell>
          <cell r="C3" t="str">
            <v>Bulandshahr</v>
          </cell>
        </row>
        <row r="4">
          <cell r="A4" t="str">
            <v>C003</v>
          </cell>
          <cell r="C4" t="str">
            <v>Bilaspur</v>
          </cell>
        </row>
        <row r="5">
          <cell r="A5" t="str">
            <v>C004</v>
          </cell>
          <cell r="C5" t="str">
            <v>Miryalaguda</v>
          </cell>
        </row>
        <row r="6">
          <cell r="A6" t="str">
            <v>C005</v>
          </cell>
          <cell r="C6" t="str">
            <v>Kottayam</v>
          </cell>
        </row>
        <row r="7">
          <cell r="A7" t="str">
            <v>C006</v>
          </cell>
          <cell r="C7" t="str">
            <v>Karimnagar</v>
          </cell>
        </row>
        <row r="8">
          <cell r="A8" t="str">
            <v>C007</v>
          </cell>
          <cell r="C8" t="str">
            <v>Berhampore</v>
          </cell>
        </row>
        <row r="9">
          <cell r="A9" t="str">
            <v>C008</v>
          </cell>
          <cell r="C9" t="str">
            <v>Chinsurah</v>
          </cell>
        </row>
        <row r="10">
          <cell r="A10" t="str">
            <v>C009</v>
          </cell>
          <cell r="C10" t="str">
            <v>Madurai</v>
          </cell>
        </row>
        <row r="11">
          <cell r="A11" t="str">
            <v>C010</v>
          </cell>
          <cell r="C11" t="str">
            <v>Kanpur</v>
          </cell>
        </row>
        <row r="12">
          <cell r="A12" t="str">
            <v>C011</v>
          </cell>
          <cell r="C12" t="str">
            <v>Orai</v>
          </cell>
        </row>
        <row r="13">
          <cell r="A13" t="str">
            <v>C012</v>
          </cell>
          <cell r="C13" t="str">
            <v>Bilaspur</v>
          </cell>
        </row>
        <row r="14">
          <cell r="A14" t="str">
            <v>C013</v>
          </cell>
          <cell r="C14" t="str">
            <v>Mangalore</v>
          </cell>
        </row>
        <row r="15">
          <cell r="A15" t="str">
            <v>C014</v>
          </cell>
          <cell r="C15" t="str">
            <v>Panvel</v>
          </cell>
        </row>
        <row r="16">
          <cell r="A16" t="str">
            <v>C015</v>
          </cell>
          <cell r="C16" t="str">
            <v>Kolkata</v>
          </cell>
        </row>
        <row r="17">
          <cell r="A17" t="str">
            <v>C016</v>
          </cell>
          <cell r="C17" t="str">
            <v>Tenali</v>
          </cell>
        </row>
        <row r="18">
          <cell r="A18" t="str">
            <v>C017</v>
          </cell>
          <cell r="C18" t="str">
            <v>Gangtok</v>
          </cell>
        </row>
        <row r="19">
          <cell r="A19" t="str">
            <v>C018</v>
          </cell>
          <cell r="C19" t="str">
            <v>Nizamabad</v>
          </cell>
        </row>
        <row r="20">
          <cell r="A20" t="str">
            <v>C019</v>
          </cell>
          <cell r="C20" t="str">
            <v>Danapur</v>
          </cell>
        </row>
        <row r="21">
          <cell r="A21" t="str">
            <v>C020</v>
          </cell>
          <cell r="C21" t="str">
            <v>Machilipatnam</v>
          </cell>
        </row>
        <row r="22">
          <cell r="A22" t="str">
            <v>C021</v>
          </cell>
          <cell r="C22" t="str">
            <v>Mehsana</v>
          </cell>
        </row>
        <row r="23">
          <cell r="A23" t="str">
            <v>C022</v>
          </cell>
          <cell r="C23" t="str">
            <v>Khandwa</v>
          </cell>
        </row>
        <row r="24">
          <cell r="A24" t="str">
            <v>C023</v>
          </cell>
          <cell r="C24" t="str">
            <v>Bidhannagar</v>
          </cell>
        </row>
        <row r="25">
          <cell r="A25" t="str">
            <v>C024</v>
          </cell>
          <cell r="C25" t="str">
            <v>Kavali</v>
          </cell>
        </row>
        <row r="26">
          <cell r="A26" t="str">
            <v>C025</v>
          </cell>
          <cell r="C26" t="str">
            <v>Singrauli</v>
          </cell>
        </row>
        <row r="27">
          <cell r="A27" t="str">
            <v>C026</v>
          </cell>
          <cell r="C27" t="str">
            <v>Farrukhabad</v>
          </cell>
        </row>
        <row r="28">
          <cell r="A28" t="str">
            <v>C027</v>
          </cell>
          <cell r="C28" t="str">
            <v>Serampore</v>
          </cell>
        </row>
        <row r="29">
          <cell r="A29" t="str">
            <v>C028</v>
          </cell>
          <cell r="C29" t="str">
            <v>Noida</v>
          </cell>
        </row>
        <row r="30">
          <cell r="A30" t="str">
            <v>C029</v>
          </cell>
          <cell r="C30" t="str">
            <v>Haridwar</v>
          </cell>
        </row>
        <row r="31">
          <cell r="A31" t="str">
            <v>C030</v>
          </cell>
          <cell r="C31" t="str">
            <v>Sambhal</v>
          </cell>
        </row>
        <row r="32">
          <cell r="A32" t="str">
            <v>C031</v>
          </cell>
          <cell r="C32" t="str">
            <v>Sasaram</v>
          </cell>
        </row>
        <row r="33">
          <cell r="A33" t="str">
            <v>C032</v>
          </cell>
          <cell r="C33" t="str">
            <v>Surat</v>
          </cell>
        </row>
        <row r="34">
          <cell r="A34" t="str">
            <v>C033</v>
          </cell>
          <cell r="C34" t="str">
            <v>Indore</v>
          </cell>
        </row>
        <row r="35">
          <cell r="A35" t="str">
            <v>C034</v>
          </cell>
          <cell r="C35" t="str">
            <v>Bhatpara</v>
          </cell>
        </row>
        <row r="36">
          <cell r="A36" t="str">
            <v>C035</v>
          </cell>
          <cell r="C36" t="str">
            <v>Vellore</v>
          </cell>
        </row>
        <row r="37">
          <cell r="A37" t="str">
            <v>C036</v>
          </cell>
          <cell r="C37" t="str">
            <v>Dibrugarh</v>
          </cell>
        </row>
        <row r="38">
          <cell r="A38" t="str">
            <v>C037</v>
          </cell>
          <cell r="C38" t="str">
            <v>Davanagere</v>
          </cell>
        </row>
        <row r="39">
          <cell r="A39" t="str">
            <v>C038</v>
          </cell>
          <cell r="C39" t="str">
            <v>Aizawl</v>
          </cell>
        </row>
        <row r="40">
          <cell r="A40" t="str">
            <v>C039</v>
          </cell>
          <cell r="C40" t="str">
            <v>Kamarhati</v>
          </cell>
        </row>
        <row r="41">
          <cell r="A41" t="str">
            <v>C040</v>
          </cell>
          <cell r="C41" t="str">
            <v>Pallavaram</v>
          </cell>
        </row>
        <row r="42">
          <cell r="A42" t="str">
            <v>C041</v>
          </cell>
          <cell r="C42" t="str">
            <v>Karaikudi</v>
          </cell>
        </row>
        <row r="43">
          <cell r="A43" t="str">
            <v>C042</v>
          </cell>
          <cell r="C43" t="str">
            <v>Ajmer</v>
          </cell>
        </row>
        <row r="44">
          <cell r="A44" t="str">
            <v>C043</v>
          </cell>
          <cell r="C44" t="str">
            <v>Vellore</v>
          </cell>
        </row>
        <row r="45">
          <cell r="A45" t="str">
            <v>C044</v>
          </cell>
          <cell r="C45" t="str">
            <v>Agra</v>
          </cell>
        </row>
        <row r="46">
          <cell r="A46" t="str">
            <v>C045</v>
          </cell>
          <cell r="C46" t="str">
            <v>Maheshtala</v>
          </cell>
        </row>
        <row r="47">
          <cell r="A47" t="str">
            <v>C046</v>
          </cell>
          <cell r="C47" t="str">
            <v>Guna</v>
          </cell>
        </row>
        <row r="48">
          <cell r="A48" t="str">
            <v>C047</v>
          </cell>
          <cell r="C48" t="str">
            <v>Jorhat</v>
          </cell>
        </row>
        <row r="49">
          <cell r="A49" t="str">
            <v>C048</v>
          </cell>
          <cell r="C49" t="str">
            <v>Guntakal</v>
          </cell>
        </row>
        <row r="50">
          <cell r="A50" t="str">
            <v>C049</v>
          </cell>
          <cell r="C50" t="str">
            <v>Imphal</v>
          </cell>
        </row>
        <row r="51">
          <cell r="A51" t="str">
            <v>C050</v>
          </cell>
          <cell r="C51" t="str">
            <v>Imphal</v>
          </cell>
        </row>
        <row r="52">
          <cell r="A52" t="str">
            <v>C051</v>
          </cell>
          <cell r="C52" t="str">
            <v>Kota</v>
          </cell>
        </row>
        <row r="53">
          <cell r="A53" t="str">
            <v>C052</v>
          </cell>
          <cell r="C53" t="str">
            <v>Dhanbad</v>
          </cell>
        </row>
        <row r="54">
          <cell r="A54" t="str">
            <v>C053</v>
          </cell>
          <cell r="C54" t="str">
            <v>Bharatpur</v>
          </cell>
        </row>
        <row r="55">
          <cell r="A55" t="str">
            <v>C054</v>
          </cell>
          <cell r="C55" t="str">
            <v>Bidhannagar</v>
          </cell>
        </row>
        <row r="56">
          <cell r="A56" t="str">
            <v>C055</v>
          </cell>
          <cell r="C56" t="str">
            <v>Imphal</v>
          </cell>
        </row>
        <row r="57">
          <cell r="A57" t="str">
            <v>C056</v>
          </cell>
          <cell r="C57" t="str">
            <v>Haridwar</v>
          </cell>
        </row>
        <row r="58">
          <cell r="A58" t="str">
            <v>C057</v>
          </cell>
          <cell r="C58" t="str">
            <v>Delhi</v>
          </cell>
        </row>
        <row r="59">
          <cell r="A59" t="str">
            <v>C058</v>
          </cell>
          <cell r="C59" t="str">
            <v>Guntakal</v>
          </cell>
        </row>
        <row r="60">
          <cell r="A60" t="str">
            <v>C059</v>
          </cell>
          <cell r="C60" t="str">
            <v>Kalyan-Dombivli</v>
          </cell>
        </row>
        <row r="61">
          <cell r="A61" t="str">
            <v>C060</v>
          </cell>
          <cell r="C61" t="str">
            <v>Satara</v>
          </cell>
        </row>
        <row r="62">
          <cell r="A62" t="str">
            <v>C061</v>
          </cell>
          <cell r="C62" t="str">
            <v>Kavali</v>
          </cell>
        </row>
        <row r="63">
          <cell r="A63" t="str">
            <v>C062</v>
          </cell>
          <cell r="C63" t="str">
            <v>Nagpur</v>
          </cell>
        </row>
        <row r="64">
          <cell r="A64" t="str">
            <v>C063</v>
          </cell>
          <cell r="C64" t="str">
            <v>Jamnagar</v>
          </cell>
        </row>
        <row r="65">
          <cell r="A65" t="str">
            <v>C064</v>
          </cell>
          <cell r="C65" t="str">
            <v>Srikakulam</v>
          </cell>
        </row>
        <row r="66">
          <cell r="A66" t="str">
            <v>C065</v>
          </cell>
          <cell r="C66" t="str">
            <v>North Dumdum</v>
          </cell>
        </row>
        <row r="67">
          <cell r="A67" t="str">
            <v>C066</v>
          </cell>
          <cell r="C67" t="str">
            <v>Malegaon</v>
          </cell>
        </row>
        <row r="68">
          <cell r="A68" t="str">
            <v>C067</v>
          </cell>
          <cell r="C68" t="str">
            <v>Anand</v>
          </cell>
        </row>
        <row r="69">
          <cell r="A69" t="str">
            <v>C068</v>
          </cell>
          <cell r="C69" t="str">
            <v>Kalyan-Dombivli</v>
          </cell>
        </row>
        <row r="70">
          <cell r="A70" t="str">
            <v>C069</v>
          </cell>
          <cell r="C70" t="str">
            <v>Madhyamgram</v>
          </cell>
        </row>
        <row r="71">
          <cell r="A71" t="str">
            <v>C070</v>
          </cell>
          <cell r="C71" t="str">
            <v>Bhatpara</v>
          </cell>
        </row>
        <row r="72">
          <cell r="A72" t="str">
            <v>C071</v>
          </cell>
          <cell r="C72" t="str">
            <v>Tiruppur</v>
          </cell>
        </row>
        <row r="73">
          <cell r="A73" t="str">
            <v>C072</v>
          </cell>
          <cell r="C73" t="str">
            <v>Hyderabad</v>
          </cell>
        </row>
        <row r="74">
          <cell r="A74" t="str">
            <v>C073</v>
          </cell>
          <cell r="C74" t="str">
            <v>Parbhani</v>
          </cell>
        </row>
        <row r="75">
          <cell r="A75" t="str">
            <v>C074</v>
          </cell>
          <cell r="C75" t="str">
            <v>Sultan Pur Majra</v>
          </cell>
        </row>
        <row r="76">
          <cell r="A76" t="str">
            <v>C075</v>
          </cell>
          <cell r="C76" t="str">
            <v>Aligarh</v>
          </cell>
        </row>
        <row r="77">
          <cell r="A77" t="str">
            <v>C076</v>
          </cell>
          <cell r="C77" t="str">
            <v>Gaya</v>
          </cell>
        </row>
        <row r="78">
          <cell r="A78" t="str">
            <v>C077</v>
          </cell>
          <cell r="C78" t="str">
            <v>Panchkula</v>
          </cell>
        </row>
        <row r="79">
          <cell r="A79" t="str">
            <v>C078</v>
          </cell>
          <cell r="C79" t="str">
            <v>Bhubaneswar</v>
          </cell>
        </row>
        <row r="80">
          <cell r="A80" t="str">
            <v>C079</v>
          </cell>
          <cell r="C80" t="str">
            <v>Bhilai</v>
          </cell>
        </row>
        <row r="81">
          <cell r="A81" t="str">
            <v>C080</v>
          </cell>
          <cell r="C81" t="str">
            <v>Bhopal</v>
          </cell>
        </row>
        <row r="82">
          <cell r="A82" t="str">
            <v>C081</v>
          </cell>
          <cell r="C82" t="str">
            <v>Ratlam</v>
          </cell>
        </row>
        <row r="83">
          <cell r="A83" t="str">
            <v>C082</v>
          </cell>
          <cell r="C83" t="str">
            <v>Ahmednagar</v>
          </cell>
        </row>
        <row r="84">
          <cell r="A84" t="str">
            <v>C083</v>
          </cell>
          <cell r="C84" t="str">
            <v>Raurkela Industrial Township</v>
          </cell>
        </row>
        <row r="85">
          <cell r="A85" t="str">
            <v>C084</v>
          </cell>
          <cell r="C85" t="str">
            <v>Tiruchirappalli</v>
          </cell>
        </row>
        <row r="86">
          <cell r="A86" t="str">
            <v>C085</v>
          </cell>
          <cell r="C86" t="str">
            <v>Raipur</v>
          </cell>
        </row>
        <row r="87">
          <cell r="A87" t="str">
            <v>C086</v>
          </cell>
          <cell r="C87" t="str">
            <v>Purnia</v>
          </cell>
        </row>
        <row r="88">
          <cell r="A88" t="str">
            <v>C087</v>
          </cell>
          <cell r="C88" t="str">
            <v>North Dumdum</v>
          </cell>
        </row>
        <row r="89">
          <cell r="A89" t="str">
            <v>C088</v>
          </cell>
          <cell r="C89" t="str">
            <v xml:space="preserve">Khora </v>
          </cell>
        </row>
        <row r="90">
          <cell r="A90" t="str">
            <v>C089</v>
          </cell>
          <cell r="C90" t="str">
            <v>Nellore</v>
          </cell>
        </row>
        <row r="91">
          <cell r="A91" t="str">
            <v>C090</v>
          </cell>
          <cell r="C91" t="str">
            <v>Anantapuram</v>
          </cell>
        </row>
        <row r="92">
          <cell r="A92" t="str">
            <v>C091</v>
          </cell>
          <cell r="C92" t="str">
            <v>New Delhi</v>
          </cell>
        </row>
        <row r="93">
          <cell r="A93" t="str">
            <v>C092</v>
          </cell>
          <cell r="C93" t="str">
            <v>Dibrugarh</v>
          </cell>
        </row>
        <row r="94">
          <cell r="A94" t="str">
            <v>C093</v>
          </cell>
          <cell r="C94" t="str">
            <v>Tumkur</v>
          </cell>
        </row>
        <row r="95">
          <cell r="A95" t="str">
            <v>C094</v>
          </cell>
          <cell r="C95" t="str">
            <v>Deoghar</v>
          </cell>
        </row>
        <row r="96">
          <cell r="A96" t="str">
            <v>C095</v>
          </cell>
          <cell r="C96" t="str">
            <v>Warangal</v>
          </cell>
        </row>
        <row r="97">
          <cell r="A97" t="str">
            <v>C096</v>
          </cell>
          <cell r="C97" t="str">
            <v>Medininagar</v>
          </cell>
        </row>
        <row r="98">
          <cell r="A98" t="str">
            <v>C097</v>
          </cell>
          <cell r="C98" t="str">
            <v>Sri Ganganagar</v>
          </cell>
        </row>
        <row r="99">
          <cell r="A99" t="str">
            <v>C098</v>
          </cell>
          <cell r="C99" t="str">
            <v>Cuttack</v>
          </cell>
        </row>
        <row r="100">
          <cell r="A100" t="str">
            <v>C099</v>
          </cell>
          <cell r="C100" t="str">
            <v>Dhanbad</v>
          </cell>
        </row>
        <row r="101">
          <cell r="A101" t="str">
            <v>C100</v>
          </cell>
          <cell r="C101" t="str">
            <v>Phagwara</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Pal" refreshedDate="46038.884486689814" createdVersion="8" refreshedVersion="8" minRefreshableVersion="3" recordCount="1000" xr:uid="{FE01FCF4-0935-41D5-B59B-490D38A33791}">
  <cacheSource type="worksheet">
    <worksheetSource ref="A1:T1001" sheet="orders"/>
  </cacheSource>
  <cacheFields count="21">
    <cacheField name="Order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Customer_ID" numFmtId="0">
      <sharedItems count="100">
        <s v="C037"/>
        <s v="C019"/>
        <s v="C029"/>
        <s v="C012"/>
        <s v="C078"/>
        <s v="C040"/>
        <s v="C009"/>
        <s v="C097"/>
        <s v="C044"/>
        <s v="C099"/>
        <s v="C065"/>
        <s v="C024"/>
        <s v="C042"/>
        <s v="C069"/>
        <s v="C013"/>
        <s v="C056"/>
        <s v="C072"/>
        <s v="C011"/>
        <s v="C090"/>
        <s v="C054"/>
        <s v="C041"/>
        <s v="C018"/>
        <s v="C091"/>
        <s v="C063"/>
        <s v="C088"/>
        <s v="C064"/>
        <s v="C047"/>
        <s v="C071"/>
        <s v="C055"/>
        <s v="C096"/>
        <s v="C067"/>
        <s v="C066"/>
        <s v="C080"/>
        <s v="C046"/>
        <s v="C006"/>
        <s v="C059"/>
        <s v="C031"/>
        <s v="C020"/>
        <s v="C014"/>
        <s v="C036"/>
        <s v="C023"/>
        <s v="C045"/>
        <s v="C095"/>
        <s v="C077"/>
        <s v="C058"/>
        <s v="C074"/>
        <s v="C015"/>
        <s v="C033"/>
        <s v="C017"/>
        <s v="C050"/>
        <s v="C057"/>
        <s v="C028"/>
        <s v="C062"/>
        <s v="C010"/>
        <s v="C008"/>
        <s v="C053"/>
        <s v="C038"/>
        <s v="C032"/>
        <s v="C060"/>
        <s v="C061"/>
        <s v="C100"/>
        <s v="C039"/>
        <s v="C081"/>
        <s v="C082"/>
        <s v="C075"/>
        <s v="C035"/>
        <s v="C048"/>
        <s v="C083"/>
        <s v="C026"/>
        <s v="C030"/>
        <s v="C051"/>
        <s v="C070"/>
        <s v="C087"/>
        <s v="C022"/>
        <s v="C092"/>
        <s v="C084"/>
        <s v="C094"/>
        <s v="C049"/>
        <s v="C007"/>
        <s v="C085"/>
        <s v="C027"/>
        <s v="C068"/>
        <s v="C016"/>
        <s v="C093"/>
        <s v="C004"/>
        <s v="C089"/>
        <s v="C001"/>
        <s v="C043"/>
        <s v="C098"/>
        <s v="C076"/>
        <s v="C079"/>
        <s v="C052"/>
        <s v="C003"/>
        <s v="C086"/>
        <s v="C005"/>
        <s v="C073"/>
        <s v="C034"/>
        <s v="C002"/>
        <s v="C025"/>
        <s v="C021"/>
      </sharedItems>
    </cacheField>
    <cacheField name="Product_ID" numFmtId="0">
      <sharedItems containsSemiMixedTypes="0" containsString="0" containsNumber="1" containsInteger="1" minValue="1" maxValue="70"/>
    </cacheField>
    <cacheField name="Product_name" numFmtId="0">
      <sharedItems count="68">
        <s v="Maiores Box"/>
        <s v="Aut Box"/>
        <s v="Deserunt Box"/>
        <s v="Sed Pack"/>
        <s v="Velit Set"/>
        <s v="Iusto Set"/>
        <s v="Quisquam Pack"/>
        <s v="Architecto Gift"/>
        <s v="Quia Gift"/>
        <s v="Ut Pack"/>
        <s v="Mollitia Set"/>
        <s v="Reiciendis Box"/>
        <s v="Ea Set"/>
        <s v="Dignissimos Pack"/>
        <s v="Sed Set"/>
        <s v="Dolorum Box"/>
        <s v="Fuga Set"/>
        <s v="Non Set"/>
        <s v="Expedita Gift"/>
        <s v="Recusandae Pack"/>
        <s v="Quos Box"/>
        <s v="Aperiam Box"/>
        <s v="Accusantium Gift"/>
        <s v="Quos Set"/>
        <s v="Qui Box"/>
        <s v="Delectus Gift"/>
        <s v="Quas Box"/>
        <s v="Iure Gift"/>
        <s v="Officiis Pack"/>
        <s v="Maiores Gift"/>
        <s v="Occaecati Gift"/>
        <s v="Nam Gift"/>
        <s v="Voluptate Pack"/>
        <s v="Iusto Box"/>
        <s v="Exercitationem Pack"/>
        <s v="Error Gift"/>
        <s v="Natus Gift"/>
        <s v="Cum Gift"/>
        <s v="Fugit Set"/>
        <s v="Dolorum Set"/>
        <s v="Qui Gift"/>
        <s v="Placeat Pack"/>
        <s v="Aliquam Box"/>
        <s v="Nihil Box"/>
        <s v="Accusantium Set"/>
        <s v="Maxime Set"/>
        <s v="Provident Pack"/>
        <s v="Voluptate Set"/>
        <s v="Magnam Set"/>
        <s v="Harum Pack"/>
        <s v="Voluptas Box"/>
        <s v="Repudiandae Box"/>
        <s v="Eius Gift"/>
        <s v="Nemo Set"/>
        <s v="Ad Box"/>
        <s v="Id Box"/>
        <s v="Eligendi Set"/>
        <s v="Voluptatem Box"/>
        <s v="Pariatur Box"/>
        <s v="Earum Set"/>
        <s v="Dolores Gift"/>
        <s v="Nostrum Box"/>
        <s v="Pariatur Set"/>
        <s v="Quas Gift"/>
        <s v="Et Set"/>
        <s v="Ipsam Set"/>
        <s v="In Set"/>
        <s v="Adipisci Set"/>
      </sharedItems>
    </cacheField>
    <cacheField name="Category" numFmtId="0">
      <sharedItems count="7">
        <s v="Raksha Bandhan"/>
        <s v="Sweets"/>
        <s v="Colors"/>
        <s v="Cake"/>
        <s v="Soft Toys"/>
        <s v="Plants"/>
        <s v="Mugs"/>
      </sharedItems>
    </cacheField>
    <cacheField name="Quantity" numFmtId="0">
      <sharedItems containsSemiMixedTypes="0" containsString="0" containsNumber="1" containsInteger="1" minValue="1" maxValue="5" count="5">
        <n v="5"/>
        <n v="2"/>
        <n v="4"/>
        <n v="3"/>
        <n v="1"/>
      </sharedItems>
    </cacheField>
    <cacheField name="Price" numFmtId="164">
      <sharedItems containsSemiMixedTypes="0" containsString="0" containsNumber="1" containsInteger="1" minValue="203" maxValue="1977"/>
    </cacheField>
    <cacheField name="Order_Date" numFmtId="14">
      <sharedItems containsSemiMixedTypes="0" containsNonDate="0" containsDate="1" containsString="0" minDate="2023-01-01T00:00:00" maxDate="2023-12-30T00:00:00"/>
    </cacheField>
    <cacheField name="Order_Month" numFmtId="14">
      <sharedItems containsNonDate="0" count="12">
        <s v="February"/>
        <s v="November"/>
        <s v="July"/>
        <s v="August"/>
        <s v="May"/>
        <s v="March"/>
        <s v="December"/>
        <s v="September"/>
        <s v="January"/>
        <s v="April"/>
        <s v="October"/>
        <s v="June"/>
      </sharedItems>
    </cacheField>
    <cacheField name="Day" numFmtId="14">
      <sharedItems containsNonDate="0" count="7">
        <s v="Friday"/>
        <s v="Tuesday"/>
        <s v="Monday"/>
        <s v="Saturday"/>
        <s v="Sunday"/>
        <s v="Wednesday"/>
        <s v="Thursday"/>
      </sharedItems>
    </cacheField>
    <cacheField name="Order_Time" numFmtId="21">
      <sharedItems containsSemiMixedTypes="0" containsNonDate="0" containsDate="1" containsString="0" minDate="1899-12-30T00:00:53" maxDate="1899-12-30T23:59:56"/>
    </cacheField>
    <cacheField name="Delivery_Date" numFmtId="14">
      <sharedItems containsSemiMixedTypes="0" containsNonDate="0" containsDate="1" containsString="0" minDate="2023-01-02T00:00:00" maxDate="2024-01-08T00:00:00" count="286">
        <d v="2023-03-05T00:00:00"/>
        <d v="2023-11-13T00:00:00"/>
        <d v="2023-07-19T00:00:00"/>
        <d v="2023-02-18T00:00:00"/>
        <d v="2023-08-26T00:00:00"/>
        <d v="2023-05-13T00:00:00"/>
        <d v="2023-11-14T00:00:00"/>
        <d v="2023-08-29T00:00:00"/>
        <d v="2023-03-08T00:00:00"/>
        <d v="2023-03-03T00:00:00"/>
        <d v="2023-07-20T00:00:00"/>
        <d v="2023-03-04T00:00:00"/>
        <d v="2023-11-15T00:00:00"/>
        <d v="2023-08-30T00:00:00"/>
        <d v="2023-02-20T00:00:00"/>
        <d v="2023-12-11T00:00:00"/>
        <d v="2023-02-14T00:00:00"/>
        <d v="2023-02-12T00:00:00"/>
        <d v="2023-05-06T00:00:00"/>
        <d v="2023-08-03T00:00:00"/>
        <d v="2023-07-24T00:00:00"/>
        <d v="2023-03-12T00:00:00"/>
        <d v="2023-05-10T00:00:00"/>
        <d v="2023-10-01T00:00:00"/>
        <d v="2023-01-15T00:00:00"/>
        <d v="2023-04-25T00:00:00"/>
        <d v="2023-10-05T00:00:00"/>
        <d v="2023-03-14T00:00:00"/>
        <d v="2023-02-15T00:00:00"/>
        <d v="2023-11-04T00:00:00"/>
        <d v="2023-11-05T00:00:00"/>
        <d v="2023-06-10T00:00:00"/>
        <d v="2023-03-07T00:00:00"/>
        <d v="2023-02-16T00:00:00"/>
        <d v="2023-07-27T00:00:00"/>
        <d v="2023-04-29T00:00:00"/>
        <d v="2023-04-23T00:00:00"/>
        <d v="2023-02-28T00:00:00"/>
        <d v="2023-11-16T00:00:00"/>
        <d v="2023-11-18T00:00:00"/>
        <d v="2023-03-19T00:00:00"/>
        <d v="2023-09-07T00:00:00"/>
        <d v="2023-08-27T00:00:00"/>
        <d v="2023-02-13T00:00:00"/>
        <d v="2023-03-06T00:00:00"/>
        <d v="2023-06-28T00:00:00"/>
        <d v="2023-12-15T00:00:00"/>
        <d v="2023-11-10T00:00:00"/>
        <d v="2023-06-26T00:00:00"/>
        <d v="2023-06-15T00:00:00"/>
        <d v="2023-09-11T00:00:00"/>
        <d v="2023-02-27T00:00:00"/>
        <d v="2023-07-14T00:00:00"/>
        <d v="2023-08-31T00:00:00"/>
        <d v="2023-09-08T00:00:00"/>
        <d v="2023-10-03T00:00:00"/>
        <d v="2023-08-28T00:00:00"/>
        <d v="2023-03-11T00:00:00"/>
        <d v="2023-01-07T00:00:00"/>
        <d v="2023-04-09T00:00:00"/>
        <d v="2023-11-12T00:00:00"/>
        <d v="2023-08-13T00:00:00"/>
        <d v="2023-02-08T00:00:00"/>
        <d v="2023-06-11T00:00:00"/>
        <d v="2023-01-11T00:00:00"/>
        <d v="2023-08-05T00:00:00"/>
        <d v="2023-09-02T00:00:00"/>
        <d v="2023-09-22T00:00:00"/>
        <d v="2023-02-11T00:00:00"/>
        <d v="2024-01-01T00:00:00"/>
        <d v="2023-05-25T00:00:00"/>
        <d v="2023-05-03T00:00:00"/>
        <d v="2023-06-03T00:00:00"/>
        <d v="2023-03-23T00:00:00"/>
        <d v="2023-11-08T00:00:00"/>
        <d v="2023-11-01T00:00:00"/>
        <d v="2023-05-17T00:00:00"/>
        <d v="2023-06-21T00:00:00"/>
        <d v="2023-11-06T00:00:00"/>
        <d v="2024-01-05T00:00:00"/>
        <d v="2023-02-21T00:00:00"/>
        <d v="2023-03-01T00:00:00"/>
        <d v="2023-03-13T00:00:00"/>
        <d v="2023-06-25T00:00:00"/>
        <d v="2023-11-23T00:00:00"/>
        <d v="2023-02-07T00:00:00"/>
        <d v="2023-05-05T00:00:00"/>
        <d v="2023-11-20T00:00:00"/>
        <d v="2023-08-22T00:00:00"/>
        <d v="2023-12-31T00:00:00"/>
        <d v="2023-02-09T00:00:00"/>
        <d v="2023-10-13T00:00:00"/>
        <d v="2023-01-25T00:00:00"/>
        <d v="2023-07-23T00:00:00"/>
        <d v="2023-03-25T00:00:00"/>
        <d v="2023-11-03T00:00:00"/>
        <d v="2023-04-27T00:00:00"/>
        <d v="2023-12-14T00:00:00"/>
        <d v="2023-09-09T00:00:00"/>
        <d v="2023-03-18T00:00:00"/>
        <d v="2023-05-16T00:00:00"/>
        <d v="2023-03-10T00:00:00"/>
        <d v="2023-10-27T00:00:00"/>
        <d v="2023-01-23T00:00:00"/>
        <d v="2023-09-03T00:00:00"/>
        <d v="2023-12-07T00:00:00"/>
        <d v="2023-10-09T00:00:00"/>
        <d v="2023-11-25T00:00:00"/>
        <d v="2023-11-11T00:00:00"/>
        <d v="2023-09-05T00:00:00"/>
        <d v="2023-02-25T00:00:00"/>
        <d v="2023-08-10T00:00:00"/>
        <d v="2023-11-07T00:00:00"/>
        <d v="2023-03-27T00:00:00"/>
        <d v="2023-07-08T00:00:00"/>
        <d v="2023-10-20T00:00:00"/>
        <d v="2023-03-16T00:00:00"/>
        <d v="2023-09-06T00:00:00"/>
        <d v="2023-05-11T00:00:00"/>
        <d v="2023-09-25T00:00:00"/>
        <d v="2023-11-22T00:00:00"/>
        <d v="2023-10-17T00:00:00"/>
        <d v="2023-08-21T00:00:00"/>
        <d v="2023-08-19T00:00:00"/>
        <d v="2023-04-17T00:00:00"/>
        <d v="2023-03-26T00:00:00"/>
        <d v="2023-09-04T00:00:00"/>
        <d v="2023-01-08T00:00:00"/>
        <d v="2023-08-01T00:00:00"/>
        <d v="2023-07-09T00:00:00"/>
        <d v="2023-04-12T00:00:00"/>
        <d v="2023-06-23T00:00:00"/>
        <d v="2023-10-29T00:00:00"/>
        <d v="2023-02-24T00:00:00"/>
        <d v="2023-05-24T00:00:00"/>
        <d v="2023-10-08T00:00:00"/>
        <d v="2023-06-16T00:00:00"/>
        <d v="2023-03-15T00:00:00"/>
        <d v="2023-02-06T00:00:00"/>
        <d v="2023-09-12T00:00:00"/>
        <d v="2023-12-26T00:00:00"/>
        <d v="2023-09-01T00:00:00"/>
        <d v="2023-08-23T00:00:00"/>
        <d v="2023-04-01T00:00:00"/>
        <d v="2023-03-30T00:00:00"/>
        <d v="2023-02-10T00:00:00"/>
        <d v="2023-10-16T00:00:00"/>
        <d v="2023-09-19T00:00:00"/>
        <d v="2023-11-09T00:00:00"/>
        <d v="2023-03-02T00:00:00"/>
        <d v="2023-07-15T00:00:00"/>
        <d v="2024-01-06T00:00:00"/>
        <d v="2023-08-24T00:00:00"/>
        <d v="2023-04-20T00:00:00"/>
        <d v="2023-10-26T00:00:00"/>
        <d v="2023-06-30T00:00:00"/>
        <d v="2023-04-18T00:00:00"/>
        <d v="2023-11-24T00:00:00"/>
        <d v="2023-06-01T00:00:00"/>
        <d v="2023-06-24T00:00:00"/>
        <d v="2023-11-26T00:00:00"/>
        <d v="2023-11-19T00:00:00"/>
        <d v="2023-11-30T00:00:00"/>
        <d v="2023-08-16T00:00:00"/>
        <d v="2023-06-02T00:00:00"/>
        <d v="2023-04-11T00:00:00"/>
        <d v="2023-11-17T00:00:00"/>
        <d v="2023-10-25T00:00:00"/>
        <d v="2023-11-29T00:00:00"/>
        <d v="2023-07-26T00:00:00"/>
        <d v="2023-03-09T00:00:00"/>
        <d v="2023-03-17T00:00:00"/>
        <d v="2023-04-15T00:00:00"/>
        <d v="2023-09-26T00:00:00"/>
        <d v="2023-04-22T00:00:00"/>
        <d v="2023-08-25T00:00:00"/>
        <d v="2023-05-22T00:00:00"/>
        <d v="2023-09-29T00:00:00"/>
        <d v="2023-07-22T00:00:00"/>
        <d v="2023-09-23T00:00:00"/>
        <d v="2023-02-22T00:00:00"/>
        <d v="2024-01-02T00:00:00"/>
        <d v="2023-12-05T00:00:00"/>
        <d v="2023-06-04T00:00:00"/>
        <d v="2023-08-15T00:00:00"/>
        <d v="2023-07-13T00:00:00"/>
        <d v="2023-05-19T00:00:00"/>
        <d v="2023-01-28T00:00:00"/>
        <d v="2023-06-13T00:00:00"/>
        <d v="2023-05-15T00:00:00"/>
        <d v="2023-06-14T00:00:00"/>
        <d v="2023-05-09T00:00:00"/>
        <d v="2024-01-07T00:00:00"/>
        <d v="2023-03-31T00:00:00"/>
        <d v="2023-01-16T00:00:00"/>
        <d v="2023-01-02T00:00:00"/>
        <d v="2023-10-31T00:00:00"/>
        <d v="2023-02-17T00:00:00"/>
        <d v="2023-08-12T00:00:00"/>
        <d v="2023-12-12T00:00:00"/>
        <d v="2023-12-19T00:00:00"/>
        <d v="2023-01-13T00:00:00"/>
        <d v="2023-02-03T00:00:00"/>
        <d v="2023-12-22T00:00:00"/>
        <d v="2023-07-17T00:00:00"/>
        <d v="2023-05-29T00:00:00"/>
        <d v="2023-06-27T00:00:00"/>
        <d v="2023-09-30T00:00:00"/>
        <d v="2023-10-11T00:00:00"/>
        <d v="2023-08-04T00:00:00"/>
        <d v="2023-12-30T00:00:00"/>
        <d v="2023-04-04T00:00:00"/>
        <d v="2023-12-08T00:00:00"/>
        <d v="2023-09-20T00:00:00"/>
        <d v="2023-07-30T00:00:00"/>
        <d v="2023-01-09T00:00:00"/>
        <d v="2023-11-02T00:00:00"/>
        <d v="2023-07-05T00:00:00"/>
        <d v="2023-06-05T00:00:00"/>
        <d v="2023-12-17T00:00:00"/>
        <d v="2023-04-02T00:00:00"/>
        <d v="2023-07-06T00:00:00"/>
        <d v="2023-04-08T00:00:00"/>
        <d v="2023-02-19T00:00:00"/>
        <d v="2023-09-10T00:00:00"/>
        <d v="2023-12-04T00:00:00"/>
        <d v="2023-07-11T00:00:00"/>
        <d v="2023-07-12T00:00:00"/>
        <d v="2023-01-19T00:00:00"/>
        <d v="2023-12-21T00:00:00"/>
        <d v="2023-08-09T00:00:00"/>
        <d v="2023-05-14T00:00:00"/>
        <d v="2023-08-06T00:00:00"/>
        <d v="2023-06-20T00:00:00"/>
        <d v="2023-02-05T00:00:00"/>
        <d v="2023-05-01T00:00:00"/>
        <d v="2023-06-07T00:00:00"/>
        <d v="2023-12-25T00:00:00"/>
        <d v="2023-10-28T00:00:00"/>
        <d v="2023-01-05T00:00:00"/>
        <d v="2023-07-18T00:00:00"/>
        <d v="2023-09-27T00:00:00"/>
        <d v="2023-03-20T00:00:00"/>
        <d v="2023-05-31T00:00:00"/>
        <d v="2023-05-26T00:00:00"/>
        <d v="2023-05-23T00:00:00"/>
        <d v="2023-12-01T00:00:00"/>
        <d v="2023-10-12T00:00:00"/>
        <d v="2023-10-14T00:00:00"/>
        <d v="2023-01-30T00:00:00"/>
        <d v="2023-08-18T00:00:00"/>
        <d v="2023-04-21T00:00:00"/>
        <d v="2023-06-09T00:00:00"/>
        <d v="2023-05-04T00:00:00"/>
        <d v="2023-12-20T00:00:00"/>
        <d v="2023-04-16T00:00:00"/>
        <d v="2023-10-21T00:00:00"/>
        <d v="2023-04-03T00:00:00"/>
        <d v="2023-02-04T00:00:00"/>
        <d v="2023-09-17T00:00:00"/>
        <d v="2023-09-21T00:00:00"/>
        <d v="2023-07-07T00:00:00"/>
        <d v="2023-04-26T00:00:00"/>
        <d v="2023-12-09T00:00:00"/>
        <d v="2023-05-07T00:00:00"/>
        <d v="2023-07-01T00:00:00"/>
        <d v="2023-10-10T00:00:00"/>
        <d v="2023-12-02T00:00:00"/>
        <d v="2023-08-17T00:00:00"/>
        <d v="2023-08-11T00:00:00"/>
        <d v="2023-04-07T00:00:00"/>
        <d v="2023-04-06T00:00:00"/>
        <d v="2023-04-10T00:00:00"/>
        <d v="2023-12-24T00:00:00"/>
        <d v="2023-03-24T00:00:00"/>
        <d v="2023-01-29T00:00:00"/>
        <d v="2023-12-18T00:00:00"/>
        <d v="2023-01-12T00:00:00"/>
        <d v="2023-11-27T00:00:00"/>
        <d v="2023-04-19T00:00:00"/>
        <d v="2023-11-21T00:00:00"/>
        <d v="2023-10-18T00:00:00"/>
        <d v="2023-10-23T00:00:00"/>
        <d v="2023-05-02T00:00:00"/>
        <d v="2023-05-20T00:00:00"/>
        <d v="2023-08-07T00:00:00"/>
      </sharedItems>
      <fieldGroup par="20"/>
    </cacheField>
    <cacheField name="Delivery_Month" numFmtId="14">
      <sharedItems containsNonDate="0"/>
    </cacheField>
    <cacheField name="Delivery_Time" numFmtId="21">
      <sharedItems containsSemiMixedTypes="0" containsNonDate="0" containsDate="1" containsString="0" minDate="1899-12-30T00:00:30" maxDate="1899-12-30T23:59:54"/>
    </cacheField>
    <cacheField name="Location" numFmtId="0">
      <sharedItems count="301">
        <s v="Bardhaman"/>
        <s v="Jaipur"/>
        <s v="Bilaspur"/>
        <s v="Guwahati"/>
        <s v="Rajkot"/>
        <s v="Sirsa"/>
        <s v="Nanded"/>
        <s v="Morena"/>
        <s v="Ambala"/>
        <s v="Belgaum"/>
        <s v="Karnal"/>
        <s v="Gandhidham"/>
        <s v="Pune"/>
        <s v="Khammam"/>
        <s v="Kota"/>
        <s v="Moradabad"/>
        <s v="Vijayanagaram"/>
        <s v="Madurai"/>
        <s v="Bathinda"/>
        <s v="Tenali"/>
        <s v="Ludhiana"/>
        <s v="Durg"/>
        <s v="Panipat"/>
        <s v="Amroha"/>
        <s v="Raipur"/>
        <s v="Kollam"/>
        <s v="Bulandshahr"/>
        <s v="Nandyal"/>
        <s v="Pudukkottai"/>
        <s v="Tirupati"/>
        <s v="Asansol"/>
        <s v="New Delhi"/>
        <s v="Katni"/>
        <s v="Indore"/>
        <s v="Vellore"/>
        <s v="Raiganj"/>
        <s v="Saharsa"/>
        <s v="Faridabad"/>
        <s v="Sambalpur"/>
        <s v="Bhavnagar"/>
        <s v="Haldia"/>
        <s v="Guna"/>
        <s v="Delhi"/>
        <s v="Nangloi Jat"/>
        <s v="Jamalpur"/>
        <s v="Agartala"/>
        <s v="Hospet"/>
        <s v="Kozhikode"/>
        <s v="Ratlam"/>
        <s v="Kottayam"/>
        <s v="Danapur"/>
        <s v="Ahmedabad"/>
        <s v="Amravati"/>
        <s v="Thiruvananthapuram"/>
        <s v="Darbhanga"/>
        <s v="Panihati"/>
        <s v="Jorhat"/>
        <s v="Munger"/>
        <s v="Chittoor"/>
        <s v="Berhampur"/>
        <s v="Thrissur"/>
        <s v="Hyderabad"/>
        <s v="Bally"/>
        <s v="Farrukhabad"/>
        <s v="Shivpuri"/>
        <s v="Anand"/>
        <s v="Kanpur"/>
        <s v="Pallavaram"/>
        <s v="Varanasi"/>
        <s v="Salem"/>
        <s v="Kalyan-Dombivli"/>
        <s v="Gwalior"/>
        <s v="Agra"/>
        <s v="Malda"/>
        <s v="Avadi"/>
        <s v="Aurangabad"/>
        <s v="Shahjahanpur"/>
        <s v="Mahbubnagar"/>
        <s v="Rohtak"/>
        <s v="Warangal"/>
        <s v="Purnia"/>
        <s v="Narasaraopet"/>
        <s v="Latur"/>
        <s v="Burhanpur"/>
        <s v="Bhiwani"/>
        <s v="Ozhukarai"/>
        <s v="Ichalkaranji"/>
        <s v="Ahmednagar"/>
        <s v="Chinsurah"/>
        <s v="Gorakhpur"/>
        <s v="Berhampore"/>
        <s v="Kishanganj"/>
        <s v="Ramgarh"/>
        <s v="Kochi"/>
        <s v="Kirari Suleman Nagar"/>
        <s v="Jhansi"/>
        <s v="Howrah"/>
        <s v="Loni"/>
        <s v="Fatehpur"/>
        <s v="Guntur"/>
        <s v="Gulbarga"/>
        <s v="Malegaon"/>
        <s v="Bhilwara"/>
        <s v="Kolkata"/>
        <s v="Dharmavaram"/>
        <s v="Dhanbad"/>
        <s v="Satara"/>
        <s v="Thoothukudi"/>
        <s v="Tiruppur"/>
        <s v="Bokaro"/>
        <s v="Siliguri"/>
        <s v="Amritsar"/>
        <s v="Bharatpur"/>
        <s v="Allahabad"/>
        <s v="Ramagundam"/>
        <s v="Srinagar"/>
        <s v="Kumbakonam"/>
        <s v="Vijayawada"/>
        <s v="Jodhpur"/>
        <s v="Gopalpur"/>
        <s v="Mangalore"/>
        <s v="Bidar"/>
        <s v="Jalna"/>
        <s v="Rewa"/>
        <s v="Sambhal"/>
        <s v="Medininagar"/>
        <s v="Davanagere"/>
        <s v="Karaikudi"/>
        <s v="Barasat"/>
        <s v="Ujjain"/>
        <s v="Lucknow"/>
        <s v="Madanapalle"/>
        <s v="Kamarhati"/>
        <s v="Tiruvottiyur"/>
        <s v="Patiala"/>
        <s v="Deoghar"/>
        <s v="Navi Mumbai"/>
        <s v="Bhilai"/>
        <s v="Nellore"/>
        <s v="Chennai"/>
        <s v="Bahraich"/>
        <s v="Raurkela Industrial Township"/>
        <s v="Anantapur"/>
        <s v="Serampore"/>
        <s v="Srikakulam"/>
        <s v="Etawah"/>
        <s v="Pondicherry"/>
        <s v="Begusarai"/>
        <s v="Phagwara"/>
        <s v="Bareilly"/>
        <s v="Dewas"/>
        <s v="Bhimavaram"/>
        <s v="Ulhasnagar"/>
        <s v="Kulti"/>
        <s v="Hajipur"/>
        <s v="Aligarh"/>
        <s v="Orai"/>
        <s v="Dehradun"/>
        <s v="Durgapur"/>
        <s v="Bhatpara"/>
        <s v="Gurgaon"/>
        <s v="Jalandhar"/>
        <s v="Naihati"/>
        <s v="Bhalswa Jahangir Pur"/>
        <s v="Suryapet"/>
        <s v="Arrah"/>
        <s v="Surat"/>
        <s v="Bijapur"/>
        <s v="Junagadh"/>
        <s v="Mehsana"/>
        <s v="Proddatur"/>
        <s v="Nadiad"/>
        <s v="Nizamabad"/>
        <s v="Khandwa"/>
        <s v="Panvel"/>
        <s v="Sasaram"/>
        <s v="Jammu"/>
        <s v="Siwan"/>
        <s v="Guntakal"/>
        <s v="Noida"/>
        <s v="Gudivada"/>
        <s v="Alwar"/>
        <s v="Korba"/>
        <s v="Khora "/>
        <s v="Bangalore"/>
        <s v="Tirunelveli"/>
        <s v="Sonipat"/>
        <s v="Chandrapur"/>
        <s v="Raebareli"/>
        <s v="Patna"/>
        <s v="Ranchi"/>
        <s v="Muzaffarpur"/>
        <s v="Ballia"/>
        <s v="Erode"/>
        <s v="Mango"/>
        <s v="Muzaffarnagar"/>
        <s v="Imphal"/>
        <s v="Tezpur"/>
        <s v="Nagpur"/>
        <s v="Tadepalligudem"/>
        <s v="Tinsukia"/>
        <s v="Tiruchirappalli"/>
        <s v="Bellary"/>
        <s v="Akola"/>
        <s v="Thane"/>
        <s v="Ambattur"/>
        <s v="Hosur"/>
        <s v="Bikaner"/>
        <s v="Rampur"/>
        <s v="Udaipur"/>
        <s v="North Dumdum"/>
        <s v="Panchkula"/>
        <s v="Maheshtala"/>
        <s v="Nashik"/>
        <s v="South Dumdum"/>
        <s v="Sri Ganganagar"/>
        <s v="Ongole"/>
        <s v="Parbhani"/>
        <s v="Shimoga"/>
        <s v="Kavali"/>
        <s v="Secunderabad"/>
        <s v="Mysore"/>
        <s v="Ghaziabad"/>
        <s v="Hindupur"/>
        <s v="Bidhannagar"/>
        <s v="Gangtok"/>
        <s v="Solapur"/>
        <s v="Chapra"/>
        <s v="Surendranagar Dudhrej"/>
        <s v="Saharanpur"/>
        <s v="Karimnagar"/>
        <s v="Eluru"/>
        <s v="Alappuzha"/>
        <s v="Kharagpur"/>
        <s v="Rourkela"/>
        <s v="Mira-Bhayandar"/>
        <s v="Uluberia"/>
        <s v="Kurnool"/>
        <s v="Mirzapur"/>
        <s v="Kolhapur"/>
        <s v="Hazaribagh"/>
        <s v="Buxar"/>
        <s v="Rajahmundry"/>
        <s v="Giridih"/>
        <s v="Dibrugarh"/>
        <s v="Jalgaon"/>
        <s v="Ambarnath"/>
        <s v="Sagar"/>
        <s v="Bhiwandi"/>
        <s v="Bhubaneswar"/>
        <s v="Pimpri-Chinchwad"/>
        <s v="Bhusawal"/>
        <s v="Bongaigaon"/>
        <s v="Dehri"/>
        <s v="Meerut"/>
        <s v="Unnao"/>
        <s v="Gaya"/>
        <s v="Bhagalpur"/>
        <s v="Jehanabad"/>
        <s v="Morbi"/>
        <s v="Motihari"/>
        <s v="Bettiah"/>
        <s v="Sangli-Miraj &amp; Kupwad"/>
        <s v="Cuttack"/>
        <s v="Mau"/>
        <s v="Gandhinagar"/>
        <s v="Satna"/>
        <s v="Phusro"/>
        <s v="Shimla"/>
        <s v="Tadipatri"/>
        <s v="Kakinada"/>
        <s v="Aizawl"/>
        <s v="Adoni"/>
        <s v="Amaravati"/>
        <s v="Anantapuram"/>
        <s v="Silchar"/>
        <s v="Ajmer"/>
        <s v="Bhopal"/>
        <s v="Pali"/>
        <s v="Tumkur"/>
        <s v="Sikar"/>
        <s v="Raichur"/>
        <s v="Jaunpur"/>
        <s v="Rajpur Sonarpur"/>
        <s v="Dhule"/>
        <s v="Yamunanagar"/>
        <s v="Jabalpur"/>
        <s v="Vasai-Virar"/>
        <s v="Mathura"/>
        <s v="Machilipatnam"/>
        <s v="Visakhapatnam"/>
        <s v="Sultan Pur Majra"/>
        <s v="Dindigul"/>
        <s v="Bhind"/>
        <s v="Hapur"/>
        <s v="Udupi"/>
        <s v="Singrauli"/>
        <s v="Kadapa"/>
        <s v="Bihar Sharif"/>
        <s v="Chandigarh"/>
        <s v="Miryalaguda"/>
      </sharedItems>
    </cacheField>
    <cacheField name="Occasion" numFmtId="0">
      <sharedItems count="7">
        <s v="Anniversary"/>
        <s v="Diwali"/>
        <s v="Birthday"/>
        <s v="Valentine's Day"/>
        <s v="Raksha Bandhan"/>
        <s v="Holi"/>
        <s v="All Occasions"/>
      </sharedItems>
    </cacheField>
    <cacheField name="Sales" numFmtId="164">
      <sharedItems containsSemiMixedTypes="0" containsString="0" containsNumber="1" containsInteger="1" minValue="203" maxValue="9885"/>
    </cacheField>
    <cacheField name="Diff_Del_Time" numFmtId="0">
      <sharedItems containsSemiMixedTypes="0" containsString="0" containsNumber="1" containsInteger="1" minValue="1" maxValue="10"/>
    </cacheField>
    <cacheField name="Months (Delivery_Date)" numFmtId="0" databaseField="0">
      <fieldGroup base="11">
        <rangePr groupBy="months" startDate="2023-01-02T00:00:00" endDate="2024-01-08T00:00:00"/>
        <groupItems count="14">
          <s v="&lt;02-01-2023"/>
          <s v="Jan"/>
          <s v="Feb"/>
          <s v="Mar"/>
          <s v="Apr"/>
          <s v="May"/>
          <s v="Jun"/>
          <s v="Jul"/>
          <s v="Aug"/>
          <s v="Sep"/>
          <s v="Oct"/>
          <s v="Nov"/>
          <s v="Dec"/>
          <s v="&gt;08-01-2024"/>
        </groupItems>
      </fieldGroup>
    </cacheField>
    <cacheField name="Quarters (Delivery_Date)" numFmtId="0" databaseField="0">
      <fieldGroup base="11">
        <rangePr groupBy="quarters" startDate="2023-01-02T00:00:00" endDate="2024-01-08T00:00:00"/>
        <groupItems count="6">
          <s v="&lt;02-01-2023"/>
          <s v="Qtr1"/>
          <s v="Qtr2"/>
          <s v="Qtr3"/>
          <s v="Qtr4"/>
          <s v="&gt;08-01-2024"/>
        </groupItems>
      </fieldGroup>
    </cacheField>
    <cacheField name="Years (Delivery_Date)" numFmtId="0" databaseField="0">
      <fieldGroup base="11">
        <rangePr groupBy="years" startDate="2023-01-02T00:00:00" endDate="2024-01-08T00:00:00"/>
        <groupItems count="4">
          <s v="&lt;02-01-2023"/>
          <s v="2023"/>
          <s v="2024"/>
          <s v="&gt;08-01-2024"/>
        </groupItems>
      </fieldGroup>
    </cacheField>
  </cacheFields>
  <extLst>
    <ext xmlns:x14="http://schemas.microsoft.com/office/spreadsheetml/2009/9/main" uri="{725AE2AE-9491-48be-B2B4-4EB974FC3084}">
      <x14:pivotCacheDefinition pivotCacheId="16106915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Pal" refreshedDate="46038.97793483796" createdVersion="8" refreshedVersion="8" minRefreshableVersion="3" recordCount="1000" xr:uid="{C0A8F417-D656-4877-8141-666B5F38D46C}">
  <cacheSource type="worksheet">
    <worksheetSource name="Table2"/>
  </cacheSource>
  <cacheFields count="23">
    <cacheField name="Order_ID" numFmtId="0">
      <sharedItems containsSemiMixedTypes="0" containsString="0" containsNumber="1" containsInteger="1" minValue="1" maxValue="1000"/>
    </cacheField>
    <cacheField name="Customer_ID" numFmtId="0">
      <sharedItems/>
    </cacheField>
    <cacheField name="Product_ID" numFmtId="0">
      <sharedItems containsSemiMixedTypes="0" containsString="0" containsNumber="1" containsInteger="1" minValue="1" maxValue="70"/>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Price" numFmtId="164">
      <sharedItems containsSemiMixedTypes="0" containsString="0" containsNumber="1" containsInteger="1" minValue="203" maxValue="1977"/>
    </cacheField>
    <cacheField name="Order_Date" numFmtId="14">
      <sharedItems containsSemiMixedTypes="0" containsNonDate="0" containsDate="1" containsString="0" minDate="2023-01-01T00:00:00" maxDate="2023-12-30T00:00:00" count="286">
        <d v="2023-02-24T00:00:00"/>
        <d v="2023-11-07T00:00:00"/>
        <d v="2023-07-14T00:00:00"/>
        <d v="2023-07-10T00:00:00"/>
        <d v="2023-02-11T00:00:00"/>
        <d v="2023-08-20T00:00:00"/>
        <d v="2023-05-08T00:00:00"/>
        <d v="2023-11-08T00:00:00"/>
        <d v="2023-02-26T00:00:00"/>
        <d v="2023-03-02T00:00:00"/>
        <d v="2023-07-12T00:00:00"/>
        <d v="2023-08-26T00:00:00"/>
        <d v="2023-02-16T00:00:00"/>
        <d v="2023-11-04T00:00:00"/>
        <d v="2023-12-10T00:00:00"/>
        <d v="2023-03-07T00:00:00"/>
        <d v="2023-02-09T00:00:00"/>
        <d v="2023-11-09T00:00:00"/>
        <d v="2023-05-05T00:00:00"/>
        <d v="2023-07-25T00:00:00"/>
        <d v="2023-07-21T00:00:00"/>
        <d v="2023-03-06T00:00:00"/>
        <d v="2023-08-22T00:00:00"/>
        <d v="2023-09-22T00:00:00"/>
        <d v="2023-01-13T00:00:00"/>
        <d v="2023-02-28T00:00:00"/>
        <d v="2023-03-04T00:00:00"/>
        <d v="2023-04-15T00:00:00"/>
        <d v="2023-10-01T00:00:00"/>
        <d v="2023-02-10T00:00:00"/>
        <d v="2023-11-11T00:00:00"/>
        <d v="2023-11-02T00:00:00"/>
        <d v="2023-06-08T00:00:00"/>
        <d v="2023-02-12T00:00:00"/>
        <d v="2023-07-17T00:00:00"/>
        <d v="2023-04-28T00:00:00"/>
        <d v="2023-04-18T00:00:00"/>
        <d v="2023-11-12T00:00:00"/>
        <d v="2023-03-15T00:00:00"/>
        <d v="2023-08-29T00:00:00"/>
        <d v="2023-04-13T00:00:00"/>
        <d v="2023-02-08T00:00:00"/>
        <d v="2023-01-06T00:00:00"/>
        <d v="2023-06-26T00:00:00"/>
        <d v="2023-12-13T00:00:00"/>
        <d v="2023-06-25T00:00:00"/>
        <d v="2023-06-12T00:00:00"/>
        <d v="2023-09-01T00:00:00"/>
        <d v="2023-07-06T00:00:00"/>
        <d v="2023-08-25T00:00:00"/>
        <d v="2023-09-02T00:00:00"/>
        <d v="2023-09-28T00:00:00"/>
        <d v="2023-03-03T00:00:00"/>
        <d v="2023-01-01T00:00:00"/>
        <d v="2023-04-06T00:00:00"/>
        <d v="2023-08-05T00:00:00"/>
        <d v="2023-02-04T00:00:00"/>
        <d v="2023-06-01T00:00:00"/>
        <d v="2023-01-02T00:00:00"/>
        <d v="2023-02-22T00:00:00"/>
        <d v="2023-08-04T00:00:00"/>
        <d v="2023-08-23T00:00:00"/>
        <d v="2023-09-13T00:00:00"/>
        <d v="2023-12-22T00:00:00"/>
        <d v="2023-02-27T00:00:00"/>
        <d v="2023-05-15T00:00:00"/>
        <d v="2023-05-01T00:00:00"/>
        <d v="2023-05-29T00:00:00"/>
        <d v="2023-03-14T00:00:00"/>
        <d v="2023-11-03T00:00:00"/>
        <d v="2023-10-30T00:00:00"/>
        <d v="2023-05-09T00:00:00"/>
        <d v="2023-06-19T00:00:00"/>
        <d v="2023-10-28T00:00:00"/>
        <d v="2023-02-01T00:00:00"/>
        <d v="2023-12-29T00:00:00"/>
        <d v="2023-11-06T00:00:00"/>
        <d v="2023-06-21T00:00:00"/>
        <d v="2023-11-14T00:00:00"/>
        <d v="2023-02-03T00:00:00"/>
        <d v="2023-12-25T00:00:00"/>
        <d v="2023-02-05T00:00:00"/>
        <d v="2023-10-03T00:00:00"/>
        <d v="2023-01-15T00:00:00"/>
        <d v="2023-03-19T00:00:00"/>
        <d v="2023-02-17T00:00:00"/>
        <d v="2023-04-22T00:00:00"/>
        <d v="2023-11-10T00:00:00"/>
        <d v="2023-03-05T00:00:00"/>
        <d v="2023-09-05T00:00:00"/>
        <d v="2023-03-11T00:00:00"/>
        <d v="2023-05-11T00:00:00"/>
        <d v="2023-10-23T00:00:00"/>
        <d v="2023-01-18T00:00:00"/>
        <d v="2023-02-13T00:00:00"/>
        <d v="2023-03-17T00:00:00"/>
        <d v="2023-12-05T00:00:00"/>
        <d v="2023-10-06T00:00:00"/>
        <d v="2023-11-21T00:00:00"/>
        <d v="2023-06-02T00:00:00"/>
        <d v="2023-08-27T00:00:00"/>
        <d v="2023-04-25T00:00:00"/>
        <d v="2023-08-06T00:00:00"/>
        <d v="2023-02-06T00:00:00"/>
        <d v="2023-03-21T00:00:00"/>
        <d v="2023-06-30T00:00:00"/>
        <d v="2023-02-07T00:00:00"/>
        <d v="2023-10-13T00:00:00"/>
        <d v="2023-03-10T00:00:00"/>
        <d v="2023-08-24T00:00:00"/>
        <d v="2023-08-28T00:00:00"/>
        <d v="2023-05-07T00:00:00"/>
        <d v="2023-09-18T00:00:00"/>
        <d v="2023-11-19T00:00:00"/>
        <d v="2023-10-12T00:00:00"/>
        <d v="2023-08-16T00:00:00"/>
        <d v="2023-04-10T00:00:00"/>
        <d v="2023-03-22T00:00:00"/>
        <d v="2023-01-03T00:00:00"/>
        <d v="2023-07-27T00:00:00"/>
        <d v="2023-07-03T00:00:00"/>
        <d v="2023-04-02T00:00:00"/>
        <d v="2023-06-22T00:00:00"/>
        <d v="2023-10-22T00:00:00"/>
        <d v="2023-02-14T00:00:00"/>
        <d v="2023-03-01T00:00:00"/>
        <d v="2023-05-21T00:00:00"/>
        <d v="2023-06-13T00:00:00"/>
        <d v="2023-08-21T00:00:00"/>
        <d v="2023-09-08T00:00:00"/>
        <d v="2023-03-24T00:00:00"/>
        <d v="2023-09-03T00:00:00"/>
        <d v="2023-03-25T00:00:00"/>
        <d v="2023-03-20T00:00:00"/>
        <d v="2023-10-11T00:00:00"/>
        <d v="2023-09-10T00:00:00"/>
        <d v="2023-07-07T00:00:00"/>
        <d v="2023-12-27T00:00:00"/>
        <d v="2023-04-16T00:00:00"/>
        <d v="2023-03-12T00:00:00"/>
        <d v="2023-05-12T00:00:00"/>
        <d v="2023-08-14T00:00:00"/>
        <d v="2023-10-25T00:00:00"/>
        <d v="2023-06-23T00:00:00"/>
        <d v="2023-04-08T00:00:00"/>
        <d v="2023-11-22T00:00:00"/>
        <d v="2023-05-28T00:00:00"/>
        <d v="2023-06-20T00:00:00"/>
        <d v="2023-11-24T00:00:00"/>
        <d v="2023-09-21T00:00:00"/>
        <d v="2023-11-23T00:00:00"/>
        <d v="2023-08-10T00:00:00"/>
        <d v="2023-09-27T00:00:00"/>
        <d v="2023-09-04T00:00:00"/>
        <d v="2023-04-01T00:00:00"/>
        <d v="2023-10-24T00:00:00"/>
        <d v="2023-11-20T00:00:00"/>
        <d v="2023-03-09T00:00:00"/>
        <d v="2023-07-22T00:00:00"/>
        <d v="2023-11-05T00:00:00"/>
        <d v="2023-03-08T00:00:00"/>
        <d v="2023-04-11T00:00:00"/>
        <d v="2023-02-02T00:00:00"/>
        <d v="2023-09-24T00:00:00"/>
        <d v="2023-04-17T00:00:00"/>
        <d v="2023-05-16T00:00:00"/>
        <d v="2023-09-20T00:00:00"/>
        <d v="2023-09-15T00:00:00"/>
        <d v="2023-11-28T00:00:00"/>
        <d v="2023-01-16T00:00:00"/>
        <d v="2023-12-24T00:00:00"/>
        <d v="2023-07-08T00:00:00"/>
        <d v="2023-11-27T00:00:00"/>
        <d v="2023-08-07T00:00:00"/>
        <d v="2023-07-09T00:00:00"/>
        <d v="2023-06-07T00:00:00"/>
        <d v="2023-05-14T00:00:00"/>
        <d v="2023-01-25T00:00:00"/>
        <d v="2023-06-03T00:00:00"/>
        <d v="2023-06-04T00:00:00"/>
        <d v="2023-04-30T00:00:00"/>
        <d v="2023-03-23T00:00:00"/>
        <d v="2023-08-08T00:00:00"/>
        <d v="2023-09-30T00:00:00"/>
        <d v="2023-12-06T00:00:00"/>
        <d v="2023-01-05T00:00:00"/>
        <d v="2023-01-27T00:00:00"/>
        <d v="2023-06-14T00:00:00"/>
        <d v="2023-12-02T00:00:00"/>
        <d v="2023-10-20T00:00:00"/>
        <d v="2023-05-27T00:00:00"/>
        <d v="2023-07-19T00:00:00"/>
        <d v="2023-03-29T00:00:00"/>
        <d v="2023-07-05T00:00:00"/>
        <d v="2023-12-15T00:00:00"/>
        <d v="2023-01-31T00:00:00"/>
        <d v="2023-03-28T00:00:00"/>
        <d v="2023-12-04T00:00:00"/>
        <d v="2023-06-05T00:00:00"/>
        <d v="2023-05-26T00:00:00"/>
        <d v="2023-06-29T00:00:00"/>
        <d v="2023-06-24T00:00:00"/>
        <d v="2023-12-08T00:00:00"/>
        <d v="2023-03-27T00:00:00"/>
        <d v="2023-10-21T00:00:00"/>
        <d v="2023-04-09T00:00:00"/>
        <d v="2023-04-07T00:00:00"/>
        <d v="2023-07-02T00:00:00"/>
        <d v="2023-08-15T00:00:00"/>
        <d v="2023-08-19T00:00:00"/>
        <d v="2023-10-17T00:00:00"/>
        <d v="2023-05-18T00:00:00"/>
        <d v="2023-06-09T00:00:00"/>
        <d v="2023-09-06T00:00:00"/>
        <d v="2023-11-13T00:00:00"/>
        <d v="2023-01-10T00:00:00"/>
        <d v="2023-02-21T00:00:00"/>
        <d v="2023-04-19T00:00:00"/>
        <d v="2023-05-10T00:00:00"/>
        <d v="2023-06-28T00:00:00"/>
        <d v="2023-12-19T00:00:00"/>
        <d v="2023-08-09T00:00:00"/>
        <d v="2023-07-31T00:00:00"/>
        <d v="2023-06-16T00:00:00"/>
        <d v="2023-04-26T00:00:00"/>
        <d v="2023-12-09T00:00:00"/>
        <d v="2023-01-19T00:00:00"/>
        <d v="2023-12-21T00:00:00"/>
        <d v="2023-10-27T00:00:00"/>
        <d v="2023-02-19T00:00:00"/>
        <d v="2023-07-11T00:00:00"/>
        <d v="2023-02-23T00:00:00"/>
        <d v="2023-09-23T00:00:00"/>
        <d v="2023-04-23T00:00:00"/>
        <d v="2023-05-13T00:00:00"/>
        <d v="2023-11-29T00:00:00"/>
        <d v="2023-01-14T00:00:00"/>
        <d v="2023-12-03T00:00:00"/>
        <d v="2023-02-18T00:00:00"/>
        <d v="2023-10-05T00:00:00"/>
        <d v="2023-01-29T00:00:00"/>
        <d v="2023-09-17T00:00:00"/>
        <d v="2023-01-28T00:00:00"/>
        <d v="2023-08-11T00:00:00"/>
        <d v="2023-05-22T00:00:00"/>
        <d v="2023-04-14T00:00:00"/>
        <d v="2023-11-18T00:00:00"/>
        <d v="2023-10-16T00:00:00"/>
        <d v="2023-05-02T00:00:00"/>
        <d v="2023-09-14T00:00:00"/>
        <d v="2023-01-30T00:00:00"/>
        <d v="2023-11-01T00:00:00"/>
        <d v="2023-07-29T00:00:00"/>
        <d v="2023-09-19T00:00:00"/>
        <d v="2023-08-01T00:00:00"/>
        <d v="2023-01-07T00:00:00"/>
        <d v="2023-06-17T00:00:00"/>
        <d v="2023-05-06T00:00:00"/>
        <d v="2023-12-17T00:00:00"/>
        <d v="2023-06-11T00:00:00"/>
        <d v="2023-10-18T00:00:00"/>
        <d v="2023-12-12T00:00:00"/>
        <d v="2023-09-29T00:00:00"/>
        <d v="2023-01-12T00:00:00"/>
        <d v="2023-05-24T00:00:00"/>
        <d v="2023-10-09T00:00:00"/>
        <d v="2023-07-16T00:00:00"/>
        <d v="2023-03-18T00:00:00"/>
        <d v="2023-10-14T00:00:00"/>
        <d v="2023-04-05T00:00:00"/>
        <d v="2023-01-23T00:00:00"/>
        <d v="2023-01-24T00:00:00"/>
        <d v="2023-12-14T00:00:00"/>
        <d v="2023-01-08T00:00:00"/>
        <d v="2023-10-29T00:00:00"/>
        <d v="2023-01-11T00:00:00"/>
        <d v="2023-05-19T00:00:00"/>
        <d v="2023-12-23T00:00:00"/>
        <d v="2023-11-17T00:00:00"/>
        <d v="2023-07-30T00:00:00"/>
        <d v="2023-10-19T00:00:00"/>
        <d v="2023-08-30T00:00:00"/>
        <d v="2023-08-03T00:00:00"/>
        <d v="2023-12-20T00:00:00"/>
        <d v="2023-10-08T00:00:00"/>
        <d v="2023-07-20T00:00:00"/>
      </sharedItems>
    </cacheField>
    <cacheField name="Order_Month" numFmtId="14">
      <sharedItems containsNonDate="0"/>
    </cacheField>
    <cacheField name="Day" numFmtId="14">
      <sharedItems containsNonDate="0"/>
    </cacheField>
    <cacheField name="Order_Time" numFmtId="21">
      <sharedItems containsSemiMixedTypes="0" containsNonDate="0" containsDate="1" containsString="0" minDate="1899-12-30T00:00:53" maxDate="1899-12-30T23:59:56"/>
    </cacheField>
    <cacheField name="Delivery_Date" numFmtId="14">
      <sharedItems containsSemiMixedTypes="0" containsNonDate="0" containsDate="1" containsString="0" minDate="2023-01-02T00:00:00" maxDate="2024-01-08T00:00:00" count="286">
        <d v="2023-03-05T00:00:00"/>
        <d v="2023-11-13T00:00:00"/>
        <d v="2023-07-19T00:00:00"/>
        <d v="2023-02-18T00:00:00"/>
        <d v="2023-08-26T00:00:00"/>
        <d v="2023-05-13T00:00:00"/>
        <d v="2023-11-14T00:00:00"/>
        <d v="2023-08-29T00:00:00"/>
        <d v="2023-03-08T00:00:00"/>
        <d v="2023-03-03T00:00:00"/>
        <d v="2023-07-20T00:00:00"/>
        <d v="2023-03-04T00:00:00"/>
        <d v="2023-11-15T00:00:00"/>
        <d v="2023-08-30T00:00:00"/>
        <d v="2023-02-20T00:00:00"/>
        <d v="2023-12-11T00:00:00"/>
        <d v="2023-02-14T00:00:00"/>
        <d v="2023-02-12T00:00:00"/>
        <d v="2023-05-06T00:00:00"/>
        <d v="2023-08-03T00:00:00"/>
        <d v="2023-07-24T00:00:00"/>
        <d v="2023-03-12T00:00:00"/>
        <d v="2023-05-10T00:00:00"/>
        <d v="2023-10-01T00:00:00"/>
        <d v="2023-01-15T00:00:00"/>
        <d v="2023-04-25T00:00:00"/>
        <d v="2023-10-05T00:00:00"/>
        <d v="2023-03-14T00:00:00"/>
        <d v="2023-02-15T00:00:00"/>
        <d v="2023-11-04T00:00:00"/>
        <d v="2023-11-05T00:00:00"/>
        <d v="2023-06-10T00:00:00"/>
        <d v="2023-03-07T00:00:00"/>
        <d v="2023-02-16T00:00:00"/>
        <d v="2023-07-27T00:00:00"/>
        <d v="2023-04-29T00:00:00"/>
        <d v="2023-04-23T00:00:00"/>
        <d v="2023-02-28T00:00:00"/>
        <d v="2023-11-16T00:00:00"/>
        <d v="2023-11-18T00:00:00"/>
        <d v="2023-03-19T00:00:00"/>
        <d v="2023-09-07T00:00:00"/>
        <d v="2023-08-27T00:00:00"/>
        <d v="2023-02-13T00:00:00"/>
        <d v="2023-03-06T00:00:00"/>
        <d v="2023-06-28T00:00:00"/>
        <d v="2023-12-15T00:00:00"/>
        <d v="2023-11-10T00:00:00"/>
        <d v="2023-06-26T00:00:00"/>
        <d v="2023-06-15T00:00:00"/>
        <d v="2023-09-11T00:00:00"/>
        <d v="2023-02-27T00:00:00"/>
        <d v="2023-07-14T00:00:00"/>
        <d v="2023-08-31T00:00:00"/>
        <d v="2023-09-08T00:00:00"/>
        <d v="2023-10-03T00:00:00"/>
        <d v="2023-08-28T00:00:00"/>
        <d v="2023-03-11T00:00:00"/>
        <d v="2023-01-07T00:00:00"/>
        <d v="2023-04-09T00:00:00"/>
        <d v="2023-11-12T00:00:00"/>
        <d v="2023-08-13T00:00:00"/>
        <d v="2023-02-08T00:00:00"/>
        <d v="2023-06-11T00:00:00"/>
        <d v="2023-01-11T00:00:00"/>
        <d v="2023-08-05T00:00:00"/>
        <d v="2023-09-02T00:00:00"/>
        <d v="2023-09-22T00:00:00"/>
        <d v="2023-02-11T00:00:00"/>
        <d v="2024-01-01T00:00:00"/>
        <d v="2023-05-25T00:00:00"/>
        <d v="2023-05-03T00:00:00"/>
        <d v="2023-06-03T00:00:00"/>
        <d v="2023-03-23T00:00:00"/>
        <d v="2023-11-08T00:00:00"/>
        <d v="2023-11-01T00:00:00"/>
        <d v="2023-05-17T00:00:00"/>
        <d v="2023-06-21T00:00:00"/>
        <d v="2023-11-06T00:00:00"/>
        <d v="2024-01-05T00:00:00"/>
        <d v="2023-02-21T00:00:00"/>
        <d v="2023-03-01T00:00:00"/>
        <d v="2023-03-13T00:00:00"/>
        <d v="2023-06-25T00:00:00"/>
        <d v="2023-11-23T00:00:00"/>
        <d v="2023-02-07T00:00:00"/>
        <d v="2023-05-05T00:00:00"/>
        <d v="2023-11-20T00:00:00"/>
        <d v="2023-08-22T00:00:00"/>
        <d v="2023-12-31T00:00:00"/>
        <d v="2023-02-09T00:00:00"/>
        <d v="2023-10-13T00:00:00"/>
        <d v="2023-01-25T00:00:00"/>
        <d v="2023-07-23T00:00:00"/>
        <d v="2023-03-25T00:00:00"/>
        <d v="2023-11-03T00:00:00"/>
        <d v="2023-04-27T00:00:00"/>
        <d v="2023-12-14T00:00:00"/>
        <d v="2023-09-09T00:00:00"/>
        <d v="2023-03-18T00:00:00"/>
        <d v="2023-05-16T00:00:00"/>
        <d v="2023-03-10T00:00:00"/>
        <d v="2023-10-27T00:00:00"/>
        <d v="2023-01-23T00:00:00"/>
        <d v="2023-09-03T00:00:00"/>
        <d v="2023-12-07T00:00:00"/>
        <d v="2023-10-09T00:00:00"/>
        <d v="2023-11-25T00:00:00"/>
        <d v="2023-11-11T00:00:00"/>
        <d v="2023-09-05T00:00:00"/>
        <d v="2023-02-25T00:00:00"/>
        <d v="2023-08-10T00:00:00"/>
        <d v="2023-11-07T00:00:00"/>
        <d v="2023-03-27T00:00:00"/>
        <d v="2023-07-08T00:00:00"/>
        <d v="2023-10-20T00:00:00"/>
        <d v="2023-03-16T00:00:00"/>
        <d v="2023-09-06T00:00:00"/>
        <d v="2023-05-11T00:00:00"/>
        <d v="2023-09-25T00:00:00"/>
        <d v="2023-11-22T00:00:00"/>
        <d v="2023-10-17T00:00:00"/>
        <d v="2023-08-21T00:00:00"/>
        <d v="2023-08-19T00:00:00"/>
        <d v="2023-04-17T00:00:00"/>
        <d v="2023-03-26T00:00:00"/>
        <d v="2023-09-04T00:00:00"/>
        <d v="2023-01-08T00:00:00"/>
        <d v="2023-08-01T00:00:00"/>
        <d v="2023-07-09T00:00:00"/>
        <d v="2023-04-12T00:00:00"/>
        <d v="2023-06-23T00:00:00"/>
        <d v="2023-10-29T00:00:00"/>
        <d v="2023-02-24T00:00:00"/>
        <d v="2023-05-24T00:00:00"/>
        <d v="2023-10-08T00:00:00"/>
        <d v="2023-06-16T00:00:00"/>
        <d v="2023-03-15T00:00:00"/>
        <d v="2023-02-06T00:00:00"/>
        <d v="2023-09-12T00:00:00"/>
        <d v="2023-12-26T00:00:00"/>
        <d v="2023-09-01T00:00:00"/>
        <d v="2023-08-23T00:00:00"/>
        <d v="2023-04-01T00:00:00"/>
        <d v="2023-03-30T00:00:00"/>
        <d v="2023-02-10T00:00:00"/>
        <d v="2023-10-16T00:00:00"/>
        <d v="2023-09-19T00:00:00"/>
        <d v="2023-11-09T00:00:00"/>
        <d v="2023-03-02T00:00:00"/>
        <d v="2023-07-15T00:00:00"/>
        <d v="2024-01-06T00:00:00"/>
        <d v="2023-08-24T00:00:00"/>
        <d v="2023-04-20T00:00:00"/>
        <d v="2023-10-26T00:00:00"/>
        <d v="2023-06-30T00:00:00"/>
        <d v="2023-04-18T00:00:00"/>
        <d v="2023-11-24T00:00:00"/>
        <d v="2023-06-01T00:00:00"/>
        <d v="2023-06-24T00:00:00"/>
        <d v="2023-11-26T00:00:00"/>
        <d v="2023-11-19T00:00:00"/>
        <d v="2023-11-30T00:00:00"/>
        <d v="2023-08-16T00:00:00"/>
        <d v="2023-06-02T00:00:00"/>
        <d v="2023-04-11T00:00:00"/>
        <d v="2023-11-17T00:00:00"/>
        <d v="2023-10-25T00:00:00"/>
        <d v="2023-11-29T00:00:00"/>
        <d v="2023-07-26T00:00:00"/>
        <d v="2023-03-09T00:00:00"/>
        <d v="2023-03-17T00:00:00"/>
        <d v="2023-04-15T00:00:00"/>
        <d v="2023-09-26T00:00:00"/>
        <d v="2023-04-22T00:00:00"/>
        <d v="2023-08-25T00:00:00"/>
        <d v="2023-05-22T00:00:00"/>
        <d v="2023-09-29T00:00:00"/>
        <d v="2023-07-22T00:00:00"/>
        <d v="2023-09-23T00:00:00"/>
        <d v="2023-02-22T00:00:00"/>
        <d v="2024-01-02T00:00:00"/>
        <d v="2023-12-05T00:00:00"/>
        <d v="2023-06-04T00:00:00"/>
        <d v="2023-08-15T00:00:00"/>
        <d v="2023-07-13T00:00:00"/>
        <d v="2023-05-19T00:00:00"/>
        <d v="2023-01-28T00:00:00"/>
        <d v="2023-06-13T00:00:00"/>
        <d v="2023-05-15T00:00:00"/>
        <d v="2023-06-14T00:00:00"/>
        <d v="2023-05-09T00:00:00"/>
        <d v="2024-01-07T00:00:00"/>
        <d v="2023-03-31T00:00:00"/>
        <d v="2023-01-16T00:00:00"/>
        <d v="2023-01-02T00:00:00"/>
        <d v="2023-10-31T00:00:00"/>
        <d v="2023-02-17T00:00:00"/>
        <d v="2023-08-12T00:00:00"/>
        <d v="2023-12-12T00:00:00"/>
        <d v="2023-12-19T00:00:00"/>
        <d v="2023-01-13T00:00:00"/>
        <d v="2023-02-03T00:00:00"/>
        <d v="2023-12-22T00:00:00"/>
        <d v="2023-07-17T00:00:00"/>
        <d v="2023-05-29T00:00:00"/>
        <d v="2023-06-27T00:00:00"/>
        <d v="2023-09-30T00:00:00"/>
        <d v="2023-10-11T00:00:00"/>
        <d v="2023-08-04T00:00:00"/>
        <d v="2023-12-30T00:00:00"/>
        <d v="2023-04-04T00:00:00"/>
        <d v="2023-12-08T00:00:00"/>
        <d v="2023-09-20T00:00:00"/>
        <d v="2023-07-30T00:00:00"/>
        <d v="2023-01-09T00:00:00"/>
        <d v="2023-11-02T00:00:00"/>
        <d v="2023-07-05T00:00:00"/>
        <d v="2023-06-05T00:00:00"/>
        <d v="2023-12-17T00:00:00"/>
        <d v="2023-04-02T00:00:00"/>
        <d v="2023-07-06T00:00:00"/>
        <d v="2023-04-08T00:00:00"/>
        <d v="2023-02-19T00:00:00"/>
        <d v="2023-09-10T00:00:00"/>
        <d v="2023-12-04T00:00:00"/>
        <d v="2023-07-11T00:00:00"/>
        <d v="2023-07-12T00:00:00"/>
        <d v="2023-01-19T00:00:00"/>
        <d v="2023-12-21T00:00:00"/>
        <d v="2023-08-09T00:00:00"/>
        <d v="2023-05-14T00:00:00"/>
        <d v="2023-08-06T00:00:00"/>
        <d v="2023-06-20T00:00:00"/>
        <d v="2023-02-05T00:00:00"/>
        <d v="2023-05-01T00:00:00"/>
        <d v="2023-06-07T00:00:00"/>
        <d v="2023-12-25T00:00:00"/>
        <d v="2023-10-28T00:00:00"/>
        <d v="2023-01-05T00:00:00"/>
        <d v="2023-07-18T00:00:00"/>
        <d v="2023-09-27T00:00:00"/>
        <d v="2023-03-20T00:00:00"/>
        <d v="2023-05-31T00:00:00"/>
        <d v="2023-05-26T00:00:00"/>
        <d v="2023-05-23T00:00:00"/>
        <d v="2023-12-01T00:00:00"/>
        <d v="2023-10-12T00:00:00"/>
        <d v="2023-10-14T00:00:00"/>
        <d v="2023-01-30T00:00:00"/>
        <d v="2023-08-18T00:00:00"/>
        <d v="2023-04-21T00:00:00"/>
        <d v="2023-06-09T00:00:00"/>
        <d v="2023-05-04T00:00:00"/>
        <d v="2023-12-20T00:00:00"/>
        <d v="2023-04-16T00:00:00"/>
        <d v="2023-10-21T00:00:00"/>
        <d v="2023-04-03T00:00:00"/>
        <d v="2023-02-04T00:00:00"/>
        <d v="2023-09-17T00:00:00"/>
        <d v="2023-09-21T00:00:00"/>
        <d v="2023-07-07T00:00:00"/>
        <d v="2023-04-26T00:00:00"/>
        <d v="2023-12-09T00:00:00"/>
        <d v="2023-05-07T00:00:00"/>
        <d v="2023-07-01T00:00:00"/>
        <d v="2023-10-10T00:00:00"/>
        <d v="2023-12-02T00:00:00"/>
        <d v="2023-08-17T00:00:00"/>
        <d v="2023-08-11T00:00:00"/>
        <d v="2023-04-07T00:00:00"/>
        <d v="2023-04-06T00:00:00"/>
        <d v="2023-04-10T00:00:00"/>
        <d v="2023-12-24T00:00:00"/>
        <d v="2023-03-24T00:00:00"/>
        <d v="2023-01-29T00:00:00"/>
        <d v="2023-12-18T00:00:00"/>
        <d v="2023-01-12T00:00:00"/>
        <d v="2023-11-27T00:00:00"/>
        <d v="2023-04-19T00:00:00"/>
        <d v="2023-11-21T00:00:00"/>
        <d v="2023-10-18T00:00:00"/>
        <d v="2023-10-23T00:00:00"/>
        <d v="2023-05-02T00:00:00"/>
        <d v="2023-05-20T00:00:00"/>
        <d v="2023-08-07T00:00:00"/>
      </sharedItems>
      <fieldGroup par="22"/>
    </cacheField>
    <cacheField name="Hour" numFmtId="0">
      <sharedItems containsSemiMixedTypes="0" containsString="0" containsNumber="1" containsInteger="1" minValue="0" maxValue="23" count="24">
        <n v="23"/>
        <n v="19"/>
        <n v="4"/>
        <n v="22"/>
        <n v="1"/>
        <n v="0"/>
        <n v="20"/>
        <n v="8"/>
        <n v="16"/>
        <n v="3"/>
        <n v="2"/>
        <n v="15"/>
        <n v="11"/>
        <n v="10"/>
        <n v="7"/>
        <n v="14"/>
        <n v="5"/>
        <n v="9"/>
        <n v="13"/>
        <n v="12"/>
        <n v="21"/>
        <n v="17"/>
        <n v="6"/>
        <n v="18"/>
      </sharedItems>
    </cacheField>
    <cacheField name="Delivery_Month" numFmtId="14">
      <sharedItems containsNonDate="0"/>
    </cacheField>
    <cacheField name="Delivery_Time" numFmtId="21">
      <sharedItems containsSemiMixedTypes="0" containsNonDate="0" containsDate="1" containsString="0" minDate="1899-12-30T00:00:30" maxDate="1899-12-30T23:59:54" count="993">
        <d v="1899-12-30T07:27:10"/>
        <d v="1899-12-30T07:16:17"/>
        <d v="1899-12-30T17:39:00"/>
        <d v="1899-12-30T06:33:23"/>
        <d v="1899-12-30T11:08:52"/>
        <d v="1899-12-30T19:06:46"/>
        <d v="1899-12-30T10:07:17"/>
        <d v="1899-12-30T08:44:45"/>
        <d v="1899-12-30T23:59:54"/>
        <d v="1899-12-30T20:47:43"/>
        <d v="1899-12-30T23:19:47"/>
        <d v="1899-12-30T23:34:57"/>
        <d v="1899-12-30T02:27:37"/>
        <d v="1899-12-30T12:08:02"/>
        <d v="1899-12-30T13:26:45"/>
        <d v="1899-12-30T22:14:21"/>
        <d v="1899-12-30T18:40:13"/>
        <d v="1899-12-30T00:20:29"/>
        <d v="1899-12-30T03:04:34"/>
        <d v="1899-12-30T01:34:16"/>
        <d v="1899-12-30T11:36:26"/>
        <d v="1899-12-30T09:49:47"/>
        <d v="1899-12-30T12:12:24"/>
        <d v="1899-12-30T07:57:35"/>
        <d v="1899-12-30T14:28:42"/>
        <d v="1899-12-30T06:06:11"/>
        <d v="1899-12-30T07:59:12"/>
        <d v="1899-12-30T07:55:04"/>
        <d v="1899-12-30T14:29:16"/>
        <d v="1899-12-30T13:36:58"/>
        <d v="1899-12-30T23:35:49"/>
        <d v="1899-12-30T15:54:10"/>
        <d v="1899-12-30T02:13:27"/>
        <d v="1899-12-30T05:36:46"/>
        <d v="1899-12-30T15:00:40"/>
        <d v="1899-12-30T08:14:49"/>
        <d v="1899-12-30T21:19:36"/>
        <d v="1899-12-30T12:24:51"/>
        <d v="1899-12-30T13:28:42"/>
        <d v="1899-12-30T04:29:54"/>
        <d v="1899-12-30T14:29:42"/>
        <d v="1899-12-30T17:18:28"/>
        <d v="1899-12-30T02:47:47"/>
        <d v="1899-12-30T10:48:09"/>
        <d v="1899-12-30T06:16:36"/>
        <d v="1899-12-30T08:02:45"/>
        <d v="1899-12-30T06:00:20"/>
        <d v="1899-12-30T05:31:42"/>
        <d v="1899-12-30T13:49:52"/>
        <d v="1899-12-30T10:19:22"/>
        <d v="1899-12-30T16:46:40"/>
        <d v="1899-12-30T04:22:02"/>
        <d v="1899-12-30T05:59:31"/>
        <d v="1899-12-30T14:30:59"/>
        <d v="1899-12-30T07:42:58"/>
        <d v="1899-12-30T18:51:59"/>
        <d v="1899-12-30T12:27:32"/>
        <d v="1899-12-30T08:26:18"/>
        <d v="1899-12-30T20:10:04"/>
        <d v="1899-12-30T13:03:56"/>
        <d v="1899-12-30T08:08:31"/>
        <d v="1899-12-30T23:51:40"/>
        <d v="1899-12-30T15:40:04"/>
        <d v="1899-12-30T22:05:41"/>
        <d v="1899-12-30T06:33:52"/>
        <d v="1899-12-30T06:25:58"/>
        <d v="1899-12-30T21:11:01"/>
        <d v="1899-12-30T21:31:14"/>
        <d v="1899-12-30T09:30:02"/>
        <d v="1899-12-30T11:44:33"/>
        <d v="1899-12-30T13:31:32"/>
        <d v="1899-12-30T17:34:10"/>
        <d v="1899-12-30T01:28:36"/>
        <d v="1899-12-30T09:02:03"/>
        <d v="1899-12-30T23:00:34"/>
        <d v="1899-12-30T00:34:50"/>
        <d v="1899-12-30T16:20:52"/>
        <d v="1899-12-30T20:31:15"/>
        <d v="1899-12-30T07:34:53"/>
        <d v="1899-12-30T02:05:50"/>
        <d v="1899-12-30T07:09:32"/>
        <d v="1899-12-30T14:08:13"/>
        <d v="1899-12-30T14:44:00"/>
        <d v="1899-12-30T07:02:20"/>
        <d v="1899-12-30T14:48:22"/>
        <d v="1899-12-30T14:09:30"/>
        <d v="1899-12-30T23:06:36"/>
        <d v="1899-12-30T12:17:55"/>
        <d v="1899-12-30T14:41:41"/>
        <d v="1899-12-30T17:48:35"/>
        <d v="1899-12-30T13:23:25"/>
        <d v="1899-12-30T11:17:55"/>
        <d v="1899-12-30T18:35:56"/>
        <d v="1899-12-30T07:16:33"/>
        <d v="1899-12-30T08:56:06"/>
        <d v="1899-12-30T01:35:25"/>
        <d v="1899-12-30T16:34:28"/>
        <d v="1899-12-30T15:44:38"/>
        <d v="1899-12-30T05:30:26"/>
        <d v="1899-12-30T06:18:37"/>
        <d v="1899-12-30T07:06:35"/>
        <d v="1899-12-30T22:51:39"/>
        <d v="1899-12-30T00:15:28"/>
        <d v="1899-12-30T01:34:10"/>
        <d v="1899-12-30T23:00:28"/>
        <d v="1899-12-30T14:20:21"/>
        <d v="1899-12-30T08:03:05"/>
        <d v="1899-12-30T08:38:56"/>
        <d v="1899-12-30T08:27:31"/>
        <d v="1899-12-30T21:03:57"/>
        <d v="1899-12-30T15:50:59"/>
        <d v="1899-12-30T04:26:47"/>
        <d v="1899-12-30T02:22:48"/>
        <d v="1899-12-30T11:36:31"/>
        <d v="1899-12-30T05:25:26"/>
        <d v="1899-12-30T03:43:01"/>
        <d v="1899-12-30T10:32:52"/>
        <d v="1899-12-30T12:22:18"/>
        <d v="1899-12-30T09:57:24"/>
        <d v="1899-12-30T07:29:31"/>
        <d v="1899-12-30T03:15:14"/>
        <d v="1899-12-30T04:58:43"/>
        <d v="1899-12-30T05:23:44"/>
        <d v="1899-12-30T14:36:11"/>
        <d v="1899-12-30T13:16:38"/>
        <d v="1899-12-30T19:25:01"/>
        <d v="1899-12-30T15:11:19"/>
        <d v="1899-12-30T08:17:32"/>
        <d v="1899-12-30T22:01:54"/>
        <d v="1899-12-30T08:29:03"/>
        <d v="1899-12-30T19:55:48"/>
        <d v="1899-12-30T11:22:51"/>
        <d v="1899-12-30T04:58:29"/>
        <d v="1899-12-30T15:43:20"/>
        <d v="1899-12-30T22:12:18"/>
        <d v="1899-12-30T07:29:21"/>
        <d v="1899-12-30T06:02:40"/>
        <d v="1899-12-30T18:12:44"/>
        <d v="1899-12-30T21:29:35"/>
        <d v="1899-12-30T02:31:56"/>
        <d v="1899-12-30T04:24:16"/>
        <d v="1899-12-30T14:49:54"/>
        <d v="1899-12-30T03:23:15"/>
        <d v="1899-12-30T13:04:25"/>
        <d v="1899-12-30T04:07:37"/>
        <d v="1899-12-30T13:51:11"/>
        <d v="1899-12-30T08:57:38"/>
        <d v="1899-12-30T20:09:12"/>
        <d v="1899-12-30T16:56:13"/>
        <d v="1899-12-30T03:56:02"/>
        <d v="1899-12-30T16:39:22"/>
        <d v="1899-12-30T06:04:43"/>
        <d v="1899-12-30T02:04:59"/>
        <d v="1899-12-30T00:00:30"/>
        <d v="1899-12-30T10:49:14"/>
        <d v="1899-12-30T11:35:44"/>
        <d v="1899-12-30T02:53:01"/>
        <d v="1899-12-30T04:55:56"/>
        <d v="1899-12-30T07:52:59"/>
        <d v="1899-12-30T23:12:01"/>
        <d v="1899-12-30T15:53:45"/>
        <d v="1899-12-30T10:20:16"/>
        <d v="1899-12-30T11:49:33"/>
        <d v="1899-12-30T08:37:14"/>
        <d v="1899-12-30T06:12:46"/>
        <d v="1899-12-30T15:16:27"/>
        <d v="1899-12-30T11:02:42"/>
        <d v="1899-12-30T01:26:19"/>
        <d v="1899-12-30T05:14:07"/>
        <d v="1899-12-30T12:27:06"/>
        <d v="1899-12-30T05:12:47"/>
        <d v="1899-12-30T01:51:53"/>
        <d v="1899-12-30T18:06:46"/>
        <d v="1899-12-30T07:22:52"/>
        <d v="1899-12-30T17:24:51"/>
        <d v="1899-12-30T14:50:42"/>
        <d v="1899-12-30T02:14:23"/>
        <d v="1899-12-30T14:31:07"/>
        <d v="1899-12-30T08:45:14"/>
        <d v="1899-12-30T04:53:28"/>
        <d v="1899-12-30T06:07:33"/>
        <d v="1899-12-30T15:29:26"/>
        <d v="1899-12-30T05:00:29"/>
        <d v="1899-12-30T20:00:43"/>
        <d v="1899-12-30T00:16:23"/>
        <d v="1899-12-30T09:34:09"/>
        <d v="1899-12-30T14:02:12"/>
        <d v="1899-12-30T13:21:54"/>
        <d v="1899-12-30T13:41:24"/>
        <d v="1899-12-30T08:50:02"/>
        <d v="1899-12-30T02:11:18"/>
        <d v="1899-12-30T02:34:02"/>
        <d v="1899-12-30T04:54:30"/>
        <d v="1899-12-30T07:51:40"/>
        <d v="1899-12-30T08:58:06"/>
        <d v="1899-12-30T03:30:06"/>
        <d v="1899-12-30T01:09:50"/>
        <d v="1899-12-30T16:24:59"/>
        <d v="1899-12-30T23:18:52"/>
        <d v="1899-12-30T03:52:28"/>
        <d v="1899-12-30T03:02:01"/>
        <d v="1899-12-30T22:40:14"/>
        <d v="1899-12-30T06:29:03"/>
        <d v="1899-12-30T11:47:12"/>
        <d v="1899-12-30T12:42:01"/>
        <d v="1899-12-30T12:15:56"/>
        <d v="1899-12-30T07:06:36"/>
        <d v="1899-12-30T21:44:32"/>
        <d v="1899-12-30T08:02:35"/>
        <d v="1899-12-30T17:40:03"/>
        <d v="1899-12-30T20:01:45"/>
        <d v="1899-12-30T08:58:11"/>
        <d v="1899-12-30T08:27:25"/>
        <d v="1899-12-30T12:37:34"/>
        <d v="1899-12-30T20:46:28"/>
        <d v="1899-12-30T16:42:19"/>
        <d v="1899-12-30T03:06:01"/>
        <d v="1899-12-30T10:36:05"/>
        <d v="1899-12-30T14:41:52"/>
        <d v="1899-12-30T14:00:35"/>
        <d v="1899-12-30T18:20:50"/>
        <d v="1899-12-30T10:17:59"/>
        <d v="1899-12-30T02:06:40"/>
        <d v="1899-12-30T18:01:06"/>
        <d v="1899-12-30T11:20:36"/>
        <d v="1899-12-30T14:09:44"/>
        <d v="1899-12-30T10:30:00"/>
        <d v="1899-12-30T09:32:50"/>
        <d v="1899-12-30T01:35:49"/>
        <d v="1899-12-30T21:13:01"/>
        <d v="1899-12-30T09:00:02"/>
        <d v="1899-12-30T04:07:39"/>
        <d v="1899-12-30T00:36:53"/>
        <d v="1899-12-30T23:26:23"/>
        <d v="1899-12-30T02:10:18"/>
        <d v="1899-12-30T08:19:20"/>
        <d v="1899-12-30T20:18:17"/>
        <d v="1899-12-30T13:23:08"/>
        <d v="1899-12-30T15:43:28"/>
        <d v="1899-12-30T08:58:21"/>
        <d v="1899-12-30T16:02:32"/>
        <d v="1899-12-30T12:30:54"/>
        <d v="1899-12-30T07:06:40"/>
        <d v="1899-12-30T09:30:30"/>
        <d v="1899-12-30T00:38:49"/>
        <d v="1899-12-30T02:58:46"/>
        <d v="1899-12-30T04:15:01"/>
        <d v="1899-12-30T23:17:36"/>
        <d v="1899-12-30T01:32:06"/>
        <d v="1899-12-30T00:19:44"/>
        <d v="1899-12-30T08:11:16"/>
        <d v="1899-12-30T05:39:27"/>
        <d v="1899-12-30T05:27:49"/>
        <d v="1899-12-30T09:23:14"/>
        <d v="1899-12-30T18:05:55"/>
        <d v="1899-12-30T22:39:39"/>
        <d v="1899-12-30T20:05:32"/>
        <d v="1899-12-30T00:04:01"/>
        <d v="1899-12-30T22:22:30"/>
        <d v="1899-12-30T20:17:47"/>
        <d v="1899-12-30T01:06:57"/>
        <d v="1899-12-30T15:22:01"/>
        <d v="1899-12-30T15:43:46"/>
        <d v="1899-12-30T06:28:33"/>
        <d v="1899-12-30T19:20:09"/>
        <d v="1899-12-30T03:52:00"/>
        <d v="1899-12-30T16:53:30"/>
        <d v="1899-12-30T17:58:13"/>
        <d v="1899-12-30T16:03:59"/>
        <d v="1899-12-30T18:20:05"/>
        <d v="1899-12-30T20:13:56"/>
        <d v="1899-12-30T01:52:48"/>
        <d v="1899-12-30T20:53:36"/>
        <d v="1899-12-30T01:17:39"/>
        <d v="1899-12-30T07:05:33"/>
        <d v="1899-12-30T15:50:18"/>
        <d v="1899-12-30T05:42:44"/>
        <d v="1899-12-30T17:51:23"/>
        <d v="1899-12-30T16:31:05"/>
        <d v="1899-12-30T10:27:14"/>
        <d v="1899-12-30T22:11:40"/>
        <d v="1899-12-30T18:21:40"/>
        <d v="1899-12-30T11:21:57"/>
        <d v="1899-12-30T12:52:20"/>
        <d v="1899-12-30T02:41:27"/>
        <d v="1899-12-30T15:39:57"/>
        <d v="1899-12-30T20:42:36"/>
        <d v="1899-12-30T02:50:06"/>
        <d v="1899-12-30T14:33:34"/>
        <d v="1899-12-30T22:52:51"/>
        <d v="1899-12-30T01:44:47"/>
        <d v="1899-12-30T18:10:36"/>
        <d v="1899-12-30T19:44:54"/>
        <d v="1899-12-30T10:06:42"/>
        <d v="1899-12-30T19:33:46"/>
        <d v="1899-12-30T20:52:27"/>
        <d v="1899-12-30T02:17:43"/>
        <d v="1899-12-30T13:17:51"/>
        <d v="1899-12-30T18:25:16"/>
        <d v="1899-12-30T16:52:16"/>
        <d v="1899-12-30T17:13:25"/>
        <d v="1899-12-30T07:08:02"/>
        <d v="1899-12-30T23:09:37"/>
        <d v="1899-12-30T14:01:05"/>
        <d v="1899-12-30T06:38:00"/>
        <d v="1899-12-30T11:28:10"/>
        <d v="1899-12-30T12:11:24"/>
        <d v="1899-12-30T05:14:33"/>
        <d v="1899-12-30T15:42:48"/>
        <d v="1899-12-30T17:51:43"/>
        <d v="1899-12-30T06:01:14"/>
        <d v="1899-12-30T06:06:13"/>
        <d v="1899-12-30T04:55:25"/>
        <d v="1899-12-30T19:20:21"/>
        <d v="1899-12-30T07:21:50"/>
        <d v="1899-12-30T16:12:50"/>
        <d v="1899-12-30T15:59:47"/>
        <d v="1899-12-30T22:44:23"/>
        <d v="1899-12-30T08:38:21"/>
        <d v="1899-12-30T09:51:43"/>
        <d v="1899-12-30T03:30:27"/>
        <d v="1899-12-30T10:22:35"/>
        <d v="1899-12-30T15:34:54"/>
        <d v="1899-12-30T20:02:37"/>
        <d v="1899-12-30T15:33:32"/>
        <d v="1899-12-30T20:09:05"/>
        <d v="1899-12-30T08:59:18"/>
        <d v="1899-12-30T03:08:52"/>
        <d v="1899-12-30T12:26:20"/>
        <d v="1899-12-30T14:13:32"/>
        <d v="1899-12-30T14:10:44"/>
        <d v="1899-12-30T03:46:29"/>
        <d v="1899-12-30T22:03:03"/>
        <d v="1899-12-30T02:23:24"/>
        <d v="1899-12-30T19:54:17"/>
        <d v="1899-12-30T20:26:13"/>
        <d v="1899-12-30T01:34:07"/>
        <d v="1899-12-30T10:50:19"/>
        <d v="1899-12-30T02:56:01"/>
        <d v="1899-12-30T22:32:13"/>
        <d v="1899-12-30T16:26:16"/>
        <d v="1899-12-30T09:27:05"/>
        <d v="1899-12-30T06:28:07"/>
        <d v="1899-12-30T23:11:31"/>
        <d v="1899-12-30T16:46:34"/>
        <d v="1899-12-30T08:37:09"/>
        <d v="1899-12-30T12:02:59"/>
        <d v="1899-12-30T10:31:13"/>
        <d v="1899-12-30T16:26:10"/>
        <d v="1899-12-30T22:29:59"/>
        <d v="1899-12-30T09:14:52"/>
        <d v="1899-12-30T14:12:14"/>
        <d v="1899-12-30T09:43:32"/>
        <d v="1899-12-30T09:38:33"/>
        <d v="1899-12-30T04:31:42"/>
        <d v="1899-12-30T20:55:34"/>
        <d v="1899-12-30T13:30:37"/>
        <d v="1899-12-30T20:31:30"/>
        <d v="1899-12-30T17:45:31"/>
        <d v="1899-12-30T08:33:10"/>
        <d v="1899-12-30T10:35:23"/>
        <d v="1899-12-30T01:50:36"/>
        <d v="1899-12-30T04:37:33"/>
        <d v="1899-12-30T10:15:29"/>
        <d v="1899-12-30T10:51:38"/>
        <d v="1899-12-30T15:05:03"/>
        <d v="1899-12-30T02:52:10"/>
        <d v="1899-12-30T04:28:30"/>
        <d v="1899-12-30T19:01:40"/>
        <d v="1899-12-30T10:28:47"/>
        <d v="1899-12-30T18:28:46"/>
        <d v="1899-12-30T23:57:40"/>
        <d v="1899-12-30T22:32:44"/>
        <d v="1899-12-30T19:37:38"/>
        <d v="1899-12-30T23:48:02"/>
        <d v="1899-12-30T11:47:09"/>
        <d v="1899-12-30T19:26:52"/>
        <d v="1899-12-30T10:44:03"/>
        <d v="1899-12-30T23:40:37"/>
        <d v="1899-12-30T06:21:06"/>
        <d v="1899-12-30T21:53:48"/>
        <d v="1899-12-30T20:09:52"/>
        <d v="1899-12-30T13:57:13"/>
        <d v="1899-12-30T10:46:18"/>
        <d v="1899-12-30T21:34:41"/>
        <d v="1899-12-30T02:15:58"/>
        <d v="1899-12-30T10:37:06"/>
        <d v="1899-12-30T18:13:40"/>
        <d v="1899-12-30T23:02:07"/>
        <d v="1899-12-30T12:58:41"/>
        <d v="1899-12-30T18:53:09"/>
        <d v="1899-12-30T16:10:46"/>
        <d v="1899-12-30T19:25:58"/>
        <d v="1899-12-30T18:32:37"/>
        <d v="1899-12-30T01:45:01"/>
        <d v="1899-12-30T13:32:34"/>
        <d v="1899-12-30T10:01:43"/>
        <d v="1899-12-30T07:08:14"/>
        <d v="1899-12-30T18:10:53"/>
        <d v="1899-12-30T07:19:07"/>
        <d v="1899-12-30T13:32:50"/>
        <d v="1899-12-30T20:13:26"/>
        <d v="1899-12-30T22:27:19"/>
        <d v="1899-12-30T14:47:38"/>
        <d v="1899-12-30T06:23:53"/>
        <d v="1899-12-30T04:09:44"/>
        <d v="1899-12-30T04:41:38"/>
        <d v="1899-12-30T19:44:57"/>
        <d v="1899-12-30T05:57:06"/>
        <d v="1899-12-30T07:21:26"/>
        <d v="1899-12-30T23:14:27"/>
        <d v="1899-12-30T20:21:11"/>
        <d v="1899-12-30T01:07:31"/>
        <d v="1899-12-30T01:20:56"/>
        <d v="1899-12-30T09:37:01"/>
        <d v="1899-12-30T05:56:33"/>
        <d v="1899-12-30T11:37:10"/>
        <d v="1899-12-30T13:53:36"/>
        <d v="1899-12-30T00:07:29"/>
        <d v="1899-12-30T19:04:00"/>
        <d v="1899-12-30T04:05:39"/>
        <d v="1899-12-30T00:10:05"/>
        <d v="1899-12-30T10:27:03"/>
        <d v="1899-12-30T22:59:28"/>
        <d v="1899-12-30T13:51:00"/>
        <d v="1899-12-30T22:46:12"/>
        <d v="1899-12-30T19:37:01"/>
        <d v="1899-12-30T12:43:52"/>
        <d v="1899-12-30T10:03:32"/>
        <d v="1899-12-30T21:02:24"/>
        <d v="1899-12-30T19:40:38"/>
        <d v="1899-12-30T04:19:56"/>
        <d v="1899-12-30T19:43:32"/>
        <d v="1899-12-30T12:35:14"/>
        <d v="1899-12-30T08:15:49"/>
        <d v="1899-12-30T22:56:38"/>
        <d v="1899-12-30T03:18:31"/>
        <d v="1899-12-30T12:51:06"/>
        <d v="1899-12-30T01:21:29"/>
        <d v="1899-12-30T16:38:50"/>
        <d v="1899-12-30T08:05:39"/>
        <d v="1899-12-30T02:16:00"/>
        <d v="1899-12-30T09:54:20"/>
        <d v="1899-12-30T14:22:27"/>
        <d v="1899-12-30T11:03:28"/>
        <d v="1899-12-30T15:04:56"/>
        <d v="1899-12-30T13:42:24"/>
        <d v="1899-12-30T10:09:41"/>
        <d v="1899-12-30T10:09:58"/>
        <d v="1899-12-30T21:10:57"/>
        <d v="1899-12-30T11:42:18"/>
        <d v="1899-12-30T12:28:21"/>
        <d v="1899-12-30T01:21:56"/>
        <d v="1899-12-30T18:04:20"/>
        <d v="1899-12-30T22:14:06"/>
        <d v="1899-12-30T16:38:25"/>
        <d v="1899-12-30T20:32:44"/>
        <d v="1899-12-30T07:34:31"/>
        <d v="1899-12-30T00:07:26"/>
        <d v="1899-12-30T14:52:56"/>
        <d v="1899-12-30T14:20:14"/>
        <d v="1899-12-30T00:52:03"/>
        <d v="1899-12-30T13:38:45"/>
        <d v="1899-12-30T13:29:11"/>
        <d v="1899-12-30T09:59:41"/>
        <d v="1899-12-30T15:20:11"/>
        <d v="1899-12-30T01:24:47"/>
        <d v="1899-12-30T12:56:49"/>
        <d v="1899-12-30T15:29:29"/>
        <d v="1899-12-30T05:50:06"/>
        <d v="1899-12-30T22:46:18"/>
        <d v="1899-12-30T15:44:18"/>
        <d v="1899-12-30T02:00:07"/>
        <d v="1899-12-30T13:32:22"/>
        <d v="1899-12-30T17:53:14"/>
        <d v="1899-12-30T03:11:52"/>
        <d v="1899-12-30T09:50:19"/>
        <d v="1899-12-30T10:48:13"/>
        <d v="1899-12-30T22:19:33"/>
        <d v="1899-12-30T18:36:25"/>
        <d v="1899-12-30T20:56:35"/>
        <d v="1899-12-30T05:06:02"/>
        <d v="1899-12-30T19:32:17"/>
        <d v="1899-12-30T19:27:14"/>
        <d v="1899-12-30T16:58:35"/>
        <d v="1899-12-30T04:28:18"/>
        <d v="1899-12-30T05:26:49"/>
        <d v="1899-12-30T04:30:46"/>
        <d v="1899-12-30T12:27:19"/>
        <d v="1899-12-30T22:59:20"/>
        <d v="1899-12-30T12:04:33"/>
        <d v="1899-12-30T15:43:11"/>
        <d v="1899-12-30T19:06:48"/>
        <d v="1899-12-30T22:51:31"/>
        <d v="1899-12-30T13:05:41"/>
        <d v="1899-12-30T04:42:56"/>
        <d v="1899-12-30T21:14:24"/>
        <d v="1899-12-30T12:14:25"/>
        <d v="1899-12-30T07:33:36"/>
        <d v="1899-12-30T00:55:44"/>
        <d v="1899-12-30T07:49:54"/>
        <d v="1899-12-30T05:20:36"/>
        <d v="1899-12-30T01:59:32"/>
        <d v="1899-12-30T11:43:24"/>
        <d v="1899-12-30T20:11:36"/>
        <d v="1899-12-30T07:11:06"/>
        <d v="1899-12-30T07:47:16"/>
        <d v="1899-12-30T06:14:47"/>
        <d v="1899-12-30T00:46:11"/>
        <d v="1899-12-30T13:10:40"/>
        <d v="1899-12-30T13:56:41"/>
        <d v="1899-12-30T17:56:52"/>
        <d v="1899-12-30T14:59:49"/>
        <d v="1899-12-30T01:06:20"/>
        <d v="1899-12-30T19:04:55"/>
        <d v="1899-12-30T19:40:46"/>
        <d v="1899-12-30T06:40:20"/>
        <d v="1899-12-30T08:21:40"/>
        <d v="1899-12-30T02:28:38"/>
        <d v="1899-12-30T01:34:50"/>
        <d v="1899-12-30T15:38:36"/>
        <d v="1899-12-30T12:29:47"/>
        <d v="1899-12-30T22:22:35"/>
        <d v="1899-12-30T01:35:05"/>
        <d v="1899-12-30T15:58:07"/>
        <d v="1899-12-30T17:03:43"/>
        <d v="1899-12-30T14:05:18"/>
        <d v="1899-12-30T00:23:56"/>
        <d v="1899-12-30T08:43:11"/>
        <d v="1899-12-30T02:55:07"/>
        <d v="1899-12-30T17:43:45"/>
        <d v="1899-12-30T11:22:37"/>
        <d v="1899-12-30T06:30:40"/>
        <d v="1899-12-30T11:13:10"/>
        <d v="1899-12-30T03:09:08"/>
        <d v="1899-12-30T22:36:16"/>
        <d v="1899-12-30T14:17:05"/>
        <d v="1899-12-30T01:26:00"/>
        <d v="1899-12-30T22:56:34"/>
        <d v="1899-12-30T09:52:12"/>
        <d v="1899-12-30T11:53:09"/>
        <d v="1899-12-30T09:33:52"/>
        <d v="1899-12-30T08:07:19"/>
        <d v="1899-12-30T10:00:07"/>
        <d v="1899-12-30T19:47:44"/>
        <d v="1899-12-30T02:29:10"/>
        <d v="1899-12-30T17:03:39"/>
        <d v="1899-12-30T15:25:04"/>
        <d v="1899-12-30T17:09:07"/>
        <d v="1899-12-30T07:43:27"/>
        <d v="1899-12-30T16:49:01"/>
        <d v="1899-12-30T17:58:12"/>
        <d v="1899-12-30T15:49:48"/>
        <d v="1899-12-30T02:10:39"/>
        <d v="1899-12-30T00:24:52"/>
        <d v="1899-12-30T18:35:43"/>
        <d v="1899-12-30T09:50:53"/>
        <d v="1899-12-30T17:23:34"/>
        <d v="1899-12-30T05:04:29"/>
        <d v="1899-12-30T06:06:57"/>
        <d v="1899-12-30T13:12:47"/>
        <d v="1899-12-30T20:36:32"/>
        <d v="1899-12-30T18:57:04"/>
        <d v="1899-12-30T13:16:14"/>
        <d v="1899-12-30T17:56:22"/>
        <d v="1899-12-30T00:53:55"/>
        <d v="1899-12-30T04:26:01"/>
        <d v="1899-12-30T10:11:48"/>
        <d v="1899-12-30T02:57:06"/>
        <d v="1899-12-30T21:45:12"/>
        <d v="1899-12-30T14:55:08"/>
        <d v="1899-12-30T08:01:59"/>
        <d v="1899-12-30T18:50:45"/>
        <d v="1899-12-30T16:43:25"/>
        <d v="1899-12-30T10:45:06"/>
        <d v="1899-12-30T12:25:42"/>
        <d v="1899-12-30T14:56:59"/>
        <d v="1899-12-30T19:16:41"/>
        <d v="1899-12-30T19:58:33"/>
        <d v="1899-12-30T16:10:28"/>
        <d v="1899-12-30T01:52:06"/>
        <d v="1899-12-30T16:30:39"/>
        <d v="1899-12-30T10:41:06"/>
        <d v="1899-12-30T21:21:57"/>
        <d v="1899-12-30T01:21:34"/>
        <d v="1899-12-30T05:53:50"/>
        <d v="1899-12-30T00:00:51"/>
        <d v="1899-12-30T21:41:23"/>
        <d v="1899-12-30T09:34:03"/>
        <d v="1899-12-30T04:59:28"/>
        <d v="1899-12-30T04:06:31"/>
        <d v="1899-12-30T17:58:44"/>
        <d v="1899-12-30T02:49:44"/>
        <d v="1899-12-30T21:53:27"/>
        <d v="1899-12-30T12:13:52"/>
        <d v="1899-12-30T15:17:19"/>
        <d v="1899-12-30T03:37:12"/>
        <d v="1899-12-30T06:02:00"/>
        <d v="1899-12-30T15:14:45"/>
        <d v="1899-12-30T21:24:38"/>
        <d v="1899-12-30T20:49:33"/>
        <d v="1899-12-30T07:31:32"/>
        <d v="1899-12-30T09:52:56"/>
        <d v="1899-12-30T07:14:20"/>
        <d v="1899-12-30T23:46:55"/>
        <d v="1899-12-30T00:11:36"/>
        <d v="1899-12-30T03:27:30"/>
        <d v="1899-12-30T12:39:50"/>
        <d v="1899-12-30T19:18:27"/>
        <d v="1899-12-30T18:51:41"/>
        <d v="1899-12-30T06:10:16"/>
        <d v="1899-12-30T19:20:59"/>
        <d v="1899-12-30T17:01:34"/>
        <d v="1899-12-30T17:21:36"/>
        <d v="1899-12-30T03:17:33"/>
        <d v="1899-12-30T01:24:50"/>
        <d v="1899-12-30T01:32:49"/>
        <d v="1899-12-30T15:59:02"/>
        <d v="1899-12-30T14:25:39"/>
        <d v="1899-12-30T08:29:54"/>
        <d v="1899-12-30T02:46:06"/>
        <d v="1899-12-30T08:14:22"/>
        <d v="1899-12-30T23:38:12"/>
        <d v="1899-12-30T21:07:46"/>
        <d v="1899-12-30T15:31:23"/>
        <d v="1899-12-30T18:53:08"/>
        <d v="1899-12-30T03:45:03"/>
        <d v="1899-12-30T11:32:50"/>
        <d v="1899-12-30T05:12:46"/>
        <d v="1899-12-30T13:43:49"/>
        <d v="1899-12-30T07:23:32"/>
        <d v="1899-12-30T03:33:45"/>
        <d v="1899-12-30T22:34:14"/>
        <d v="1899-12-30T02:51:20"/>
        <d v="1899-12-30T03:18:25"/>
        <d v="1899-12-30T19:07:21"/>
        <d v="1899-12-30T19:14:55"/>
        <d v="1899-12-30T00:29:51"/>
        <d v="1899-12-30T20:24:10"/>
        <d v="1899-12-30T11:21:18"/>
        <d v="1899-12-30T02:07:11"/>
        <d v="1899-12-30T09:16:58"/>
        <d v="1899-12-30T01:29:04"/>
        <d v="1899-12-30T08:25:00"/>
        <d v="1899-12-30T08:55:15"/>
        <d v="1899-12-30T03:09:36"/>
        <d v="1899-12-30T11:55:54"/>
        <d v="1899-12-30T00:01:31"/>
        <d v="1899-12-30T05:52:11"/>
        <d v="1899-12-30T00:41:13"/>
        <d v="1899-12-30T18:57:37"/>
        <d v="1899-12-30T04:46:00"/>
        <d v="1899-12-30T14:48:35"/>
        <d v="1899-12-30T08:54:06"/>
        <d v="1899-12-30T22:37:43"/>
        <d v="1899-12-30T20:48:35"/>
        <d v="1899-12-30T09:50:46"/>
        <d v="1899-12-30T08:27:53"/>
        <d v="1899-12-30T22:32:05"/>
        <d v="1899-12-30T20:22:08"/>
        <d v="1899-12-30T15:54:03"/>
        <d v="1899-12-30T19:28:15"/>
        <d v="1899-12-30T10:30:59"/>
        <d v="1899-12-30T16:32:49"/>
        <d v="1899-12-30T09:56:42"/>
        <d v="1899-12-30T05:09:00"/>
        <d v="1899-12-30T23:16:19"/>
        <d v="1899-12-30T06:46:37"/>
        <d v="1899-12-30T04:25:38"/>
        <d v="1899-12-30T23:40:25"/>
        <d v="1899-12-30T23:52:12"/>
        <d v="1899-12-30T20:52:32"/>
        <d v="1899-12-30T05:32:35"/>
        <d v="1899-12-30T10:13:07"/>
        <d v="1899-12-30T12:58:06"/>
        <d v="1899-12-30T02:33:10"/>
        <d v="1899-12-30T12:01:28"/>
        <d v="1899-12-30T11:32:33"/>
        <d v="1899-12-30T19:25:08"/>
        <d v="1899-12-30T02:44:39"/>
        <d v="1899-12-30T08:30:45"/>
        <d v="1899-12-30T21:37:59"/>
        <d v="1899-12-30T04:50:54"/>
        <d v="1899-12-30T13:51:22"/>
        <d v="1899-12-30T11:00:27"/>
        <d v="1899-12-30T21:32:48"/>
        <d v="1899-12-30T11:08:26"/>
        <d v="1899-12-30T06:44:37"/>
        <d v="1899-12-30T05:31:27"/>
        <d v="1899-12-30T16:58:51"/>
        <d v="1899-12-30T17:01:44"/>
        <d v="1899-12-30T15:08:45"/>
        <d v="1899-12-30T15:14:20"/>
        <d v="1899-12-30T15:00:13"/>
        <d v="1899-12-30T23:09:03"/>
        <d v="1899-12-30T13:43:07"/>
        <d v="1899-12-30T04:56:26"/>
        <d v="1899-12-30T06:26:10"/>
        <d v="1899-12-30T06:12:05"/>
        <d v="1899-12-30T13:36:34"/>
        <d v="1899-12-30T17:57:09"/>
        <d v="1899-12-30T13:13:10"/>
        <d v="1899-12-30T01:04:19"/>
        <d v="1899-12-30T05:05:35"/>
        <d v="1899-12-30T17:29:15"/>
        <d v="1899-12-30T01:43:52"/>
        <d v="1899-12-30T14:50:53"/>
        <d v="1899-12-30T06:34:57"/>
        <d v="1899-12-30T22:51:21"/>
        <d v="1899-12-30T07:54:01"/>
        <d v="1899-12-30T16:39:31"/>
        <d v="1899-12-30T01:39:58"/>
        <d v="1899-12-30T23:20:48"/>
        <d v="1899-12-30T06:22:05"/>
        <d v="1899-12-30T01:51:24"/>
        <d v="1899-12-30T06:07:08"/>
        <d v="1899-12-30T18:28:02"/>
        <d v="1899-12-30T08:06:58"/>
        <d v="1899-12-30T00:57:28"/>
        <d v="1899-12-30T08:00:19"/>
        <d v="1899-12-30T20:03:47"/>
        <d v="1899-12-30T18:54:28"/>
        <d v="1899-12-30T16:22:32"/>
        <d v="1899-12-30T16:07:16"/>
        <d v="1899-12-30T11:51:19"/>
        <d v="1899-12-30T22:39:30"/>
        <d v="1899-12-30T11:02:31"/>
        <d v="1899-12-30T18:56:15"/>
        <d v="1899-12-30T02:26:43"/>
        <d v="1899-12-30T09:06:06"/>
        <d v="1899-12-30T05:57:58"/>
        <d v="1899-12-30T04:38:44"/>
        <d v="1899-12-30T13:37:05"/>
        <d v="1899-12-30T01:36:32"/>
        <d v="1899-12-30T10:33:33"/>
        <d v="1899-12-30T10:07:51"/>
        <d v="1899-12-30T21:37:19"/>
        <d v="1899-12-30T15:58:06"/>
        <d v="1899-12-30T01:16:24"/>
        <d v="1899-12-30T08:02:05"/>
        <d v="1899-12-30T00:30:04"/>
        <d v="1899-12-30T06:24:41"/>
        <d v="1899-12-30T16:38:35"/>
        <d v="1899-12-30T20:26:40"/>
        <d v="1899-12-30T03:37:13"/>
        <d v="1899-12-30T22:24:42"/>
        <d v="1899-12-30T01:52:34"/>
        <d v="1899-12-30T10:35:58"/>
        <d v="1899-12-30T04:49:01"/>
        <d v="1899-12-30T22:13:13"/>
        <d v="1899-12-30T02:16:52"/>
        <d v="1899-12-30T09:56:02"/>
        <d v="1899-12-30T04:40:28"/>
        <d v="1899-12-30T03:46:58"/>
        <d v="1899-12-30T06:06:56"/>
        <d v="1899-12-30T13:29:38"/>
        <d v="1899-12-30T11:53:46"/>
        <d v="1899-12-30T03:56:20"/>
        <d v="1899-12-30T04:30:07"/>
        <d v="1899-12-30T09:24:36"/>
        <d v="1899-12-30T03:52:27"/>
        <d v="1899-12-30T00:14:53"/>
        <d v="1899-12-30T12:19:42"/>
        <d v="1899-12-30T20:10:20"/>
        <d v="1899-12-30T09:39:12"/>
        <d v="1899-12-30T10:54:16"/>
        <d v="1899-12-30T08:20:05"/>
        <d v="1899-12-30T23:47:54"/>
        <d v="1899-12-30T03:01:20"/>
        <d v="1899-12-30T23:31:47"/>
        <d v="1899-12-30T21:39:04"/>
        <d v="1899-12-30T11:29:39"/>
        <d v="1899-12-30T11:57:17"/>
        <d v="1899-12-30T02:51:51"/>
        <d v="1899-12-30T04:28:25"/>
        <d v="1899-12-30T19:39:28"/>
        <d v="1899-12-30T19:25:29"/>
        <d v="1899-12-30T05:10:51"/>
        <d v="1899-12-30T06:16:19"/>
        <d v="1899-12-30T13:09:23"/>
        <d v="1899-12-30T07:16:53"/>
        <d v="1899-12-30T14:10:59"/>
        <d v="1899-12-30T08:56:52"/>
        <d v="1899-12-30T08:00:31"/>
        <d v="1899-12-30T04:20:38"/>
        <d v="1899-12-30T06:53:48"/>
        <d v="1899-12-30T05:14:12"/>
        <d v="1899-12-30T01:28:17"/>
        <d v="1899-12-30T14:51:06"/>
        <d v="1899-12-30T22:17:46"/>
        <d v="1899-12-30T08:08:25"/>
        <d v="1899-12-30T04:29:03"/>
        <d v="1899-12-30T01:52:09"/>
        <d v="1899-12-30T20:22:26"/>
        <d v="1899-12-30T07:12:59"/>
        <d v="1899-12-30T06:35:12"/>
        <d v="1899-12-30T06:19:00"/>
        <d v="1899-12-30T02:50:05"/>
        <d v="1899-12-30T01:58:08"/>
        <d v="1899-12-30T18:07:19"/>
        <d v="1899-12-30T06:38:58"/>
        <d v="1899-12-30T03:09:57"/>
        <d v="1899-12-30T10:11:21"/>
        <d v="1899-12-30T01:51:34"/>
        <d v="1899-12-30T12:05:52"/>
        <d v="1899-12-30T21:55:52"/>
        <d v="1899-12-30T01:28:32"/>
        <d v="1899-12-30T22:01:01"/>
        <d v="1899-12-30T04:41:16"/>
        <d v="1899-12-30T14:46:18"/>
        <d v="1899-12-30T13:41:37"/>
        <d v="1899-12-30T22:05:03"/>
        <d v="1899-12-30T09:07:41"/>
        <d v="1899-12-30T01:32:28"/>
        <d v="1899-12-30T04:52:23"/>
        <d v="1899-12-30T22:46:00"/>
        <d v="1899-12-30T04:15:17"/>
        <d v="1899-12-30T14:52:40"/>
        <d v="1899-12-30T15:23:52"/>
        <d v="1899-12-30T18:08:04"/>
        <d v="1899-12-30T06:16:18"/>
        <d v="1899-12-30T00:51:55"/>
        <d v="1899-12-30T22:18:58"/>
        <d v="1899-12-30T10:18:04"/>
        <d v="1899-12-30T05:04:21"/>
        <d v="1899-12-30T19:06:17"/>
        <d v="1899-12-30T02:19:29"/>
        <d v="1899-12-30T01:40:17"/>
        <d v="1899-12-30T14:01:49"/>
        <d v="1899-12-30T23:34:11"/>
        <d v="1899-12-30T03:11:27"/>
        <d v="1899-12-30T00:00:36"/>
        <d v="1899-12-30T06:09:40"/>
        <d v="1899-12-30T01:49:51"/>
        <d v="1899-12-30T11:50:30"/>
        <d v="1899-12-30T23:16:39"/>
        <d v="1899-12-30T02:27:46"/>
        <d v="1899-12-30T19:27:09"/>
        <d v="1899-12-30T09:48:27"/>
        <d v="1899-12-30T02:55:03"/>
        <d v="1899-12-30T06:56:03"/>
        <d v="1899-12-30T10:21:36"/>
        <d v="1899-12-30T22:26:48"/>
        <d v="1899-12-30T00:50:03"/>
        <d v="1899-12-30T10:31:01"/>
        <d v="1899-12-30T18:17:54"/>
        <d v="1899-12-30T14:15:30"/>
        <d v="1899-12-30T14:27:28"/>
        <d v="1899-12-30T02:51:29"/>
        <d v="1899-12-30T20:15:43"/>
        <d v="1899-12-30T16:16:50"/>
        <d v="1899-12-30T14:00:44"/>
        <d v="1899-12-30T16:01:24"/>
        <d v="1899-12-30T01:46:27"/>
        <d v="1899-12-30T13:30:30"/>
        <d v="1899-12-30T02:37:34"/>
        <d v="1899-12-30T08:23:47"/>
        <d v="1899-12-30T03:13:05"/>
        <d v="1899-12-30T08:05:38"/>
        <d v="1899-12-30T08:02:41"/>
        <d v="1899-12-30T05:08:47"/>
        <d v="1899-12-30T10:09:12"/>
        <d v="1899-12-30T23:16:28"/>
        <d v="1899-12-30T06:49:39"/>
        <d v="1899-12-30T20:56:56"/>
        <d v="1899-12-30T01:32:23"/>
        <d v="1899-12-30T15:45:27"/>
        <d v="1899-12-30T17:35:44"/>
        <d v="1899-12-30T19:57:46"/>
        <d v="1899-12-30T20:47:44"/>
        <d v="1899-12-30T12:27:24"/>
        <d v="1899-12-30T16:45:34"/>
        <d v="1899-12-30T11:27:38"/>
        <d v="1899-12-30T04:54:50"/>
        <d v="1899-12-30T12:59:45"/>
        <d v="1899-12-30T16:14:53"/>
        <d v="1899-12-30T21:03:02"/>
        <d v="1899-12-30T18:59:55"/>
        <d v="1899-12-30T18:46:10"/>
        <d v="1899-12-30T19:52:35"/>
        <d v="1899-12-30T09:55:50"/>
        <d v="1899-12-30T15:14:09"/>
        <d v="1899-12-30T10:05:02"/>
        <d v="1899-12-30T11:38:15"/>
        <d v="1899-12-30T23:54:45"/>
        <d v="1899-12-30T01:26:54"/>
        <d v="1899-12-30T14:49:23"/>
        <d v="1899-12-30T23:10:21"/>
        <d v="1899-12-30T02:53:40"/>
        <d v="1899-12-30T12:50:15"/>
        <d v="1899-12-30T14:02:50"/>
        <d v="1899-12-30T23:13:42"/>
        <d v="1899-12-30T00:16:41"/>
        <d v="1899-12-30T08:30:53"/>
        <d v="1899-12-30T01:32:30"/>
        <d v="1899-12-30T12:24:01"/>
        <d v="1899-12-30T19:28:38"/>
        <d v="1899-12-30T01:05:37"/>
        <d v="1899-12-30T08:32:14"/>
        <d v="1899-12-30T09:14:48"/>
        <d v="1899-12-30T11:12:03"/>
        <d v="1899-12-30T22:50:08"/>
        <d v="1899-12-30T22:25:25"/>
        <d v="1899-12-30T17:03:10"/>
        <d v="1899-12-30T01:35:19"/>
        <d v="1899-12-30T11:36:14"/>
        <d v="1899-12-30T05:37:07"/>
        <d v="1899-12-30T09:47:20"/>
        <d v="1899-12-30T05:32:37"/>
        <d v="1899-12-30T21:19:24"/>
        <d v="1899-12-30T11:04:23"/>
        <d v="1899-12-30T22:02:06"/>
        <d v="1899-12-30T00:05:29"/>
        <d v="1899-12-30T23:41:37"/>
        <d v="1899-12-30T07:22:26"/>
        <d v="1899-12-30T08:03:37"/>
        <d v="1899-12-30T22:01:37"/>
        <d v="1899-12-30T22:56:05"/>
        <d v="1899-12-30T06:39:07"/>
        <d v="1899-12-30T23:51:25"/>
        <d v="1899-12-30T05:00:17"/>
        <d v="1899-12-30T10:16:12"/>
        <d v="1899-12-30T13:02:32"/>
        <d v="1899-12-30T19:41:15"/>
        <d v="1899-12-30T10:25:35"/>
        <d v="1899-12-30T22:17:11"/>
        <d v="1899-12-30T02:50:02"/>
        <d v="1899-12-30T08:38:52"/>
        <d v="1899-12-30T17:18:37"/>
        <d v="1899-12-30T19:27:13"/>
        <d v="1899-12-30T01:17:33"/>
        <d v="1899-12-30T04:36:14"/>
        <d v="1899-12-30T04:04:53"/>
        <d v="1899-12-30T10:28:01"/>
        <d v="1899-12-30T15:56:22"/>
        <d v="1899-12-30T19:05:59"/>
        <d v="1899-12-30T16:40:40"/>
        <d v="1899-12-30T12:44:49"/>
        <d v="1899-12-30T17:43:17"/>
        <d v="1899-12-30T23:24:47"/>
        <d v="1899-12-30T13:11:26"/>
        <d v="1899-12-30T09:35:17"/>
        <d v="1899-12-30T21:09:20"/>
        <d v="1899-12-30T19:03:34"/>
        <d v="1899-12-30T09:19:09"/>
        <d v="1899-12-30T07:33:50"/>
        <d v="1899-12-30T18:21:01"/>
        <d v="1899-12-30T09:07:26"/>
        <d v="1899-12-30T14:53:28"/>
        <d v="1899-12-30T21:07:55"/>
        <d v="1899-12-30T22:04:41"/>
        <d v="1899-12-30T21:05:45"/>
        <d v="1899-12-30T09:56:17"/>
        <d v="1899-12-30T20:54:38"/>
        <d v="1899-12-30T16:15:08"/>
        <d v="1899-12-30T10:36:46"/>
        <d v="1899-12-30T22:22:39"/>
        <d v="1899-12-30T17:20:22"/>
        <d v="1899-12-30T10:22:53"/>
        <d v="1899-12-30T18:29:48"/>
        <d v="1899-12-30T20:24:11"/>
        <d v="1899-12-30T03:22:59"/>
        <d v="1899-12-30T21:37:17"/>
        <d v="1899-12-30T19:17:36"/>
        <d v="1899-12-30T05:27:14"/>
        <d v="1899-12-30T03:46:24"/>
        <d v="1899-12-30T16:11:27"/>
        <d v="1899-12-30T08:03:42"/>
        <d v="1899-12-30T08:38:28"/>
        <d v="1899-12-30T23:39:44"/>
        <d v="1899-12-30T06:31:07"/>
        <d v="1899-12-30T20:12:58"/>
        <d v="1899-12-30T00:43:39"/>
        <d v="1899-12-30T20:21:37"/>
        <d v="1899-12-30T03:11:23"/>
        <d v="1899-12-30T06:38:43"/>
        <d v="1899-12-30T16:39:11"/>
        <d v="1899-12-30T16:53:35"/>
        <d v="1899-12-30T22:43:28"/>
        <d v="1899-12-30T04:10:09"/>
        <d v="1899-12-30T10:29:19"/>
        <d v="1899-12-30T02:00:04"/>
        <d v="1899-12-30T23:57:55"/>
        <d v="1899-12-30T17:16:56"/>
        <d v="1899-12-30T19:32:39"/>
        <d v="1899-12-30T15:55:58"/>
        <d v="1899-12-30T06:45:30"/>
        <d v="1899-12-30T11:42:03"/>
        <d v="1899-12-30T05:41:20"/>
        <d v="1899-12-30T11:50:24"/>
        <d v="1899-12-30T04:33:25"/>
        <d v="1899-12-30T12:29:21"/>
        <d v="1899-12-30T06:57:59"/>
      </sharedItems>
    </cacheField>
    <cacheField name="City" numFmtId="21">
      <sharedItems containsNonDate="0" count="86">
        <s v="Davanagere"/>
        <s v="Danapur"/>
        <s v="Haridwar"/>
        <s v="Bilaspur"/>
        <s v="Bhubaneswar"/>
        <s v="Pallavaram"/>
        <s v="Madurai"/>
        <s v="Sri Ganganagar"/>
        <s v="Agra"/>
        <s v="Dhanbad"/>
        <s v="North Dumdum"/>
        <s v="Kavali"/>
        <s v="Ajmer"/>
        <s v="Madhyamgram"/>
        <s v="Mangalore"/>
        <s v="Hyderabad"/>
        <s v="Orai"/>
        <s v="Anantapuram"/>
        <s v="Bidhannagar"/>
        <s v="Karaikudi"/>
        <s v="Nizamabad"/>
        <s v="New Delhi"/>
        <s v="Jamnagar"/>
        <s v="Khora "/>
        <s v="Srikakulam"/>
        <s v="Jorhat"/>
        <s v="Tiruppur"/>
        <s v="Imphal"/>
        <s v="Medininagar"/>
        <s v="Anand"/>
        <s v="Malegaon"/>
        <s v="Bhopal"/>
        <s v="Guna"/>
        <s v="Karimnagar"/>
        <s v="Kalyan-Dombivli"/>
        <s v="Sasaram"/>
        <s v="Machilipatnam"/>
        <s v="Panvel"/>
        <s v="Dibrugarh"/>
        <s v="Maheshtala"/>
        <s v="Warangal"/>
        <s v="Panchkula"/>
        <s v="Guntakal"/>
        <s v="Sultan Pur Majra"/>
        <s v="Kolkata"/>
        <s v="Indore"/>
        <s v="Gangtok"/>
        <s v="Delhi"/>
        <s v="Noida"/>
        <s v="Nagpur"/>
        <s v="Kanpur"/>
        <s v="Chinsurah"/>
        <s v="Bharatpur"/>
        <s v="Aizawl"/>
        <s v="Surat"/>
        <s v="Satara"/>
        <s v="Phagwara"/>
        <s v="Kamarhati"/>
        <s v="Ratlam"/>
        <s v="Ahmednagar"/>
        <s v="Aligarh"/>
        <s v="Vellore"/>
        <s v="Raurkela Industrial Township"/>
        <s v="Farrukhabad"/>
        <s v="Sambhal"/>
        <s v="Kota"/>
        <s v="Bhatpara"/>
        <s v="Khandwa"/>
        <s v="Tiruchirappalli"/>
        <s v="Deoghar"/>
        <s v="Berhampore"/>
        <s v="Raipur"/>
        <s v="Serampore"/>
        <s v="Tenali"/>
        <s v="Tumkur"/>
        <s v="Miryalaguda"/>
        <s v="Nellore"/>
        <s v="Cuttack"/>
        <s v="Gaya"/>
        <s v="Bhilai"/>
        <s v="Purnia"/>
        <s v="Kottayam"/>
        <s v="Parbhani"/>
        <s v="Bulandshahr"/>
        <s v="Singrauli"/>
        <s v="Mehsana"/>
      </sharedItems>
    </cacheField>
    <cacheField name="Location" numFmtId="0">
      <sharedItems/>
    </cacheField>
    <cacheField name="Occasion" numFmtId="0">
      <sharedItems/>
    </cacheField>
    <cacheField name="Sales" numFmtId="164">
      <sharedItems containsSemiMixedTypes="0" containsString="0" containsNumber="1" containsInteger="1" minValue="203" maxValue="9885"/>
    </cacheField>
    <cacheField name="Diff_Del_Time" numFmtId="0">
      <sharedItems containsSemiMixedTypes="0" containsString="0" containsNumber="1" containsInteger="1" minValue="1" maxValue="10"/>
    </cacheField>
    <cacheField name="Months (Delivery_Date)" numFmtId="0" databaseField="0">
      <fieldGroup base="11">
        <rangePr groupBy="months" startDate="2023-01-02T00:00:00" endDate="2024-01-08T00:00:00"/>
        <groupItems count="14">
          <s v="&lt;02-01-2023"/>
          <s v="Jan"/>
          <s v="Feb"/>
          <s v="Mar"/>
          <s v="Apr"/>
          <s v="May"/>
          <s v="Jun"/>
          <s v="Jul"/>
          <s v="Aug"/>
          <s v="Sep"/>
          <s v="Oct"/>
          <s v="Nov"/>
          <s v="Dec"/>
          <s v="&gt;08-01-2024"/>
        </groupItems>
      </fieldGroup>
    </cacheField>
    <cacheField name="Quarters (Delivery_Date)" numFmtId="0" databaseField="0">
      <fieldGroup base="11">
        <rangePr groupBy="quarters" startDate="2023-01-02T00:00:00" endDate="2024-01-08T00:00:00"/>
        <groupItems count="6">
          <s v="&lt;02-01-2023"/>
          <s v="Qtr1"/>
          <s v="Qtr2"/>
          <s v="Qtr3"/>
          <s v="Qtr4"/>
          <s v="&gt;08-01-2024"/>
        </groupItems>
      </fieldGroup>
    </cacheField>
    <cacheField name="Years (Delivery_Date)" numFmtId="0" databaseField="0">
      <fieldGroup base="11">
        <rangePr groupBy="years" startDate="2023-01-02T00:00:00" endDate="2024-01-08T00:00:00"/>
        <groupItems count="4">
          <s v="&lt;02-01-2023"/>
          <s v="2023"/>
          <s v="2024"/>
          <s v="&gt;08-01-2024"/>
        </groupItems>
      </fieldGroup>
    </cacheField>
  </cacheFields>
  <extLst>
    <ext xmlns:x14="http://schemas.microsoft.com/office/spreadsheetml/2009/9/main" uri="{725AE2AE-9491-48be-B2B4-4EB974FC3084}">
      <x14:pivotCacheDefinition pivotCacheId="10179742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67"/>
    <x v="0"/>
    <x v="0"/>
    <x v="0"/>
    <n v="1374"/>
    <d v="2023-02-24T00:00:00"/>
    <x v="0"/>
    <x v="0"/>
    <d v="1899-12-30T23:48:13"/>
    <x v="0"/>
    <s v="March"/>
    <d v="1899-12-30T07:27:10"/>
    <x v="0"/>
    <x v="0"/>
    <n v="6870"/>
    <n v="9"/>
  </r>
  <r>
    <x v="1"/>
    <x v="1"/>
    <n v="41"/>
    <x v="1"/>
    <x v="1"/>
    <x v="1"/>
    <n v="1977"/>
    <d v="2023-11-07T00:00:00"/>
    <x v="1"/>
    <x v="1"/>
    <d v="1899-12-30T23:30:18"/>
    <x v="1"/>
    <s v="November"/>
    <d v="1899-12-30T07:16:17"/>
    <x v="1"/>
    <x v="1"/>
    <n v="3954"/>
    <n v="6"/>
  </r>
  <r>
    <x v="2"/>
    <x v="2"/>
    <n v="67"/>
    <x v="0"/>
    <x v="0"/>
    <x v="0"/>
    <n v="1374"/>
    <d v="2023-07-14T00:00:00"/>
    <x v="2"/>
    <x v="0"/>
    <d v="1899-12-30T19:12:03"/>
    <x v="2"/>
    <s v="July"/>
    <d v="1899-12-30T17:39:00"/>
    <x v="2"/>
    <x v="0"/>
    <n v="6870"/>
    <n v="5"/>
  </r>
  <r>
    <x v="3"/>
    <x v="3"/>
    <n v="14"/>
    <x v="2"/>
    <x v="2"/>
    <x v="0"/>
    <n v="1915"/>
    <d v="2023-07-10T00:00:00"/>
    <x v="2"/>
    <x v="2"/>
    <d v="1899-12-30T04:44:29"/>
    <x v="2"/>
    <s v="July"/>
    <d v="1899-12-30T06:33:23"/>
    <x v="3"/>
    <x v="2"/>
    <n v="9575"/>
    <n v="9"/>
  </r>
  <r>
    <x v="4"/>
    <x v="4"/>
    <n v="58"/>
    <x v="3"/>
    <x v="3"/>
    <x v="1"/>
    <n v="1492"/>
    <d v="2023-02-11T00:00:00"/>
    <x v="0"/>
    <x v="3"/>
    <d v="1899-12-30T19:44:48"/>
    <x v="3"/>
    <s v="February"/>
    <d v="1899-12-30T11:08:52"/>
    <x v="4"/>
    <x v="3"/>
    <n v="2984"/>
    <n v="7"/>
  </r>
  <r>
    <x v="5"/>
    <x v="5"/>
    <n v="28"/>
    <x v="4"/>
    <x v="1"/>
    <x v="2"/>
    <n v="1778"/>
    <d v="2023-08-20T00:00:00"/>
    <x v="3"/>
    <x v="4"/>
    <d v="1899-12-30T22:11:35"/>
    <x v="4"/>
    <s v="August"/>
    <d v="1899-12-30T19:06:46"/>
    <x v="5"/>
    <x v="4"/>
    <n v="7112"/>
    <n v="6"/>
  </r>
  <r>
    <x v="6"/>
    <x v="6"/>
    <n v="45"/>
    <x v="5"/>
    <x v="0"/>
    <x v="1"/>
    <n v="722"/>
    <d v="2023-05-08T00:00:00"/>
    <x v="4"/>
    <x v="2"/>
    <d v="1899-12-30T01:45:13"/>
    <x v="5"/>
    <s v="May"/>
    <d v="1899-12-30T10:07:17"/>
    <x v="6"/>
    <x v="2"/>
    <n v="1444"/>
    <n v="5"/>
  </r>
  <r>
    <x v="7"/>
    <x v="7"/>
    <n v="43"/>
    <x v="6"/>
    <x v="0"/>
    <x v="3"/>
    <n v="750"/>
    <d v="2023-11-08T00:00:00"/>
    <x v="1"/>
    <x v="5"/>
    <d v="1899-12-30T19:20:02"/>
    <x v="6"/>
    <s v="November"/>
    <d v="1899-12-30T08:44:45"/>
    <x v="7"/>
    <x v="1"/>
    <n v="2250"/>
    <n v="6"/>
  </r>
  <r>
    <x v="8"/>
    <x v="8"/>
    <n v="27"/>
    <x v="7"/>
    <x v="3"/>
    <x v="2"/>
    <n v="548"/>
    <d v="2023-08-20T00:00:00"/>
    <x v="3"/>
    <x v="4"/>
    <d v="1899-12-30T23:39:51"/>
    <x v="7"/>
    <s v="August"/>
    <d v="1899-12-30T23:59:54"/>
    <x v="4"/>
    <x v="4"/>
    <n v="2192"/>
    <n v="9"/>
  </r>
  <r>
    <x v="9"/>
    <x v="9"/>
    <n v="56"/>
    <x v="8"/>
    <x v="0"/>
    <x v="3"/>
    <n v="1272"/>
    <d v="2023-02-26T00:00:00"/>
    <x v="0"/>
    <x v="4"/>
    <d v="1899-12-30T00:17:26"/>
    <x v="8"/>
    <s v="March"/>
    <d v="1899-12-30T20:47:43"/>
    <x v="8"/>
    <x v="0"/>
    <n v="3816"/>
    <n v="10"/>
  </r>
  <r>
    <x v="10"/>
    <x v="10"/>
    <n v="16"/>
    <x v="9"/>
    <x v="1"/>
    <x v="2"/>
    <n v="1721"/>
    <d v="2023-03-02T00:00:00"/>
    <x v="5"/>
    <x v="6"/>
    <d v="1899-12-30T20:14:55"/>
    <x v="9"/>
    <s v="March"/>
    <d v="1899-12-30T23:19:47"/>
    <x v="9"/>
    <x v="5"/>
    <n v="6884"/>
    <n v="1"/>
  </r>
  <r>
    <x v="11"/>
    <x v="7"/>
    <n v="38"/>
    <x v="10"/>
    <x v="3"/>
    <x v="3"/>
    <n v="562"/>
    <d v="2023-07-12T00:00:00"/>
    <x v="2"/>
    <x v="5"/>
    <d v="1899-12-30T08:28:56"/>
    <x v="10"/>
    <s v="July"/>
    <d v="1899-12-30T23:34:57"/>
    <x v="10"/>
    <x v="2"/>
    <n v="1686"/>
    <n v="8"/>
  </r>
  <r>
    <x v="12"/>
    <x v="11"/>
    <n v="20"/>
    <x v="11"/>
    <x v="2"/>
    <x v="3"/>
    <n v="697"/>
    <d v="2023-02-24T00:00:00"/>
    <x v="0"/>
    <x v="0"/>
    <d v="1899-12-30T16:47:16"/>
    <x v="11"/>
    <s v="March"/>
    <d v="1899-12-30T02:27:37"/>
    <x v="11"/>
    <x v="0"/>
    <n v="2091"/>
    <n v="8"/>
  </r>
  <r>
    <x v="13"/>
    <x v="12"/>
    <n v="60"/>
    <x v="12"/>
    <x v="1"/>
    <x v="4"/>
    <n v="827"/>
    <d v="2023-11-08T00:00:00"/>
    <x v="1"/>
    <x v="5"/>
    <d v="1899-12-30T03:46:06"/>
    <x v="12"/>
    <s v="November"/>
    <d v="1899-12-30T12:08:02"/>
    <x v="2"/>
    <x v="1"/>
    <n v="827"/>
    <n v="7"/>
  </r>
  <r>
    <x v="14"/>
    <x v="13"/>
    <n v="21"/>
    <x v="8"/>
    <x v="2"/>
    <x v="0"/>
    <n v="1561"/>
    <d v="2023-08-26T00:00:00"/>
    <x v="3"/>
    <x v="3"/>
    <d v="1899-12-30T02:52:39"/>
    <x v="13"/>
    <s v="August"/>
    <d v="1899-12-30T13:26:45"/>
    <x v="12"/>
    <x v="4"/>
    <n v="7805"/>
    <n v="4"/>
  </r>
  <r>
    <x v="15"/>
    <x v="14"/>
    <n v="20"/>
    <x v="11"/>
    <x v="2"/>
    <x v="3"/>
    <n v="697"/>
    <d v="2023-02-16T00:00:00"/>
    <x v="0"/>
    <x v="6"/>
    <d v="1899-12-30T15:06:11"/>
    <x v="14"/>
    <s v="February"/>
    <d v="1899-12-30T22:14:21"/>
    <x v="13"/>
    <x v="0"/>
    <n v="2091"/>
    <n v="4"/>
  </r>
  <r>
    <x v="16"/>
    <x v="15"/>
    <n v="60"/>
    <x v="12"/>
    <x v="1"/>
    <x v="1"/>
    <n v="827"/>
    <d v="2023-11-04T00:00:00"/>
    <x v="1"/>
    <x v="3"/>
    <d v="1899-12-30T11:31:33"/>
    <x v="1"/>
    <s v="November"/>
    <d v="1899-12-30T18:40:13"/>
    <x v="14"/>
    <x v="1"/>
    <n v="1654"/>
    <n v="9"/>
  </r>
  <r>
    <x v="17"/>
    <x v="16"/>
    <n v="23"/>
    <x v="13"/>
    <x v="1"/>
    <x v="2"/>
    <n v="1098"/>
    <d v="2023-12-10T00:00:00"/>
    <x v="6"/>
    <x v="4"/>
    <d v="1899-12-30T10:46:15"/>
    <x v="15"/>
    <s v="December"/>
    <d v="1899-12-30T00:20:29"/>
    <x v="15"/>
    <x v="0"/>
    <n v="4392"/>
    <n v="1"/>
  </r>
  <r>
    <x v="18"/>
    <x v="16"/>
    <n v="62"/>
    <x v="14"/>
    <x v="2"/>
    <x v="2"/>
    <n v="1356"/>
    <d v="2023-03-07T00:00:00"/>
    <x v="5"/>
    <x v="1"/>
    <d v="1899-12-30T07:59:48"/>
    <x v="8"/>
    <s v="March"/>
    <d v="1899-12-30T03:04:34"/>
    <x v="16"/>
    <x v="5"/>
    <n v="5424"/>
    <n v="1"/>
  </r>
  <r>
    <x v="19"/>
    <x v="17"/>
    <n v="52"/>
    <x v="15"/>
    <x v="0"/>
    <x v="4"/>
    <n v="236"/>
    <d v="2023-02-11T00:00:00"/>
    <x v="0"/>
    <x v="3"/>
    <d v="1899-12-30T14:36:57"/>
    <x v="16"/>
    <s v="February"/>
    <d v="1899-12-30T01:34:16"/>
    <x v="17"/>
    <x v="3"/>
    <n v="236"/>
    <n v="3"/>
  </r>
  <r>
    <x v="20"/>
    <x v="18"/>
    <n v="32"/>
    <x v="16"/>
    <x v="4"/>
    <x v="4"/>
    <n v="1792"/>
    <d v="2023-02-09T00:00:00"/>
    <x v="0"/>
    <x v="6"/>
    <d v="1899-12-30T11:20:52"/>
    <x v="17"/>
    <s v="February"/>
    <d v="1899-12-30T11:36:26"/>
    <x v="18"/>
    <x v="2"/>
    <n v="1792"/>
    <n v="3"/>
  </r>
  <r>
    <x v="21"/>
    <x v="19"/>
    <n v="43"/>
    <x v="6"/>
    <x v="0"/>
    <x v="4"/>
    <n v="750"/>
    <d v="2023-11-09T00:00:00"/>
    <x v="1"/>
    <x v="6"/>
    <d v="1899-12-30T01:05:28"/>
    <x v="6"/>
    <s v="November"/>
    <d v="1899-12-30T09:49:47"/>
    <x v="19"/>
    <x v="1"/>
    <n v="750"/>
    <n v="5"/>
  </r>
  <r>
    <x v="22"/>
    <x v="20"/>
    <n v="12"/>
    <x v="17"/>
    <x v="5"/>
    <x v="3"/>
    <n v="672"/>
    <d v="2023-05-05T00:00:00"/>
    <x v="4"/>
    <x v="0"/>
    <d v="1899-12-30T05:28:33"/>
    <x v="18"/>
    <s v="May"/>
    <d v="1899-12-30T12:12:24"/>
    <x v="20"/>
    <x v="0"/>
    <n v="2016"/>
    <n v="1"/>
  </r>
  <r>
    <x v="23"/>
    <x v="21"/>
    <n v="42"/>
    <x v="18"/>
    <x v="1"/>
    <x v="3"/>
    <n v="1744"/>
    <d v="2023-07-25T00:00:00"/>
    <x v="2"/>
    <x v="1"/>
    <d v="1899-12-30T05:10:42"/>
    <x v="19"/>
    <s v="August"/>
    <d v="1899-12-30T07:57:35"/>
    <x v="21"/>
    <x v="6"/>
    <n v="5232"/>
    <n v="9"/>
  </r>
  <r>
    <x v="24"/>
    <x v="22"/>
    <n v="30"/>
    <x v="19"/>
    <x v="2"/>
    <x v="3"/>
    <n v="751"/>
    <d v="2023-07-21T00:00:00"/>
    <x v="2"/>
    <x v="0"/>
    <d v="1899-12-30T10:46:57"/>
    <x v="20"/>
    <s v="July"/>
    <d v="1899-12-30T14:28:42"/>
    <x v="22"/>
    <x v="0"/>
    <n v="2253"/>
    <n v="3"/>
  </r>
  <r>
    <x v="25"/>
    <x v="5"/>
    <n v="6"/>
    <x v="20"/>
    <x v="3"/>
    <x v="3"/>
    <n v="1112"/>
    <d v="2023-03-06T00:00:00"/>
    <x v="5"/>
    <x v="2"/>
    <d v="1899-12-30T05:03:06"/>
    <x v="21"/>
    <s v="March"/>
    <d v="1899-12-30T06:06:11"/>
    <x v="23"/>
    <x v="5"/>
    <n v="3336"/>
    <n v="6"/>
  </r>
  <r>
    <x v="26"/>
    <x v="23"/>
    <n v="9"/>
    <x v="21"/>
    <x v="2"/>
    <x v="1"/>
    <n v="1605"/>
    <d v="2023-08-22T00:00:00"/>
    <x v="3"/>
    <x v="1"/>
    <d v="1899-12-30T11:16:28"/>
    <x v="13"/>
    <s v="August"/>
    <d v="1899-12-30T07:59:12"/>
    <x v="24"/>
    <x v="4"/>
    <n v="3210"/>
    <n v="8"/>
  </r>
  <r>
    <x v="27"/>
    <x v="24"/>
    <n v="42"/>
    <x v="18"/>
    <x v="1"/>
    <x v="3"/>
    <n v="1744"/>
    <d v="2023-05-05T00:00:00"/>
    <x v="4"/>
    <x v="0"/>
    <d v="1899-12-30T03:25:25"/>
    <x v="22"/>
    <s v="May"/>
    <d v="1899-12-30T07:55:04"/>
    <x v="3"/>
    <x v="6"/>
    <n v="5232"/>
    <n v="5"/>
  </r>
  <r>
    <x v="28"/>
    <x v="25"/>
    <n v="10"/>
    <x v="22"/>
    <x v="3"/>
    <x v="0"/>
    <n v="259"/>
    <d v="2023-09-22T00:00:00"/>
    <x v="7"/>
    <x v="0"/>
    <d v="1899-12-30T01:06:22"/>
    <x v="23"/>
    <s v="October"/>
    <d v="1899-12-30T14:29:16"/>
    <x v="25"/>
    <x v="2"/>
    <n v="1295"/>
    <n v="9"/>
  </r>
  <r>
    <x v="29"/>
    <x v="8"/>
    <n v="23"/>
    <x v="13"/>
    <x v="1"/>
    <x v="2"/>
    <n v="1098"/>
    <d v="2023-01-13T00:00:00"/>
    <x v="8"/>
    <x v="0"/>
    <d v="1899-12-30T09:23:33"/>
    <x v="24"/>
    <s v="January"/>
    <d v="1899-12-30T13:36:58"/>
    <x v="26"/>
    <x v="0"/>
    <n v="4392"/>
    <n v="2"/>
  </r>
  <r>
    <x v="30"/>
    <x v="2"/>
    <n v="7"/>
    <x v="23"/>
    <x v="4"/>
    <x v="0"/>
    <n v="409"/>
    <d v="2023-02-28T00:00:00"/>
    <x v="0"/>
    <x v="1"/>
    <d v="1899-12-30T13:13:22"/>
    <x v="9"/>
    <s v="March"/>
    <d v="1899-12-30T23:35:49"/>
    <x v="27"/>
    <x v="5"/>
    <n v="2045"/>
    <n v="3"/>
  </r>
  <r>
    <x v="31"/>
    <x v="10"/>
    <n v="7"/>
    <x v="23"/>
    <x v="4"/>
    <x v="0"/>
    <n v="409"/>
    <d v="2023-03-04T00:00:00"/>
    <x v="5"/>
    <x v="3"/>
    <d v="1899-12-30T15:36:41"/>
    <x v="0"/>
    <s v="March"/>
    <d v="1899-12-30T15:54:10"/>
    <x v="28"/>
    <x v="5"/>
    <n v="2045"/>
    <n v="1"/>
  </r>
  <r>
    <x v="32"/>
    <x v="26"/>
    <n v="8"/>
    <x v="24"/>
    <x v="1"/>
    <x v="3"/>
    <n v="252"/>
    <d v="2023-04-15T00:00:00"/>
    <x v="9"/>
    <x v="3"/>
    <d v="1899-12-30T01:37:27"/>
    <x v="25"/>
    <s v="April"/>
    <d v="1899-12-30T02:13:27"/>
    <x v="23"/>
    <x v="0"/>
    <n v="756"/>
    <n v="10"/>
  </r>
  <r>
    <x v="33"/>
    <x v="27"/>
    <n v="17"/>
    <x v="25"/>
    <x v="4"/>
    <x v="1"/>
    <n v="1899"/>
    <d v="2023-10-01T00:00:00"/>
    <x v="10"/>
    <x v="4"/>
    <d v="1899-12-30T22:58:15"/>
    <x v="26"/>
    <s v="October"/>
    <d v="1899-12-30T05:36:46"/>
    <x v="29"/>
    <x v="0"/>
    <n v="3798"/>
    <n v="4"/>
  </r>
  <r>
    <x v="34"/>
    <x v="28"/>
    <n v="7"/>
    <x v="23"/>
    <x v="4"/>
    <x v="0"/>
    <n v="409"/>
    <d v="2023-03-02T00:00:00"/>
    <x v="5"/>
    <x v="6"/>
    <d v="1899-12-30T16:10:26"/>
    <x v="0"/>
    <s v="March"/>
    <d v="1899-12-30T15:00:40"/>
    <x v="30"/>
    <x v="5"/>
    <n v="2045"/>
    <n v="3"/>
  </r>
  <r>
    <x v="35"/>
    <x v="2"/>
    <n v="66"/>
    <x v="26"/>
    <x v="2"/>
    <x v="4"/>
    <n v="610"/>
    <d v="2023-03-04T00:00:00"/>
    <x v="5"/>
    <x v="3"/>
    <d v="1899-12-30T10:28:53"/>
    <x v="27"/>
    <s v="March"/>
    <d v="1899-12-30T08:14:49"/>
    <x v="31"/>
    <x v="5"/>
    <n v="610"/>
    <n v="10"/>
  </r>
  <r>
    <x v="36"/>
    <x v="29"/>
    <n v="19"/>
    <x v="27"/>
    <x v="6"/>
    <x v="0"/>
    <n v="1234"/>
    <d v="2023-02-10T00:00:00"/>
    <x v="0"/>
    <x v="0"/>
    <d v="1899-12-30T11:01:04"/>
    <x v="28"/>
    <s v="February"/>
    <d v="1899-12-30T21:19:36"/>
    <x v="32"/>
    <x v="3"/>
    <n v="6170"/>
    <n v="5"/>
  </r>
  <r>
    <x v="37"/>
    <x v="30"/>
    <n v="37"/>
    <x v="28"/>
    <x v="2"/>
    <x v="3"/>
    <n v="1428"/>
    <d v="2023-11-11T00:00:00"/>
    <x v="1"/>
    <x v="3"/>
    <d v="1899-12-30T12:30:28"/>
    <x v="6"/>
    <s v="November"/>
    <d v="1899-12-30T12:24:51"/>
    <x v="33"/>
    <x v="1"/>
    <n v="4284"/>
    <n v="3"/>
  </r>
  <r>
    <x v="38"/>
    <x v="19"/>
    <n v="43"/>
    <x v="6"/>
    <x v="0"/>
    <x v="1"/>
    <n v="750"/>
    <d v="2023-11-02T00:00:00"/>
    <x v="1"/>
    <x v="6"/>
    <d v="1899-12-30T19:25:58"/>
    <x v="29"/>
    <s v="November"/>
    <d v="1899-12-30T13:28:42"/>
    <x v="34"/>
    <x v="1"/>
    <n v="1500"/>
    <n v="2"/>
  </r>
  <r>
    <x v="39"/>
    <x v="31"/>
    <n v="48"/>
    <x v="29"/>
    <x v="2"/>
    <x v="2"/>
    <n v="433"/>
    <d v="2023-11-02T00:00:00"/>
    <x v="1"/>
    <x v="6"/>
    <d v="1899-12-30T14:15:10"/>
    <x v="30"/>
    <s v="November"/>
    <d v="1899-12-30T04:29:54"/>
    <x v="35"/>
    <x v="1"/>
    <n v="1732"/>
    <n v="3"/>
  </r>
  <r>
    <x v="40"/>
    <x v="26"/>
    <n v="54"/>
    <x v="30"/>
    <x v="3"/>
    <x v="2"/>
    <n v="1236"/>
    <d v="2023-06-08T00:00:00"/>
    <x v="11"/>
    <x v="6"/>
    <d v="1899-12-30T19:19:50"/>
    <x v="31"/>
    <s v="June"/>
    <d v="1899-12-30T14:29:42"/>
    <x v="36"/>
    <x v="0"/>
    <n v="4944"/>
    <n v="2"/>
  </r>
  <r>
    <x v="41"/>
    <x v="32"/>
    <n v="35"/>
    <x v="31"/>
    <x v="2"/>
    <x v="4"/>
    <n v="1865"/>
    <d v="2023-02-26T00:00:00"/>
    <x v="0"/>
    <x v="4"/>
    <d v="1899-12-30T00:08:38"/>
    <x v="32"/>
    <s v="March"/>
    <d v="1899-12-30T17:18:28"/>
    <x v="37"/>
    <x v="5"/>
    <n v="1865"/>
    <n v="9"/>
  </r>
  <r>
    <x v="42"/>
    <x v="33"/>
    <n v="49"/>
    <x v="32"/>
    <x v="2"/>
    <x v="3"/>
    <n v="903"/>
    <d v="2023-02-12T00:00:00"/>
    <x v="0"/>
    <x v="4"/>
    <d v="1899-12-30T22:31:16"/>
    <x v="33"/>
    <s v="February"/>
    <d v="1899-12-30T02:47:47"/>
    <x v="38"/>
    <x v="3"/>
    <n v="2709"/>
    <n v="4"/>
  </r>
  <r>
    <x v="43"/>
    <x v="34"/>
    <n v="14"/>
    <x v="2"/>
    <x v="2"/>
    <x v="4"/>
    <n v="1915"/>
    <d v="2023-07-17T00:00:00"/>
    <x v="2"/>
    <x v="2"/>
    <d v="1899-12-30T21:57:56"/>
    <x v="34"/>
    <s v="July"/>
    <d v="1899-12-30T10:48:09"/>
    <x v="39"/>
    <x v="2"/>
    <n v="1915"/>
    <n v="10"/>
  </r>
  <r>
    <x v="44"/>
    <x v="7"/>
    <n v="61"/>
    <x v="33"/>
    <x v="5"/>
    <x v="0"/>
    <n v="810"/>
    <d v="2023-04-28T00:00:00"/>
    <x v="9"/>
    <x v="0"/>
    <d v="1899-12-30T14:26:26"/>
    <x v="35"/>
    <s v="April"/>
    <d v="1899-12-30T06:16:36"/>
    <x v="40"/>
    <x v="0"/>
    <n v="4050"/>
    <n v="1"/>
  </r>
  <r>
    <x v="45"/>
    <x v="35"/>
    <n v="22"/>
    <x v="34"/>
    <x v="4"/>
    <x v="2"/>
    <n v="1639"/>
    <d v="2023-04-18T00:00:00"/>
    <x v="9"/>
    <x v="1"/>
    <d v="1899-12-30T03:21:11"/>
    <x v="36"/>
    <s v="April"/>
    <d v="1899-12-30T08:02:45"/>
    <x v="41"/>
    <x v="6"/>
    <n v="6556"/>
    <n v="5"/>
  </r>
  <r>
    <x v="46"/>
    <x v="14"/>
    <n v="7"/>
    <x v="23"/>
    <x v="4"/>
    <x v="0"/>
    <n v="409"/>
    <d v="2023-02-26T00:00:00"/>
    <x v="0"/>
    <x v="4"/>
    <d v="1899-12-30T13:04:28"/>
    <x v="37"/>
    <s v="February"/>
    <d v="1899-12-30T06:00:20"/>
    <x v="1"/>
    <x v="5"/>
    <n v="2045"/>
    <n v="2"/>
  </r>
  <r>
    <x v="47"/>
    <x v="36"/>
    <n v="65"/>
    <x v="35"/>
    <x v="0"/>
    <x v="2"/>
    <n v="1895"/>
    <d v="2023-11-12T00:00:00"/>
    <x v="1"/>
    <x v="4"/>
    <d v="1899-12-30T20:00:30"/>
    <x v="38"/>
    <s v="November"/>
    <d v="1899-12-30T05:31:42"/>
    <x v="42"/>
    <x v="6"/>
    <n v="7580"/>
    <n v="4"/>
  </r>
  <r>
    <x v="48"/>
    <x v="37"/>
    <n v="43"/>
    <x v="6"/>
    <x v="0"/>
    <x v="4"/>
    <n v="750"/>
    <d v="2023-11-11T00:00:00"/>
    <x v="1"/>
    <x v="3"/>
    <d v="1899-12-30T17:44:30"/>
    <x v="39"/>
    <s v="November"/>
    <d v="1899-12-30T13:49:52"/>
    <x v="43"/>
    <x v="1"/>
    <n v="750"/>
    <n v="7"/>
  </r>
  <r>
    <x v="49"/>
    <x v="38"/>
    <n v="41"/>
    <x v="1"/>
    <x v="1"/>
    <x v="2"/>
    <n v="1977"/>
    <d v="2023-11-09T00:00:00"/>
    <x v="1"/>
    <x v="6"/>
    <d v="1899-12-30T06:56:33"/>
    <x v="38"/>
    <s v="November"/>
    <d v="1899-12-30T10:19:22"/>
    <x v="44"/>
    <x v="1"/>
    <n v="7908"/>
    <n v="7"/>
  </r>
  <r>
    <x v="50"/>
    <x v="39"/>
    <n v="10"/>
    <x v="22"/>
    <x v="3"/>
    <x v="4"/>
    <n v="259"/>
    <d v="2023-03-15T00:00:00"/>
    <x v="5"/>
    <x v="5"/>
    <d v="1899-12-30T09:23:49"/>
    <x v="40"/>
    <s v="March"/>
    <d v="1899-12-30T16:46:40"/>
    <x v="45"/>
    <x v="2"/>
    <n v="259"/>
    <n v="4"/>
  </r>
  <r>
    <x v="51"/>
    <x v="40"/>
    <n v="9"/>
    <x v="21"/>
    <x v="2"/>
    <x v="4"/>
    <n v="1605"/>
    <d v="2023-08-29T00:00:00"/>
    <x v="3"/>
    <x v="1"/>
    <d v="1899-12-30T19:55:22"/>
    <x v="41"/>
    <s v="September"/>
    <d v="1899-12-30T04:22:02"/>
    <x v="46"/>
    <x v="4"/>
    <n v="1605"/>
    <n v="9"/>
  </r>
  <r>
    <x v="52"/>
    <x v="41"/>
    <n v="9"/>
    <x v="21"/>
    <x v="2"/>
    <x v="0"/>
    <n v="1605"/>
    <d v="2023-08-20T00:00:00"/>
    <x v="3"/>
    <x v="4"/>
    <d v="1899-12-30T08:25:45"/>
    <x v="42"/>
    <s v="August"/>
    <d v="1899-12-30T05:59:31"/>
    <x v="47"/>
    <x v="4"/>
    <n v="8025"/>
    <n v="7"/>
  </r>
  <r>
    <x v="53"/>
    <x v="35"/>
    <n v="30"/>
    <x v="19"/>
    <x v="2"/>
    <x v="4"/>
    <n v="751"/>
    <d v="2023-04-13T00:00:00"/>
    <x v="9"/>
    <x v="6"/>
    <d v="1899-12-30T09:55:01"/>
    <x v="36"/>
    <s v="April"/>
    <d v="1899-12-30T14:30:59"/>
    <x v="48"/>
    <x v="0"/>
    <n v="751"/>
    <n v="10"/>
  </r>
  <r>
    <x v="54"/>
    <x v="5"/>
    <n v="5"/>
    <x v="36"/>
    <x v="2"/>
    <x v="4"/>
    <n v="1444"/>
    <d v="2023-02-08T00:00:00"/>
    <x v="0"/>
    <x v="5"/>
    <d v="1899-12-30T08:01:07"/>
    <x v="43"/>
    <s v="February"/>
    <d v="1899-12-30T07:42:58"/>
    <x v="49"/>
    <x v="6"/>
    <n v="1444"/>
    <n v="5"/>
  </r>
  <r>
    <x v="55"/>
    <x v="42"/>
    <n v="58"/>
    <x v="3"/>
    <x v="3"/>
    <x v="0"/>
    <n v="1492"/>
    <d v="2023-02-08T00:00:00"/>
    <x v="0"/>
    <x v="5"/>
    <d v="1899-12-30T12:11:48"/>
    <x v="43"/>
    <s v="February"/>
    <d v="1899-12-30T18:51:59"/>
    <x v="50"/>
    <x v="3"/>
    <n v="7460"/>
    <n v="5"/>
  </r>
  <r>
    <x v="56"/>
    <x v="18"/>
    <n v="35"/>
    <x v="31"/>
    <x v="2"/>
    <x v="0"/>
    <n v="1865"/>
    <d v="2023-02-26T00:00:00"/>
    <x v="0"/>
    <x v="4"/>
    <d v="1899-12-30T08:00:15"/>
    <x v="44"/>
    <s v="March"/>
    <d v="1899-12-30T12:27:32"/>
    <x v="51"/>
    <x v="5"/>
    <n v="9325"/>
    <n v="8"/>
  </r>
  <r>
    <x v="57"/>
    <x v="43"/>
    <n v="36"/>
    <x v="37"/>
    <x v="5"/>
    <x v="4"/>
    <n v="203"/>
    <d v="2023-01-06T00:00:00"/>
    <x v="8"/>
    <x v="0"/>
    <d v="1899-12-30T02:51:30"/>
    <x v="24"/>
    <s v="January"/>
    <d v="1899-12-30T08:26:18"/>
    <x v="52"/>
    <x v="2"/>
    <n v="203"/>
    <n v="9"/>
  </r>
  <r>
    <x v="58"/>
    <x v="20"/>
    <n v="51"/>
    <x v="38"/>
    <x v="4"/>
    <x v="0"/>
    <n v="1084"/>
    <d v="2023-06-26T00:00:00"/>
    <x v="11"/>
    <x v="2"/>
    <d v="1899-12-30T03:56:15"/>
    <x v="45"/>
    <s v="June"/>
    <d v="1899-12-30T20:10:04"/>
    <x v="53"/>
    <x v="6"/>
    <n v="5420"/>
    <n v="2"/>
  </r>
  <r>
    <x v="59"/>
    <x v="40"/>
    <n v="5"/>
    <x v="36"/>
    <x v="2"/>
    <x v="1"/>
    <n v="1444"/>
    <d v="2023-12-13T00:00:00"/>
    <x v="6"/>
    <x v="5"/>
    <d v="1899-12-30T06:46:45"/>
    <x v="46"/>
    <s v="December"/>
    <d v="1899-12-30T13:03:56"/>
    <x v="54"/>
    <x v="6"/>
    <n v="2888"/>
    <n v="2"/>
  </r>
  <r>
    <x v="60"/>
    <x v="44"/>
    <n v="44"/>
    <x v="39"/>
    <x v="5"/>
    <x v="1"/>
    <n v="794"/>
    <d v="2023-11-08T00:00:00"/>
    <x v="1"/>
    <x v="5"/>
    <d v="1899-12-30T22:26:25"/>
    <x v="47"/>
    <s v="November"/>
    <d v="1899-12-30T08:08:31"/>
    <x v="55"/>
    <x v="1"/>
    <n v="1588"/>
    <n v="2"/>
  </r>
  <r>
    <x v="61"/>
    <x v="45"/>
    <n v="6"/>
    <x v="20"/>
    <x v="3"/>
    <x v="2"/>
    <n v="1112"/>
    <d v="2023-03-02T00:00:00"/>
    <x v="5"/>
    <x v="6"/>
    <d v="1899-12-30T15:30:51"/>
    <x v="44"/>
    <s v="March"/>
    <d v="1899-12-30T23:51:40"/>
    <x v="56"/>
    <x v="5"/>
    <n v="4448"/>
    <n v="4"/>
  </r>
  <r>
    <x v="62"/>
    <x v="15"/>
    <n v="42"/>
    <x v="18"/>
    <x v="1"/>
    <x v="3"/>
    <n v="1744"/>
    <d v="2023-06-25T00:00:00"/>
    <x v="11"/>
    <x v="4"/>
    <d v="1899-12-30T06:22:38"/>
    <x v="48"/>
    <s v="June"/>
    <d v="1899-12-30T15:40:04"/>
    <x v="57"/>
    <x v="6"/>
    <n v="5232"/>
    <n v="1"/>
  </r>
  <r>
    <x v="63"/>
    <x v="46"/>
    <n v="25"/>
    <x v="40"/>
    <x v="5"/>
    <x v="4"/>
    <n v="1202"/>
    <d v="2023-06-12T00:00:00"/>
    <x v="11"/>
    <x v="2"/>
    <d v="1899-12-30T02:48:39"/>
    <x v="49"/>
    <s v="June"/>
    <d v="1899-12-30T22:05:41"/>
    <x v="58"/>
    <x v="0"/>
    <n v="1202"/>
    <n v="3"/>
  </r>
  <r>
    <x v="64"/>
    <x v="47"/>
    <n v="54"/>
    <x v="30"/>
    <x v="3"/>
    <x v="1"/>
    <n v="1236"/>
    <d v="2023-09-01T00:00:00"/>
    <x v="7"/>
    <x v="0"/>
    <d v="1899-12-30T13:02:28"/>
    <x v="50"/>
    <s v="September"/>
    <d v="1899-12-30T06:33:52"/>
    <x v="59"/>
    <x v="0"/>
    <n v="2472"/>
    <n v="10"/>
  </r>
  <r>
    <x v="65"/>
    <x v="48"/>
    <n v="35"/>
    <x v="31"/>
    <x v="2"/>
    <x v="0"/>
    <n v="1865"/>
    <d v="2023-02-26T00:00:00"/>
    <x v="0"/>
    <x v="4"/>
    <d v="1899-12-30T21:00:44"/>
    <x v="51"/>
    <s v="February"/>
    <d v="1899-12-30T06:25:58"/>
    <x v="57"/>
    <x v="5"/>
    <n v="9325"/>
    <n v="1"/>
  </r>
  <r>
    <x v="66"/>
    <x v="26"/>
    <n v="10"/>
    <x v="22"/>
    <x v="3"/>
    <x v="1"/>
    <n v="259"/>
    <d v="2023-07-06T00:00:00"/>
    <x v="2"/>
    <x v="6"/>
    <d v="1899-12-30T17:28:21"/>
    <x v="52"/>
    <s v="July"/>
    <d v="1899-12-30T21:11:01"/>
    <x v="60"/>
    <x v="2"/>
    <n v="518"/>
    <n v="8"/>
  </r>
  <r>
    <x v="67"/>
    <x v="49"/>
    <n v="34"/>
    <x v="41"/>
    <x v="4"/>
    <x v="2"/>
    <n v="1335"/>
    <d v="2023-08-25T00:00:00"/>
    <x v="3"/>
    <x v="0"/>
    <d v="1899-12-30T22:43:58"/>
    <x v="53"/>
    <s v="August"/>
    <d v="1899-12-30T21:31:14"/>
    <x v="51"/>
    <x v="4"/>
    <n v="5340"/>
    <n v="6"/>
  </r>
  <r>
    <x v="68"/>
    <x v="22"/>
    <n v="12"/>
    <x v="17"/>
    <x v="5"/>
    <x v="2"/>
    <n v="672"/>
    <d v="2023-09-02T00:00:00"/>
    <x v="7"/>
    <x v="3"/>
    <d v="1899-12-30T19:21:41"/>
    <x v="54"/>
    <s v="September"/>
    <d v="1899-12-30T09:30:02"/>
    <x v="61"/>
    <x v="0"/>
    <n v="2688"/>
    <n v="6"/>
  </r>
  <r>
    <x v="69"/>
    <x v="0"/>
    <n v="17"/>
    <x v="25"/>
    <x v="4"/>
    <x v="4"/>
    <n v="1899"/>
    <d v="2023-09-28T00:00:00"/>
    <x v="7"/>
    <x v="6"/>
    <d v="1899-12-30T04:21:09"/>
    <x v="55"/>
    <s v="October"/>
    <d v="1899-12-30T11:44:33"/>
    <x v="16"/>
    <x v="0"/>
    <n v="1899"/>
    <n v="5"/>
  </r>
  <r>
    <x v="70"/>
    <x v="14"/>
    <n v="9"/>
    <x v="21"/>
    <x v="2"/>
    <x v="0"/>
    <n v="1605"/>
    <d v="2023-08-20T00:00:00"/>
    <x v="3"/>
    <x v="4"/>
    <d v="1899-12-30T16:32:06"/>
    <x v="56"/>
    <s v="August"/>
    <d v="1899-12-30T13:31:32"/>
    <x v="10"/>
    <x v="4"/>
    <n v="8025"/>
    <n v="8"/>
  </r>
  <r>
    <x v="71"/>
    <x v="44"/>
    <n v="26"/>
    <x v="42"/>
    <x v="2"/>
    <x v="3"/>
    <n v="289"/>
    <d v="2023-03-03T00:00:00"/>
    <x v="5"/>
    <x v="0"/>
    <d v="1899-12-30T15:49:26"/>
    <x v="21"/>
    <s v="March"/>
    <d v="1899-12-30T17:34:10"/>
    <x v="62"/>
    <x v="5"/>
    <n v="867"/>
    <n v="9"/>
  </r>
  <r>
    <x v="72"/>
    <x v="50"/>
    <n v="26"/>
    <x v="42"/>
    <x v="2"/>
    <x v="4"/>
    <n v="289"/>
    <d v="2023-03-03T00:00:00"/>
    <x v="5"/>
    <x v="0"/>
    <d v="1899-12-30T12:52:36"/>
    <x v="57"/>
    <s v="March"/>
    <d v="1899-12-30T01:28:36"/>
    <x v="63"/>
    <x v="5"/>
    <n v="289"/>
    <n v="8"/>
  </r>
  <r>
    <x v="73"/>
    <x v="11"/>
    <n v="31"/>
    <x v="43"/>
    <x v="2"/>
    <x v="3"/>
    <n v="1804"/>
    <d v="2023-01-01T00:00:00"/>
    <x v="8"/>
    <x v="4"/>
    <d v="1899-12-30T20:55:22"/>
    <x v="58"/>
    <s v="January"/>
    <d v="1899-12-30T09:02:03"/>
    <x v="64"/>
    <x v="6"/>
    <n v="5412"/>
    <n v="6"/>
  </r>
  <r>
    <x v="74"/>
    <x v="6"/>
    <n v="65"/>
    <x v="35"/>
    <x v="0"/>
    <x v="1"/>
    <n v="1895"/>
    <d v="2023-04-06T00:00:00"/>
    <x v="9"/>
    <x v="6"/>
    <d v="1899-12-30T11:10:24"/>
    <x v="59"/>
    <s v="April"/>
    <d v="1899-12-30T23:00:34"/>
    <x v="62"/>
    <x v="6"/>
    <n v="3790"/>
    <n v="3"/>
  </r>
  <r>
    <x v="75"/>
    <x v="19"/>
    <n v="4"/>
    <x v="44"/>
    <x v="1"/>
    <x v="4"/>
    <n v="1199"/>
    <d v="2023-11-09T00:00:00"/>
    <x v="1"/>
    <x v="6"/>
    <d v="1899-12-30T05:13:11"/>
    <x v="60"/>
    <s v="November"/>
    <d v="1899-12-30T00:34:50"/>
    <x v="65"/>
    <x v="1"/>
    <n v="1199"/>
    <n v="3"/>
  </r>
  <r>
    <x v="76"/>
    <x v="51"/>
    <n v="42"/>
    <x v="18"/>
    <x v="1"/>
    <x v="3"/>
    <n v="1744"/>
    <d v="2023-08-05T00:00:00"/>
    <x v="3"/>
    <x v="3"/>
    <d v="1899-12-30T01:07:11"/>
    <x v="61"/>
    <s v="August"/>
    <d v="1899-12-30T16:20:52"/>
    <x v="66"/>
    <x v="6"/>
    <n v="5232"/>
    <n v="8"/>
  </r>
  <r>
    <x v="77"/>
    <x v="52"/>
    <n v="11"/>
    <x v="45"/>
    <x v="6"/>
    <x v="1"/>
    <n v="1096"/>
    <d v="2023-02-04T00:00:00"/>
    <x v="0"/>
    <x v="3"/>
    <d v="1899-12-30T13:00:09"/>
    <x v="62"/>
    <s v="February"/>
    <d v="1899-12-30T20:31:15"/>
    <x v="67"/>
    <x v="3"/>
    <n v="2192"/>
    <n v="4"/>
  </r>
  <r>
    <x v="78"/>
    <x v="53"/>
    <n v="40"/>
    <x v="46"/>
    <x v="1"/>
    <x v="1"/>
    <n v="1923"/>
    <d v="2023-06-01T00:00:00"/>
    <x v="11"/>
    <x v="6"/>
    <d v="1899-12-30T17:29:30"/>
    <x v="63"/>
    <s v="June"/>
    <d v="1899-12-30T07:34:53"/>
    <x v="68"/>
    <x v="0"/>
    <n v="3846"/>
    <n v="10"/>
  </r>
  <r>
    <x v="79"/>
    <x v="54"/>
    <n v="39"/>
    <x v="47"/>
    <x v="6"/>
    <x v="2"/>
    <n v="387"/>
    <d v="2023-01-02T00:00:00"/>
    <x v="8"/>
    <x v="2"/>
    <d v="1899-12-30T11:07:02"/>
    <x v="64"/>
    <s v="January"/>
    <d v="1899-12-30T02:05:50"/>
    <x v="69"/>
    <x v="6"/>
    <n v="1548"/>
    <n v="9"/>
  </r>
  <r>
    <x v="80"/>
    <x v="55"/>
    <n v="1"/>
    <x v="48"/>
    <x v="4"/>
    <x v="0"/>
    <n v="1935"/>
    <d v="2023-02-22T00:00:00"/>
    <x v="0"/>
    <x v="5"/>
    <d v="1899-12-30T18:29:21"/>
    <x v="9"/>
    <s v="March"/>
    <d v="1899-12-30T07:09:32"/>
    <x v="70"/>
    <x v="6"/>
    <n v="9675"/>
    <n v="9"/>
  </r>
  <r>
    <x v="81"/>
    <x v="56"/>
    <n v="70"/>
    <x v="35"/>
    <x v="1"/>
    <x v="3"/>
    <n v="866"/>
    <d v="2023-08-04T00:00:00"/>
    <x v="3"/>
    <x v="0"/>
    <d v="1899-12-30T22:02:05"/>
    <x v="65"/>
    <s v="August"/>
    <d v="1899-12-30T14:08:13"/>
    <x v="71"/>
    <x v="2"/>
    <n v="2598"/>
    <n v="1"/>
  </r>
  <r>
    <x v="82"/>
    <x v="39"/>
    <n v="27"/>
    <x v="7"/>
    <x v="3"/>
    <x v="2"/>
    <n v="548"/>
    <d v="2023-08-23T00:00:00"/>
    <x v="3"/>
    <x v="5"/>
    <d v="1899-12-30T19:12:01"/>
    <x v="66"/>
    <s v="September"/>
    <d v="1899-12-30T14:44:00"/>
    <x v="30"/>
    <x v="4"/>
    <n v="2192"/>
    <n v="10"/>
  </r>
  <r>
    <x v="83"/>
    <x v="57"/>
    <n v="47"/>
    <x v="49"/>
    <x v="2"/>
    <x v="4"/>
    <n v="1638"/>
    <d v="2023-03-04T00:00:00"/>
    <x v="5"/>
    <x v="3"/>
    <d v="1899-12-30T03:31:50"/>
    <x v="44"/>
    <s v="March"/>
    <d v="1899-12-30T07:02:20"/>
    <x v="29"/>
    <x v="5"/>
    <n v="1638"/>
    <n v="2"/>
  </r>
  <r>
    <x v="84"/>
    <x v="20"/>
    <n v="26"/>
    <x v="42"/>
    <x v="2"/>
    <x v="1"/>
    <n v="289"/>
    <d v="2023-03-04T00:00:00"/>
    <x v="5"/>
    <x v="3"/>
    <d v="1899-12-30T21:35:20"/>
    <x v="27"/>
    <s v="March"/>
    <d v="1899-12-30T14:48:22"/>
    <x v="72"/>
    <x v="5"/>
    <n v="578"/>
    <n v="10"/>
  </r>
  <r>
    <x v="85"/>
    <x v="33"/>
    <n v="39"/>
    <x v="47"/>
    <x v="6"/>
    <x v="2"/>
    <n v="387"/>
    <d v="2023-09-13T00:00:00"/>
    <x v="7"/>
    <x v="5"/>
    <d v="1899-12-30T11:27:49"/>
    <x v="67"/>
    <s v="September"/>
    <d v="1899-12-30T14:09:30"/>
    <x v="5"/>
    <x v="6"/>
    <n v="1548"/>
    <n v="9"/>
  </r>
  <r>
    <x v="86"/>
    <x v="28"/>
    <n v="2"/>
    <x v="50"/>
    <x v="5"/>
    <x v="0"/>
    <n v="441"/>
    <d v="2023-02-04T00:00:00"/>
    <x v="0"/>
    <x v="3"/>
    <d v="1899-12-30T13:17:21"/>
    <x v="68"/>
    <s v="February"/>
    <d v="1899-12-30T23:06:36"/>
    <x v="73"/>
    <x v="3"/>
    <n v="2205"/>
    <n v="7"/>
  </r>
  <r>
    <x v="87"/>
    <x v="54"/>
    <n v="15"/>
    <x v="51"/>
    <x v="0"/>
    <x v="2"/>
    <n v="1488"/>
    <d v="2023-12-22T00:00:00"/>
    <x v="6"/>
    <x v="0"/>
    <d v="1899-12-30T10:02:31"/>
    <x v="69"/>
    <s v="January"/>
    <d v="1899-12-30T12:17:55"/>
    <x v="74"/>
    <x v="0"/>
    <n v="5952"/>
    <n v="10"/>
  </r>
  <r>
    <x v="88"/>
    <x v="58"/>
    <n v="3"/>
    <x v="52"/>
    <x v="2"/>
    <x v="0"/>
    <n v="1534"/>
    <d v="2023-02-12T00:00:00"/>
    <x v="0"/>
    <x v="4"/>
    <d v="1899-12-30T22:56:52"/>
    <x v="43"/>
    <s v="February"/>
    <d v="1899-12-30T14:41:41"/>
    <x v="75"/>
    <x v="3"/>
    <n v="7670"/>
    <n v="1"/>
  </r>
  <r>
    <x v="89"/>
    <x v="24"/>
    <n v="41"/>
    <x v="1"/>
    <x v="1"/>
    <x v="3"/>
    <n v="1977"/>
    <d v="2023-11-09T00:00:00"/>
    <x v="1"/>
    <x v="6"/>
    <d v="1899-12-30T20:54:16"/>
    <x v="39"/>
    <s v="November"/>
    <d v="1899-12-30T17:48:35"/>
    <x v="76"/>
    <x v="1"/>
    <n v="5931"/>
    <n v="9"/>
  </r>
  <r>
    <x v="90"/>
    <x v="59"/>
    <n v="6"/>
    <x v="20"/>
    <x v="3"/>
    <x v="1"/>
    <n v="1112"/>
    <d v="2023-02-27T00:00:00"/>
    <x v="0"/>
    <x v="2"/>
    <d v="1899-12-30T13:52:56"/>
    <x v="0"/>
    <s v="March"/>
    <d v="1899-12-30T13:23:25"/>
    <x v="77"/>
    <x v="5"/>
    <n v="2224"/>
    <n v="6"/>
  </r>
  <r>
    <x v="91"/>
    <x v="60"/>
    <n v="18"/>
    <x v="53"/>
    <x v="5"/>
    <x v="0"/>
    <n v="781"/>
    <d v="2023-05-15T00:00:00"/>
    <x v="4"/>
    <x v="2"/>
    <d v="1899-12-30T00:11:18"/>
    <x v="70"/>
    <s v="May"/>
    <d v="1899-12-30T11:17:55"/>
    <x v="78"/>
    <x v="2"/>
    <n v="3905"/>
    <n v="10"/>
  </r>
  <r>
    <x v="92"/>
    <x v="26"/>
    <n v="24"/>
    <x v="54"/>
    <x v="6"/>
    <x v="2"/>
    <n v="535"/>
    <d v="2023-05-01T00:00:00"/>
    <x v="4"/>
    <x v="2"/>
    <d v="1899-12-30T17:50:59"/>
    <x v="71"/>
    <s v="May"/>
    <d v="1899-12-30T18:35:56"/>
    <x v="79"/>
    <x v="2"/>
    <n v="2140"/>
    <n v="2"/>
  </r>
  <r>
    <x v="93"/>
    <x v="9"/>
    <n v="69"/>
    <x v="55"/>
    <x v="3"/>
    <x v="0"/>
    <n v="998"/>
    <d v="2023-03-02T00:00:00"/>
    <x v="5"/>
    <x v="6"/>
    <d v="1899-12-30T14:51:08"/>
    <x v="57"/>
    <s v="March"/>
    <d v="1899-12-30T08:14:49"/>
    <x v="80"/>
    <x v="5"/>
    <n v="4990"/>
    <n v="9"/>
  </r>
  <r>
    <x v="94"/>
    <x v="61"/>
    <n v="70"/>
    <x v="35"/>
    <x v="1"/>
    <x v="2"/>
    <n v="866"/>
    <d v="2023-05-29T00:00:00"/>
    <x v="4"/>
    <x v="2"/>
    <d v="1899-12-30T07:54:41"/>
    <x v="72"/>
    <s v="June"/>
    <d v="1899-12-30T07:16:33"/>
    <x v="81"/>
    <x v="2"/>
    <n v="3464"/>
    <n v="5"/>
  </r>
  <r>
    <x v="95"/>
    <x v="9"/>
    <n v="25"/>
    <x v="40"/>
    <x v="5"/>
    <x v="3"/>
    <n v="1202"/>
    <d v="2023-03-14T00:00:00"/>
    <x v="5"/>
    <x v="1"/>
    <d v="1899-12-30T15:00:21"/>
    <x v="73"/>
    <s v="March"/>
    <d v="1899-12-30T08:56:06"/>
    <x v="82"/>
    <x v="0"/>
    <n v="3606"/>
    <n v="9"/>
  </r>
  <r>
    <x v="96"/>
    <x v="20"/>
    <n v="41"/>
    <x v="1"/>
    <x v="1"/>
    <x v="4"/>
    <n v="1977"/>
    <d v="2023-11-03T00:00:00"/>
    <x v="1"/>
    <x v="0"/>
    <d v="1899-12-30T20:11:32"/>
    <x v="74"/>
    <s v="November"/>
    <d v="1899-12-30T01:35:25"/>
    <x v="39"/>
    <x v="1"/>
    <n v="1977"/>
    <n v="5"/>
  </r>
  <r>
    <x v="97"/>
    <x v="36"/>
    <n v="8"/>
    <x v="24"/>
    <x v="1"/>
    <x v="4"/>
    <n v="252"/>
    <d v="2023-10-30T00:00:00"/>
    <x v="10"/>
    <x v="2"/>
    <d v="1899-12-30T15:26:00"/>
    <x v="75"/>
    <s v="November"/>
    <d v="1899-12-30T16:34:28"/>
    <x v="26"/>
    <x v="0"/>
    <n v="252"/>
    <n v="2"/>
  </r>
  <r>
    <x v="98"/>
    <x v="49"/>
    <n v="38"/>
    <x v="10"/>
    <x v="3"/>
    <x v="3"/>
    <n v="562"/>
    <d v="2023-11-04T00:00:00"/>
    <x v="1"/>
    <x v="3"/>
    <d v="1899-12-30T14:00:46"/>
    <x v="30"/>
    <s v="November"/>
    <d v="1899-12-30T15:44:38"/>
    <x v="83"/>
    <x v="2"/>
    <n v="1686"/>
    <n v="1"/>
  </r>
  <r>
    <x v="99"/>
    <x v="28"/>
    <n v="42"/>
    <x v="18"/>
    <x v="1"/>
    <x v="0"/>
    <n v="1744"/>
    <d v="2023-05-09T00:00:00"/>
    <x v="4"/>
    <x v="1"/>
    <d v="1899-12-30T05:50:07"/>
    <x v="76"/>
    <s v="May"/>
    <d v="1899-12-30T05:30:26"/>
    <x v="84"/>
    <x v="6"/>
    <n v="8720"/>
    <n v="8"/>
  </r>
  <r>
    <x v="100"/>
    <x v="25"/>
    <n v="70"/>
    <x v="35"/>
    <x v="1"/>
    <x v="2"/>
    <n v="866"/>
    <d v="2023-06-19T00:00:00"/>
    <x v="11"/>
    <x v="2"/>
    <d v="1899-12-30T03:56:52"/>
    <x v="77"/>
    <s v="June"/>
    <d v="1899-12-30T06:18:37"/>
    <x v="9"/>
    <x v="2"/>
    <n v="3464"/>
    <n v="2"/>
  </r>
  <r>
    <x v="101"/>
    <x v="62"/>
    <n v="10"/>
    <x v="22"/>
    <x v="3"/>
    <x v="3"/>
    <n v="259"/>
    <d v="2023-10-28T00:00:00"/>
    <x v="10"/>
    <x v="3"/>
    <d v="1899-12-30T19:34:14"/>
    <x v="78"/>
    <s v="November"/>
    <d v="1899-12-30T07:06:35"/>
    <x v="85"/>
    <x v="2"/>
    <n v="777"/>
    <n v="9"/>
  </r>
  <r>
    <x v="102"/>
    <x v="7"/>
    <n v="18"/>
    <x v="53"/>
    <x v="5"/>
    <x v="3"/>
    <n v="781"/>
    <d v="2023-02-01T00:00:00"/>
    <x v="0"/>
    <x v="5"/>
    <d v="1899-12-30T12:24:59"/>
    <x v="62"/>
    <s v="February"/>
    <d v="1899-12-30T22:51:39"/>
    <x v="86"/>
    <x v="2"/>
    <n v="2343"/>
    <n v="7"/>
  </r>
  <r>
    <x v="103"/>
    <x v="63"/>
    <n v="51"/>
    <x v="38"/>
    <x v="4"/>
    <x v="3"/>
    <n v="1084"/>
    <d v="2023-12-29T00:00:00"/>
    <x v="6"/>
    <x v="0"/>
    <d v="1899-12-30T01:45:29"/>
    <x v="79"/>
    <s v="January"/>
    <d v="1899-12-30T00:15:28"/>
    <x v="87"/>
    <x v="6"/>
    <n v="3252"/>
    <n v="7"/>
  </r>
  <r>
    <x v="104"/>
    <x v="23"/>
    <n v="36"/>
    <x v="37"/>
    <x v="5"/>
    <x v="1"/>
    <n v="203"/>
    <d v="2023-02-11T00:00:00"/>
    <x v="0"/>
    <x v="3"/>
    <d v="1899-12-30T02:57:36"/>
    <x v="80"/>
    <s v="February"/>
    <d v="1899-12-30T01:34:10"/>
    <x v="41"/>
    <x v="2"/>
    <n v="406"/>
    <n v="10"/>
  </r>
  <r>
    <x v="105"/>
    <x v="42"/>
    <n v="41"/>
    <x v="1"/>
    <x v="1"/>
    <x v="1"/>
    <n v="1977"/>
    <d v="2023-11-06T00:00:00"/>
    <x v="1"/>
    <x v="2"/>
    <d v="1899-12-30T17:55:46"/>
    <x v="74"/>
    <s v="November"/>
    <d v="1899-12-30T23:00:28"/>
    <x v="88"/>
    <x v="1"/>
    <n v="3954"/>
    <n v="2"/>
  </r>
  <r>
    <x v="106"/>
    <x v="20"/>
    <n v="4"/>
    <x v="44"/>
    <x v="1"/>
    <x v="3"/>
    <n v="1199"/>
    <d v="2023-11-06T00:00:00"/>
    <x v="1"/>
    <x v="2"/>
    <d v="1899-12-30T10:18:07"/>
    <x v="60"/>
    <s v="November"/>
    <d v="1899-12-30T14:20:21"/>
    <x v="89"/>
    <x v="1"/>
    <n v="3597"/>
    <n v="6"/>
  </r>
  <r>
    <x v="107"/>
    <x v="3"/>
    <n v="26"/>
    <x v="42"/>
    <x v="2"/>
    <x v="2"/>
    <n v="289"/>
    <d v="2023-02-27T00:00:00"/>
    <x v="0"/>
    <x v="2"/>
    <d v="1899-12-30T09:03:26"/>
    <x v="0"/>
    <s v="March"/>
    <d v="1899-12-30T08:03:05"/>
    <x v="90"/>
    <x v="5"/>
    <n v="1156"/>
    <n v="6"/>
  </r>
  <r>
    <x v="108"/>
    <x v="45"/>
    <n v="50"/>
    <x v="56"/>
    <x v="5"/>
    <x v="0"/>
    <n v="422"/>
    <d v="2023-02-27T00:00:00"/>
    <x v="0"/>
    <x v="2"/>
    <d v="1899-12-30T15:35:48"/>
    <x v="81"/>
    <s v="March"/>
    <d v="1899-12-30T08:38:56"/>
    <x v="11"/>
    <x v="5"/>
    <n v="2110"/>
    <n v="2"/>
  </r>
  <r>
    <x v="109"/>
    <x v="64"/>
    <n v="26"/>
    <x v="42"/>
    <x v="2"/>
    <x v="1"/>
    <n v="289"/>
    <d v="2023-03-04T00:00:00"/>
    <x v="5"/>
    <x v="3"/>
    <d v="1899-12-30T11:23:44"/>
    <x v="82"/>
    <s v="March"/>
    <d v="1899-12-30T08:27:31"/>
    <x v="91"/>
    <x v="5"/>
    <n v="578"/>
    <n v="9"/>
  </r>
  <r>
    <x v="110"/>
    <x v="6"/>
    <n v="8"/>
    <x v="24"/>
    <x v="1"/>
    <x v="3"/>
    <n v="252"/>
    <d v="2023-06-21T00:00:00"/>
    <x v="11"/>
    <x v="5"/>
    <d v="1899-12-30T14:18:57"/>
    <x v="83"/>
    <s v="June"/>
    <d v="1899-12-30T21:03:57"/>
    <x v="92"/>
    <x v="0"/>
    <n v="756"/>
    <n v="4"/>
  </r>
  <r>
    <x v="111"/>
    <x v="40"/>
    <n v="37"/>
    <x v="28"/>
    <x v="2"/>
    <x v="3"/>
    <n v="1428"/>
    <d v="2023-11-11T00:00:00"/>
    <x v="1"/>
    <x v="3"/>
    <d v="1899-12-30T06:36:04"/>
    <x v="6"/>
    <s v="November"/>
    <d v="1899-12-30T15:50:59"/>
    <x v="93"/>
    <x v="1"/>
    <n v="4284"/>
    <n v="3"/>
  </r>
  <r>
    <x v="112"/>
    <x v="57"/>
    <n v="1"/>
    <x v="48"/>
    <x v="4"/>
    <x v="3"/>
    <n v="1935"/>
    <d v="2023-11-14T00:00:00"/>
    <x v="1"/>
    <x v="1"/>
    <d v="1899-12-30T15:30:30"/>
    <x v="84"/>
    <s v="November"/>
    <d v="1899-12-30T04:26:47"/>
    <x v="26"/>
    <x v="6"/>
    <n v="5805"/>
    <n v="9"/>
  </r>
  <r>
    <x v="113"/>
    <x v="6"/>
    <n v="40"/>
    <x v="46"/>
    <x v="1"/>
    <x v="2"/>
    <n v="1923"/>
    <d v="2023-02-03T00:00:00"/>
    <x v="0"/>
    <x v="0"/>
    <d v="1899-12-30T16:03:15"/>
    <x v="85"/>
    <s v="February"/>
    <d v="1899-12-30T02:22:48"/>
    <x v="94"/>
    <x v="0"/>
    <n v="7692"/>
    <n v="4"/>
  </r>
  <r>
    <x v="114"/>
    <x v="42"/>
    <n v="57"/>
    <x v="57"/>
    <x v="2"/>
    <x v="4"/>
    <n v="1582"/>
    <d v="2023-04-28T00:00:00"/>
    <x v="9"/>
    <x v="0"/>
    <d v="1899-12-30T18:11:22"/>
    <x v="86"/>
    <s v="May"/>
    <d v="1899-12-30T11:36:31"/>
    <x v="95"/>
    <x v="2"/>
    <n v="1582"/>
    <n v="7"/>
  </r>
  <r>
    <x v="115"/>
    <x v="6"/>
    <n v="4"/>
    <x v="44"/>
    <x v="1"/>
    <x v="3"/>
    <n v="1199"/>
    <d v="2023-11-11T00:00:00"/>
    <x v="1"/>
    <x v="3"/>
    <d v="1899-12-30T14:28:05"/>
    <x v="87"/>
    <s v="November"/>
    <d v="1899-12-30T05:25:26"/>
    <x v="96"/>
    <x v="1"/>
    <n v="3597"/>
    <n v="9"/>
  </r>
  <r>
    <x v="116"/>
    <x v="47"/>
    <n v="59"/>
    <x v="58"/>
    <x v="3"/>
    <x v="3"/>
    <n v="811"/>
    <d v="2023-08-20T00:00:00"/>
    <x v="3"/>
    <x v="4"/>
    <d v="1899-12-30T18:50:05"/>
    <x v="88"/>
    <s v="August"/>
    <d v="1899-12-30T03:43:01"/>
    <x v="97"/>
    <x v="4"/>
    <n v="2433"/>
    <n v="2"/>
  </r>
  <r>
    <x v="117"/>
    <x v="65"/>
    <n v="62"/>
    <x v="14"/>
    <x v="2"/>
    <x v="4"/>
    <n v="1356"/>
    <d v="2023-02-27T00:00:00"/>
    <x v="0"/>
    <x v="2"/>
    <d v="1899-12-30T14:30:59"/>
    <x v="0"/>
    <s v="March"/>
    <d v="1899-12-30T10:32:52"/>
    <x v="39"/>
    <x v="5"/>
    <n v="1356"/>
    <n v="6"/>
  </r>
  <r>
    <x v="118"/>
    <x v="53"/>
    <n v="6"/>
    <x v="20"/>
    <x v="3"/>
    <x v="2"/>
    <n v="1112"/>
    <d v="2023-03-04T00:00:00"/>
    <x v="5"/>
    <x v="3"/>
    <d v="1899-12-30T11:02:10"/>
    <x v="21"/>
    <s v="March"/>
    <d v="1899-12-30T12:22:18"/>
    <x v="98"/>
    <x v="5"/>
    <n v="4448"/>
    <n v="8"/>
  </r>
  <r>
    <x v="119"/>
    <x v="49"/>
    <n v="61"/>
    <x v="33"/>
    <x v="5"/>
    <x v="4"/>
    <n v="810"/>
    <d v="2023-12-25T00:00:00"/>
    <x v="6"/>
    <x v="2"/>
    <d v="1899-12-30T22:26:37"/>
    <x v="89"/>
    <s v="December"/>
    <d v="1899-12-30T09:57:24"/>
    <x v="70"/>
    <x v="0"/>
    <n v="810"/>
    <n v="6"/>
  </r>
  <r>
    <x v="120"/>
    <x v="66"/>
    <n v="33"/>
    <x v="59"/>
    <x v="2"/>
    <x v="3"/>
    <n v="314"/>
    <d v="2023-02-05T00:00:00"/>
    <x v="0"/>
    <x v="4"/>
    <d v="1899-12-30T02:18:55"/>
    <x v="90"/>
    <s v="February"/>
    <d v="1899-12-30T07:29:31"/>
    <x v="99"/>
    <x v="3"/>
    <n v="942"/>
    <n v="4"/>
  </r>
  <r>
    <x v="121"/>
    <x v="67"/>
    <n v="24"/>
    <x v="54"/>
    <x v="6"/>
    <x v="0"/>
    <n v="535"/>
    <d v="2023-10-03T00:00:00"/>
    <x v="10"/>
    <x v="1"/>
    <d v="1899-12-30T09:04:23"/>
    <x v="91"/>
    <s v="October"/>
    <d v="1899-12-30T03:15:14"/>
    <x v="100"/>
    <x v="2"/>
    <n v="2675"/>
    <n v="10"/>
  </r>
  <r>
    <x v="122"/>
    <x v="68"/>
    <n v="38"/>
    <x v="10"/>
    <x v="3"/>
    <x v="4"/>
    <n v="562"/>
    <d v="2023-01-15T00:00:00"/>
    <x v="8"/>
    <x v="4"/>
    <d v="1899-12-30T00:31:09"/>
    <x v="92"/>
    <s v="January"/>
    <d v="1899-12-30T04:58:43"/>
    <x v="101"/>
    <x v="2"/>
    <n v="562"/>
    <n v="10"/>
  </r>
  <r>
    <x v="123"/>
    <x v="69"/>
    <n v="67"/>
    <x v="0"/>
    <x v="0"/>
    <x v="2"/>
    <n v="1374"/>
    <d v="2023-07-21T00:00:00"/>
    <x v="2"/>
    <x v="0"/>
    <d v="1899-12-30T08:44:55"/>
    <x v="93"/>
    <s v="July"/>
    <d v="1899-12-30T05:23:44"/>
    <x v="102"/>
    <x v="0"/>
    <n v="5496"/>
    <n v="2"/>
  </r>
  <r>
    <x v="124"/>
    <x v="37"/>
    <n v="31"/>
    <x v="43"/>
    <x v="2"/>
    <x v="1"/>
    <n v="1804"/>
    <d v="2023-03-19T00:00:00"/>
    <x v="5"/>
    <x v="4"/>
    <d v="1899-12-30T09:12:11"/>
    <x v="94"/>
    <s v="March"/>
    <d v="1899-12-30T14:36:11"/>
    <x v="103"/>
    <x v="6"/>
    <n v="3608"/>
    <n v="6"/>
  </r>
  <r>
    <x v="125"/>
    <x v="5"/>
    <n v="19"/>
    <x v="27"/>
    <x v="6"/>
    <x v="0"/>
    <n v="1234"/>
    <d v="2023-02-04T00:00:00"/>
    <x v="0"/>
    <x v="3"/>
    <d v="1899-12-30T02:28:24"/>
    <x v="43"/>
    <s v="February"/>
    <d v="1899-12-30T13:16:38"/>
    <x v="104"/>
    <x v="3"/>
    <n v="6170"/>
    <n v="9"/>
  </r>
  <r>
    <x v="126"/>
    <x v="70"/>
    <n v="60"/>
    <x v="12"/>
    <x v="1"/>
    <x v="2"/>
    <n v="827"/>
    <d v="2023-11-02T00:00:00"/>
    <x v="1"/>
    <x v="6"/>
    <d v="1899-12-30T14:04:38"/>
    <x v="95"/>
    <s v="November"/>
    <d v="1899-12-30T19:25:01"/>
    <x v="105"/>
    <x v="1"/>
    <n v="3308"/>
    <n v="1"/>
  </r>
  <r>
    <x v="127"/>
    <x v="10"/>
    <n v="12"/>
    <x v="17"/>
    <x v="5"/>
    <x v="3"/>
    <n v="672"/>
    <d v="2023-03-06T00:00:00"/>
    <x v="5"/>
    <x v="2"/>
    <d v="1899-12-30T16:50:28"/>
    <x v="82"/>
    <s v="March"/>
    <d v="1899-12-30T15:11:19"/>
    <x v="93"/>
    <x v="0"/>
    <n v="2016"/>
    <n v="7"/>
  </r>
  <r>
    <x v="128"/>
    <x v="70"/>
    <n v="67"/>
    <x v="0"/>
    <x v="0"/>
    <x v="1"/>
    <n v="1374"/>
    <d v="2023-02-17T00:00:00"/>
    <x v="0"/>
    <x v="0"/>
    <d v="1899-12-30T05:21:30"/>
    <x v="14"/>
    <s v="February"/>
    <d v="1899-12-30T08:17:32"/>
    <x v="92"/>
    <x v="0"/>
    <n v="2748"/>
    <n v="3"/>
  </r>
  <r>
    <x v="129"/>
    <x v="71"/>
    <n v="10"/>
    <x v="22"/>
    <x v="3"/>
    <x v="0"/>
    <n v="259"/>
    <d v="2023-04-22T00:00:00"/>
    <x v="9"/>
    <x v="3"/>
    <d v="1899-12-30T13:32:41"/>
    <x v="96"/>
    <s v="April"/>
    <d v="1899-12-30T22:01:54"/>
    <x v="54"/>
    <x v="2"/>
    <n v="1295"/>
    <n v="5"/>
  </r>
  <r>
    <x v="130"/>
    <x v="4"/>
    <n v="3"/>
    <x v="52"/>
    <x v="2"/>
    <x v="0"/>
    <n v="1534"/>
    <d v="2023-02-04T00:00:00"/>
    <x v="0"/>
    <x v="3"/>
    <d v="1899-12-30T20:30:50"/>
    <x v="68"/>
    <s v="February"/>
    <d v="1899-12-30T08:29:03"/>
    <x v="106"/>
    <x v="3"/>
    <n v="7670"/>
    <n v="7"/>
  </r>
  <r>
    <x v="131"/>
    <x v="41"/>
    <n v="49"/>
    <x v="32"/>
    <x v="2"/>
    <x v="2"/>
    <n v="903"/>
    <d v="2023-02-04T00:00:00"/>
    <x v="0"/>
    <x v="3"/>
    <d v="1899-12-30T23:23:41"/>
    <x v="43"/>
    <s v="February"/>
    <d v="1899-12-30T19:55:48"/>
    <x v="107"/>
    <x v="3"/>
    <n v="3612"/>
    <n v="9"/>
  </r>
  <r>
    <x v="132"/>
    <x v="21"/>
    <n v="43"/>
    <x v="6"/>
    <x v="0"/>
    <x v="0"/>
    <n v="750"/>
    <d v="2023-11-10T00:00:00"/>
    <x v="1"/>
    <x v="0"/>
    <d v="1899-12-30T15:51:54"/>
    <x v="38"/>
    <s v="November"/>
    <d v="1899-12-30T11:22:51"/>
    <x v="108"/>
    <x v="1"/>
    <n v="3750"/>
    <n v="6"/>
  </r>
  <r>
    <x v="133"/>
    <x v="39"/>
    <n v="69"/>
    <x v="55"/>
    <x v="3"/>
    <x v="0"/>
    <n v="998"/>
    <d v="2023-03-05T00:00:00"/>
    <x v="5"/>
    <x v="4"/>
    <d v="1899-12-30T19:12:46"/>
    <x v="27"/>
    <s v="March"/>
    <d v="1899-12-30T04:58:29"/>
    <x v="73"/>
    <x v="5"/>
    <n v="4990"/>
    <n v="9"/>
  </r>
  <r>
    <x v="134"/>
    <x v="72"/>
    <n v="30"/>
    <x v="19"/>
    <x v="2"/>
    <x v="1"/>
    <n v="751"/>
    <d v="2023-12-13T00:00:00"/>
    <x v="6"/>
    <x v="5"/>
    <d v="1899-12-30T10:20:09"/>
    <x v="97"/>
    <s v="December"/>
    <d v="1899-12-30T15:43:20"/>
    <x v="109"/>
    <x v="0"/>
    <n v="1502"/>
    <n v="1"/>
  </r>
  <r>
    <x v="135"/>
    <x v="39"/>
    <n v="56"/>
    <x v="8"/>
    <x v="0"/>
    <x v="4"/>
    <n v="1272"/>
    <d v="2023-09-05T00:00:00"/>
    <x v="7"/>
    <x v="1"/>
    <d v="1899-12-30T16:08:59"/>
    <x v="98"/>
    <s v="September"/>
    <d v="1899-12-30T22:12:18"/>
    <x v="41"/>
    <x v="0"/>
    <n v="1272"/>
    <n v="4"/>
  </r>
  <r>
    <x v="136"/>
    <x v="71"/>
    <n v="47"/>
    <x v="49"/>
    <x v="2"/>
    <x v="1"/>
    <n v="1638"/>
    <d v="2023-03-05T00:00:00"/>
    <x v="5"/>
    <x v="4"/>
    <d v="1899-12-30T16:06:24"/>
    <x v="57"/>
    <s v="March"/>
    <d v="1899-12-30T07:29:21"/>
    <x v="79"/>
    <x v="5"/>
    <n v="3276"/>
    <n v="6"/>
  </r>
  <r>
    <x v="137"/>
    <x v="73"/>
    <n v="57"/>
    <x v="57"/>
    <x v="2"/>
    <x v="2"/>
    <n v="1582"/>
    <d v="2023-03-11T00:00:00"/>
    <x v="5"/>
    <x v="3"/>
    <d v="1899-12-30T09:33:56"/>
    <x v="99"/>
    <s v="March"/>
    <d v="1899-12-30T06:02:40"/>
    <x v="110"/>
    <x v="2"/>
    <n v="6328"/>
    <n v="7"/>
  </r>
  <r>
    <x v="138"/>
    <x v="28"/>
    <n v="54"/>
    <x v="30"/>
    <x v="3"/>
    <x v="2"/>
    <n v="1236"/>
    <d v="2023-05-11T00:00:00"/>
    <x v="4"/>
    <x v="6"/>
    <d v="1899-12-30T04:14:45"/>
    <x v="100"/>
    <s v="May"/>
    <d v="1899-12-30T18:12:44"/>
    <x v="111"/>
    <x v="0"/>
    <n v="4944"/>
    <n v="5"/>
  </r>
  <r>
    <x v="139"/>
    <x v="46"/>
    <n v="47"/>
    <x v="49"/>
    <x v="2"/>
    <x v="4"/>
    <n v="1638"/>
    <d v="2023-03-04T00:00:00"/>
    <x v="5"/>
    <x v="3"/>
    <d v="1899-12-30T06:19:35"/>
    <x v="82"/>
    <s v="March"/>
    <d v="1899-12-30T21:29:35"/>
    <x v="112"/>
    <x v="5"/>
    <n v="1638"/>
    <n v="9"/>
  </r>
  <r>
    <x v="140"/>
    <x v="52"/>
    <n v="35"/>
    <x v="31"/>
    <x v="2"/>
    <x v="2"/>
    <n v="1865"/>
    <d v="2023-02-28T00:00:00"/>
    <x v="0"/>
    <x v="1"/>
    <d v="1899-12-30T03:55:06"/>
    <x v="101"/>
    <s v="March"/>
    <d v="1899-12-30T02:31:56"/>
    <x v="113"/>
    <x v="5"/>
    <n v="7460"/>
    <n v="10"/>
  </r>
  <r>
    <x v="141"/>
    <x v="2"/>
    <n v="23"/>
    <x v="13"/>
    <x v="1"/>
    <x v="1"/>
    <n v="1098"/>
    <d v="2023-10-23T00:00:00"/>
    <x v="10"/>
    <x v="2"/>
    <d v="1899-12-30T02:31:13"/>
    <x v="102"/>
    <s v="October"/>
    <d v="1899-12-30T04:24:16"/>
    <x v="112"/>
    <x v="0"/>
    <n v="2196"/>
    <n v="4"/>
  </r>
  <r>
    <x v="142"/>
    <x v="72"/>
    <n v="66"/>
    <x v="26"/>
    <x v="2"/>
    <x v="1"/>
    <n v="610"/>
    <d v="2023-02-28T00:00:00"/>
    <x v="0"/>
    <x v="1"/>
    <d v="1899-12-30T07:37:18"/>
    <x v="101"/>
    <s v="March"/>
    <d v="1899-12-30T14:49:54"/>
    <x v="114"/>
    <x v="5"/>
    <n v="1220"/>
    <n v="10"/>
  </r>
  <r>
    <x v="143"/>
    <x v="18"/>
    <n v="51"/>
    <x v="38"/>
    <x v="4"/>
    <x v="0"/>
    <n v="1084"/>
    <d v="2023-01-18T00:00:00"/>
    <x v="8"/>
    <x v="5"/>
    <d v="1899-12-30T09:01:03"/>
    <x v="103"/>
    <s v="January"/>
    <d v="1899-12-30T03:23:15"/>
    <x v="115"/>
    <x v="6"/>
    <n v="5420"/>
    <n v="5"/>
  </r>
  <r>
    <x v="144"/>
    <x v="28"/>
    <n v="59"/>
    <x v="58"/>
    <x v="3"/>
    <x v="0"/>
    <n v="811"/>
    <d v="2023-08-29T00:00:00"/>
    <x v="3"/>
    <x v="1"/>
    <d v="1899-12-30T16:52:56"/>
    <x v="104"/>
    <s v="September"/>
    <d v="1899-12-30T13:04:25"/>
    <x v="116"/>
    <x v="4"/>
    <n v="4055"/>
    <n v="5"/>
  </r>
  <r>
    <x v="145"/>
    <x v="69"/>
    <n v="52"/>
    <x v="15"/>
    <x v="0"/>
    <x v="0"/>
    <n v="236"/>
    <d v="2023-02-13T00:00:00"/>
    <x v="0"/>
    <x v="2"/>
    <d v="1899-12-30T18:23:55"/>
    <x v="33"/>
    <s v="February"/>
    <d v="1899-12-30T04:07:37"/>
    <x v="117"/>
    <x v="3"/>
    <n v="1180"/>
    <n v="3"/>
  </r>
  <r>
    <x v="146"/>
    <x v="32"/>
    <n v="8"/>
    <x v="24"/>
    <x v="1"/>
    <x v="2"/>
    <n v="252"/>
    <d v="2023-03-17T00:00:00"/>
    <x v="5"/>
    <x v="0"/>
    <d v="1899-12-30T19:28:15"/>
    <x v="73"/>
    <s v="March"/>
    <d v="1899-12-30T13:51:11"/>
    <x v="118"/>
    <x v="0"/>
    <n v="1008"/>
    <n v="6"/>
  </r>
  <r>
    <x v="147"/>
    <x v="33"/>
    <n v="24"/>
    <x v="54"/>
    <x v="6"/>
    <x v="3"/>
    <n v="535"/>
    <d v="2023-12-05T00:00:00"/>
    <x v="6"/>
    <x v="1"/>
    <d v="1899-12-30T02:09:08"/>
    <x v="105"/>
    <s v="December"/>
    <d v="1899-12-30T08:57:38"/>
    <x v="119"/>
    <x v="2"/>
    <n v="1605"/>
    <n v="2"/>
  </r>
  <r>
    <x v="148"/>
    <x v="54"/>
    <n v="5"/>
    <x v="36"/>
    <x v="2"/>
    <x v="3"/>
    <n v="1444"/>
    <d v="2023-10-06T00:00:00"/>
    <x v="10"/>
    <x v="0"/>
    <d v="1899-12-30T23:23:09"/>
    <x v="106"/>
    <s v="October"/>
    <d v="1899-12-30T20:09:12"/>
    <x v="120"/>
    <x v="6"/>
    <n v="4332"/>
    <n v="3"/>
  </r>
  <r>
    <x v="149"/>
    <x v="74"/>
    <n v="27"/>
    <x v="7"/>
    <x v="3"/>
    <x v="0"/>
    <n v="548"/>
    <d v="2023-08-26T00:00:00"/>
    <x v="3"/>
    <x v="3"/>
    <d v="1899-12-30T07:18:17"/>
    <x v="7"/>
    <s v="August"/>
    <d v="1899-12-30T16:56:13"/>
    <x v="121"/>
    <x v="4"/>
    <n v="2740"/>
    <n v="3"/>
  </r>
  <r>
    <x v="150"/>
    <x v="70"/>
    <n v="43"/>
    <x v="6"/>
    <x v="0"/>
    <x v="4"/>
    <n v="750"/>
    <d v="2023-11-03T00:00:00"/>
    <x v="1"/>
    <x v="0"/>
    <d v="1899-12-30T21:42:26"/>
    <x v="47"/>
    <s v="November"/>
    <d v="1899-12-30T03:56:02"/>
    <x v="122"/>
    <x v="1"/>
    <n v="750"/>
    <n v="7"/>
  </r>
  <r>
    <x v="151"/>
    <x v="75"/>
    <n v="51"/>
    <x v="38"/>
    <x v="4"/>
    <x v="1"/>
    <n v="1084"/>
    <d v="2023-02-27T00:00:00"/>
    <x v="0"/>
    <x v="2"/>
    <d v="1899-12-30T10:48:51"/>
    <x v="0"/>
    <s v="March"/>
    <d v="1899-12-30T16:39:22"/>
    <x v="108"/>
    <x v="6"/>
    <n v="2168"/>
    <n v="6"/>
  </r>
  <r>
    <x v="152"/>
    <x v="76"/>
    <n v="16"/>
    <x v="9"/>
    <x v="1"/>
    <x v="2"/>
    <n v="1721"/>
    <d v="2023-03-04T00:00:00"/>
    <x v="5"/>
    <x v="3"/>
    <d v="1899-12-30T12:15:00"/>
    <x v="101"/>
    <s v="March"/>
    <d v="1899-12-30T06:04:43"/>
    <x v="123"/>
    <x v="5"/>
    <n v="6884"/>
    <n v="6"/>
  </r>
  <r>
    <x v="153"/>
    <x v="77"/>
    <n v="45"/>
    <x v="5"/>
    <x v="0"/>
    <x v="0"/>
    <n v="722"/>
    <d v="2023-11-21T00:00:00"/>
    <x v="1"/>
    <x v="1"/>
    <d v="1899-12-30T23:14:18"/>
    <x v="107"/>
    <s v="November"/>
    <d v="1899-12-30T02:04:59"/>
    <x v="33"/>
    <x v="2"/>
    <n v="3610"/>
    <n v="4"/>
  </r>
  <r>
    <x v="154"/>
    <x v="40"/>
    <n v="23"/>
    <x v="13"/>
    <x v="1"/>
    <x v="3"/>
    <n v="1098"/>
    <d v="2023-05-01T00:00:00"/>
    <x v="4"/>
    <x v="2"/>
    <d v="1899-12-30T14:46:58"/>
    <x v="18"/>
    <s v="May"/>
    <d v="1899-12-30T00:00:30"/>
    <x v="124"/>
    <x v="0"/>
    <n v="3294"/>
    <n v="5"/>
  </r>
  <r>
    <x v="155"/>
    <x v="69"/>
    <n v="61"/>
    <x v="33"/>
    <x v="5"/>
    <x v="1"/>
    <n v="810"/>
    <d v="2023-02-09T00:00:00"/>
    <x v="0"/>
    <x v="6"/>
    <d v="1899-12-30T08:20:50"/>
    <x v="17"/>
    <s v="February"/>
    <d v="1899-12-30T10:49:14"/>
    <x v="85"/>
    <x v="0"/>
    <n v="1620"/>
    <n v="3"/>
  </r>
  <r>
    <x v="156"/>
    <x v="1"/>
    <n v="35"/>
    <x v="31"/>
    <x v="2"/>
    <x v="3"/>
    <n v="1865"/>
    <d v="2023-02-26T00:00:00"/>
    <x v="0"/>
    <x v="4"/>
    <d v="1899-12-30T12:44:17"/>
    <x v="44"/>
    <s v="March"/>
    <d v="1899-12-30T11:35:44"/>
    <x v="53"/>
    <x v="5"/>
    <n v="5595"/>
    <n v="8"/>
  </r>
  <r>
    <x v="157"/>
    <x v="78"/>
    <n v="35"/>
    <x v="31"/>
    <x v="2"/>
    <x v="1"/>
    <n v="1865"/>
    <d v="2023-03-03T00:00:00"/>
    <x v="5"/>
    <x v="0"/>
    <d v="1899-12-30T15:40:17"/>
    <x v="8"/>
    <s v="March"/>
    <d v="1899-12-30T02:53:01"/>
    <x v="125"/>
    <x v="5"/>
    <n v="3730"/>
    <n v="5"/>
  </r>
  <r>
    <x v="158"/>
    <x v="42"/>
    <n v="43"/>
    <x v="6"/>
    <x v="0"/>
    <x v="3"/>
    <n v="750"/>
    <d v="2023-11-09T00:00:00"/>
    <x v="1"/>
    <x v="6"/>
    <d v="1899-12-30T21:31:39"/>
    <x v="108"/>
    <s v="November"/>
    <d v="1899-12-30T04:55:56"/>
    <x v="126"/>
    <x v="1"/>
    <n v="2250"/>
    <n v="2"/>
  </r>
  <r>
    <x v="159"/>
    <x v="0"/>
    <n v="36"/>
    <x v="37"/>
    <x v="5"/>
    <x v="3"/>
    <n v="203"/>
    <d v="2023-06-02T00:00:00"/>
    <x v="11"/>
    <x v="0"/>
    <d v="1899-12-30T00:28:57"/>
    <x v="31"/>
    <s v="June"/>
    <d v="1899-12-30T07:52:59"/>
    <x v="15"/>
    <x v="2"/>
    <n v="609"/>
    <n v="8"/>
  </r>
  <r>
    <x v="160"/>
    <x v="19"/>
    <n v="58"/>
    <x v="3"/>
    <x v="3"/>
    <x v="3"/>
    <n v="1492"/>
    <d v="2023-02-13T00:00:00"/>
    <x v="0"/>
    <x v="2"/>
    <d v="1899-12-30T03:08:06"/>
    <x v="16"/>
    <s v="February"/>
    <d v="1899-12-30T23:12:01"/>
    <x v="127"/>
    <x v="3"/>
    <n v="4476"/>
    <n v="1"/>
  </r>
  <r>
    <x v="161"/>
    <x v="49"/>
    <n v="55"/>
    <x v="60"/>
    <x v="4"/>
    <x v="3"/>
    <n v="1904"/>
    <d v="2023-08-27T00:00:00"/>
    <x v="3"/>
    <x v="4"/>
    <d v="1899-12-30T06:14:31"/>
    <x v="109"/>
    <s v="September"/>
    <d v="1899-12-30T15:53:45"/>
    <x v="128"/>
    <x v="4"/>
    <n v="5712"/>
    <n v="9"/>
  </r>
  <r>
    <x v="162"/>
    <x v="67"/>
    <n v="54"/>
    <x v="30"/>
    <x v="3"/>
    <x v="2"/>
    <n v="1236"/>
    <d v="2023-02-17T00:00:00"/>
    <x v="0"/>
    <x v="0"/>
    <d v="1899-12-30T19:50:10"/>
    <x v="110"/>
    <s v="February"/>
    <d v="1899-12-30T10:20:16"/>
    <x v="129"/>
    <x v="0"/>
    <n v="4944"/>
    <n v="8"/>
  </r>
  <r>
    <x v="163"/>
    <x v="23"/>
    <n v="14"/>
    <x v="2"/>
    <x v="2"/>
    <x v="0"/>
    <n v="1915"/>
    <d v="2023-04-25T00:00:00"/>
    <x v="9"/>
    <x v="1"/>
    <d v="1899-12-30T02:04:02"/>
    <x v="96"/>
    <s v="April"/>
    <d v="1899-12-30T11:49:33"/>
    <x v="90"/>
    <x v="2"/>
    <n v="9575"/>
    <n v="2"/>
  </r>
  <r>
    <x v="164"/>
    <x v="44"/>
    <n v="40"/>
    <x v="46"/>
    <x v="1"/>
    <x v="0"/>
    <n v="1923"/>
    <d v="2023-08-06T00:00:00"/>
    <x v="3"/>
    <x v="4"/>
    <d v="1899-12-30T13:11:16"/>
    <x v="111"/>
    <s v="August"/>
    <d v="1899-12-30T08:37:14"/>
    <x v="130"/>
    <x v="0"/>
    <n v="9615"/>
    <n v="4"/>
  </r>
  <r>
    <x v="165"/>
    <x v="65"/>
    <n v="4"/>
    <x v="44"/>
    <x v="1"/>
    <x v="3"/>
    <n v="1199"/>
    <d v="2023-11-07T00:00:00"/>
    <x v="1"/>
    <x v="1"/>
    <d v="1899-12-30T23:05:28"/>
    <x v="47"/>
    <s v="November"/>
    <d v="1899-12-30T06:12:46"/>
    <x v="131"/>
    <x v="1"/>
    <n v="3597"/>
    <n v="3"/>
  </r>
  <r>
    <x v="166"/>
    <x v="1"/>
    <n v="37"/>
    <x v="28"/>
    <x v="2"/>
    <x v="2"/>
    <n v="1428"/>
    <d v="2023-11-04T00:00:00"/>
    <x v="1"/>
    <x v="3"/>
    <d v="1899-12-30T01:26:51"/>
    <x v="112"/>
    <s v="November"/>
    <d v="1899-12-30T15:16:27"/>
    <x v="43"/>
    <x v="1"/>
    <n v="5712"/>
    <n v="3"/>
  </r>
  <r>
    <x v="167"/>
    <x v="74"/>
    <n v="35"/>
    <x v="31"/>
    <x v="2"/>
    <x v="1"/>
    <n v="1865"/>
    <d v="2023-03-04T00:00:00"/>
    <x v="5"/>
    <x v="3"/>
    <d v="1899-12-30T15:36:03"/>
    <x v="32"/>
    <s v="March"/>
    <d v="1899-12-30T11:02:42"/>
    <x v="121"/>
    <x v="5"/>
    <n v="3730"/>
    <n v="3"/>
  </r>
  <r>
    <x v="168"/>
    <x v="70"/>
    <n v="3"/>
    <x v="52"/>
    <x v="2"/>
    <x v="1"/>
    <n v="1534"/>
    <d v="2023-02-06T00:00:00"/>
    <x v="0"/>
    <x v="2"/>
    <d v="1899-12-30T10:28:57"/>
    <x v="33"/>
    <s v="February"/>
    <d v="1899-12-30T01:26:19"/>
    <x v="64"/>
    <x v="3"/>
    <n v="3068"/>
    <n v="10"/>
  </r>
  <r>
    <x v="169"/>
    <x v="5"/>
    <n v="32"/>
    <x v="16"/>
    <x v="4"/>
    <x v="1"/>
    <n v="1792"/>
    <d v="2023-03-21T00:00:00"/>
    <x v="5"/>
    <x v="1"/>
    <d v="1899-12-30T11:58:13"/>
    <x v="113"/>
    <s v="March"/>
    <d v="1899-12-30T05:14:07"/>
    <x v="132"/>
    <x v="2"/>
    <n v="3584"/>
    <n v="6"/>
  </r>
  <r>
    <x v="170"/>
    <x v="27"/>
    <n v="54"/>
    <x v="30"/>
    <x v="3"/>
    <x v="3"/>
    <n v="1236"/>
    <d v="2023-06-30T00:00:00"/>
    <x v="11"/>
    <x v="0"/>
    <d v="1899-12-30T11:47:49"/>
    <x v="114"/>
    <s v="July"/>
    <d v="1899-12-30T12:27:06"/>
    <x v="133"/>
    <x v="0"/>
    <n v="3708"/>
    <n v="8"/>
  </r>
  <r>
    <x v="171"/>
    <x v="71"/>
    <n v="62"/>
    <x v="14"/>
    <x v="2"/>
    <x v="2"/>
    <n v="1356"/>
    <d v="2023-03-03T00:00:00"/>
    <x v="5"/>
    <x v="0"/>
    <d v="1899-12-30T04:40:04"/>
    <x v="8"/>
    <s v="March"/>
    <d v="1899-12-30T05:12:47"/>
    <x v="134"/>
    <x v="5"/>
    <n v="5424"/>
    <n v="5"/>
  </r>
  <r>
    <x v="172"/>
    <x v="16"/>
    <n v="58"/>
    <x v="3"/>
    <x v="3"/>
    <x v="1"/>
    <n v="1492"/>
    <d v="2023-02-07T00:00:00"/>
    <x v="0"/>
    <x v="1"/>
    <d v="1899-12-30T23:15:37"/>
    <x v="43"/>
    <s v="February"/>
    <d v="1899-12-30T01:51:53"/>
    <x v="135"/>
    <x v="3"/>
    <n v="2984"/>
    <n v="6"/>
  </r>
  <r>
    <x v="173"/>
    <x v="66"/>
    <n v="4"/>
    <x v="44"/>
    <x v="1"/>
    <x v="3"/>
    <n v="1199"/>
    <d v="2023-11-03T00:00:00"/>
    <x v="1"/>
    <x v="0"/>
    <d v="1899-12-30T15:39:20"/>
    <x v="1"/>
    <s v="November"/>
    <d v="1899-12-30T18:06:46"/>
    <x v="73"/>
    <x v="1"/>
    <n v="3597"/>
    <n v="10"/>
  </r>
  <r>
    <x v="174"/>
    <x v="12"/>
    <n v="31"/>
    <x v="43"/>
    <x v="2"/>
    <x v="4"/>
    <n v="1804"/>
    <d v="2023-10-13T00:00:00"/>
    <x v="10"/>
    <x v="0"/>
    <d v="1899-12-30T01:17:47"/>
    <x v="115"/>
    <s v="October"/>
    <d v="1899-12-30T07:22:52"/>
    <x v="136"/>
    <x v="6"/>
    <n v="1804"/>
    <n v="7"/>
  </r>
  <r>
    <x v="175"/>
    <x v="61"/>
    <n v="17"/>
    <x v="25"/>
    <x v="4"/>
    <x v="1"/>
    <n v="1899"/>
    <d v="2023-03-10T00:00:00"/>
    <x v="5"/>
    <x v="0"/>
    <d v="1899-12-30T03:34:46"/>
    <x v="116"/>
    <s v="March"/>
    <d v="1899-12-30T17:24:51"/>
    <x v="15"/>
    <x v="0"/>
    <n v="3798"/>
    <n v="6"/>
  </r>
  <r>
    <x v="176"/>
    <x v="79"/>
    <n v="62"/>
    <x v="14"/>
    <x v="2"/>
    <x v="2"/>
    <n v="1356"/>
    <d v="2023-03-05T00:00:00"/>
    <x v="5"/>
    <x v="4"/>
    <d v="1899-12-30T01:49:12"/>
    <x v="32"/>
    <s v="March"/>
    <d v="1899-12-30T14:50:42"/>
    <x v="106"/>
    <x v="5"/>
    <n v="5424"/>
    <n v="2"/>
  </r>
  <r>
    <x v="177"/>
    <x v="7"/>
    <n v="61"/>
    <x v="33"/>
    <x v="5"/>
    <x v="4"/>
    <n v="810"/>
    <d v="2023-11-14T00:00:00"/>
    <x v="1"/>
    <x v="1"/>
    <d v="1899-12-30T23:04:31"/>
    <x v="38"/>
    <s v="November"/>
    <d v="1899-12-30T02:14:23"/>
    <x v="137"/>
    <x v="0"/>
    <n v="810"/>
    <n v="2"/>
  </r>
  <r>
    <x v="178"/>
    <x v="4"/>
    <n v="47"/>
    <x v="49"/>
    <x v="2"/>
    <x v="3"/>
    <n v="1638"/>
    <d v="2023-02-28T00:00:00"/>
    <x v="0"/>
    <x v="1"/>
    <d v="1899-12-30T15:16:02"/>
    <x v="101"/>
    <s v="March"/>
    <d v="1899-12-30T14:31:07"/>
    <x v="16"/>
    <x v="5"/>
    <n v="4914"/>
    <n v="10"/>
  </r>
  <r>
    <x v="179"/>
    <x v="44"/>
    <n v="55"/>
    <x v="60"/>
    <x v="4"/>
    <x v="1"/>
    <n v="1904"/>
    <d v="2023-08-24T00:00:00"/>
    <x v="3"/>
    <x v="6"/>
    <d v="1899-12-30T16:40:33"/>
    <x v="42"/>
    <s v="August"/>
    <d v="1899-12-30T08:45:14"/>
    <x v="138"/>
    <x v="4"/>
    <n v="3808"/>
    <n v="3"/>
  </r>
  <r>
    <x v="180"/>
    <x v="25"/>
    <n v="10"/>
    <x v="22"/>
    <x v="3"/>
    <x v="2"/>
    <n v="259"/>
    <d v="2023-08-28T00:00:00"/>
    <x v="3"/>
    <x v="2"/>
    <d v="1899-12-30T05:55:22"/>
    <x v="117"/>
    <s v="September"/>
    <d v="1899-12-30T04:53:28"/>
    <x v="96"/>
    <x v="2"/>
    <n v="1036"/>
    <n v="9"/>
  </r>
  <r>
    <x v="181"/>
    <x v="71"/>
    <n v="2"/>
    <x v="50"/>
    <x v="5"/>
    <x v="4"/>
    <n v="441"/>
    <d v="2023-02-08T00:00:00"/>
    <x v="0"/>
    <x v="5"/>
    <d v="1899-12-30T23:21:30"/>
    <x v="28"/>
    <s v="February"/>
    <d v="1899-12-30T06:07:33"/>
    <x v="139"/>
    <x v="3"/>
    <n v="441"/>
    <n v="7"/>
  </r>
  <r>
    <x v="182"/>
    <x v="63"/>
    <n v="48"/>
    <x v="29"/>
    <x v="2"/>
    <x v="3"/>
    <n v="433"/>
    <d v="2023-11-09T00:00:00"/>
    <x v="1"/>
    <x v="6"/>
    <d v="1899-12-30T18:11:41"/>
    <x v="108"/>
    <s v="November"/>
    <d v="1899-12-30T15:29:26"/>
    <x v="140"/>
    <x v="1"/>
    <n v="1299"/>
    <n v="2"/>
  </r>
  <r>
    <x v="183"/>
    <x v="80"/>
    <n v="52"/>
    <x v="15"/>
    <x v="0"/>
    <x v="3"/>
    <n v="236"/>
    <d v="2023-02-11T00:00:00"/>
    <x v="0"/>
    <x v="3"/>
    <d v="1899-12-30T21:34:53"/>
    <x v="14"/>
    <s v="February"/>
    <d v="1899-12-30T05:00:29"/>
    <x v="104"/>
    <x v="3"/>
    <n v="708"/>
    <n v="9"/>
  </r>
  <r>
    <x v="184"/>
    <x v="81"/>
    <n v="18"/>
    <x v="53"/>
    <x v="5"/>
    <x v="4"/>
    <n v="781"/>
    <d v="2023-05-07T00:00:00"/>
    <x v="4"/>
    <x v="4"/>
    <d v="1899-12-30T07:10:45"/>
    <x v="76"/>
    <s v="May"/>
    <d v="1899-12-30T20:00:43"/>
    <x v="141"/>
    <x v="2"/>
    <n v="781"/>
    <n v="10"/>
  </r>
  <r>
    <x v="185"/>
    <x v="66"/>
    <n v="61"/>
    <x v="33"/>
    <x v="5"/>
    <x v="4"/>
    <n v="810"/>
    <d v="2023-05-09T00:00:00"/>
    <x v="4"/>
    <x v="1"/>
    <d v="1899-12-30T09:09:44"/>
    <x v="118"/>
    <s v="May"/>
    <d v="1899-12-30T00:16:23"/>
    <x v="25"/>
    <x v="0"/>
    <n v="810"/>
    <n v="2"/>
  </r>
  <r>
    <x v="186"/>
    <x v="54"/>
    <n v="49"/>
    <x v="32"/>
    <x v="2"/>
    <x v="0"/>
    <n v="903"/>
    <d v="2023-02-11T00:00:00"/>
    <x v="0"/>
    <x v="3"/>
    <d v="1899-12-30T21:10:41"/>
    <x v="33"/>
    <s v="February"/>
    <d v="1899-12-30T09:34:09"/>
    <x v="142"/>
    <x v="3"/>
    <n v="4515"/>
    <n v="5"/>
  </r>
  <r>
    <x v="187"/>
    <x v="30"/>
    <n v="22"/>
    <x v="34"/>
    <x v="4"/>
    <x v="0"/>
    <n v="1639"/>
    <d v="2023-09-18T00:00:00"/>
    <x v="7"/>
    <x v="2"/>
    <d v="1899-12-30T01:38:33"/>
    <x v="119"/>
    <s v="September"/>
    <d v="1899-12-30T14:02:12"/>
    <x v="143"/>
    <x v="6"/>
    <n v="8195"/>
    <n v="7"/>
  </r>
  <r>
    <x v="188"/>
    <x v="82"/>
    <n v="57"/>
    <x v="57"/>
    <x v="2"/>
    <x v="4"/>
    <n v="1582"/>
    <d v="2023-11-19T00:00:00"/>
    <x v="1"/>
    <x v="4"/>
    <d v="1899-12-30T17:22:19"/>
    <x v="120"/>
    <s v="November"/>
    <d v="1899-12-30T13:21:54"/>
    <x v="144"/>
    <x v="2"/>
    <n v="1582"/>
    <n v="3"/>
  </r>
  <r>
    <x v="189"/>
    <x v="29"/>
    <n v="60"/>
    <x v="12"/>
    <x v="1"/>
    <x v="0"/>
    <n v="827"/>
    <d v="2023-11-09T00:00:00"/>
    <x v="1"/>
    <x v="6"/>
    <d v="1899-12-30T12:33:49"/>
    <x v="1"/>
    <s v="November"/>
    <d v="1899-12-30T13:41:24"/>
    <x v="54"/>
    <x v="1"/>
    <n v="4135"/>
    <n v="4"/>
  </r>
  <r>
    <x v="190"/>
    <x v="3"/>
    <n v="24"/>
    <x v="54"/>
    <x v="6"/>
    <x v="3"/>
    <n v="535"/>
    <d v="2023-10-12T00:00:00"/>
    <x v="10"/>
    <x v="6"/>
    <d v="1899-12-30T18:13:06"/>
    <x v="121"/>
    <s v="October"/>
    <d v="1899-12-30T08:50:02"/>
    <x v="145"/>
    <x v="2"/>
    <n v="1605"/>
    <n v="5"/>
  </r>
  <r>
    <x v="191"/>
    <x v="58"/>
    <n v="64"/>
    <x v="61"/>
    <x v="4"/>
    <x v="0"/>
    <n v="1878"/>
    <d v="2023-08-20T00:00:00"/>
    <x v="3"/>
    <x v="4"/>
    <d v="1899-12-30T12:28:32"/>
    <x v="122"/>
    <s v="August"/>
    <d v="1899-12-30T02:11:18"/>
    <x v="16"/>
    <x v="4"/>
    <n v="9390"/>
    <n v="1"/>
  </r>
  <r>
    <x v="192"/>
    <x v="56"/>
    <n v="42"/>
    <x v="18"/>
    <x v="1"/>
    <x v="2"/>
    <n v="1744"/>
    <d v="2023-08-16T00:00:00"/>
    <x v="3"/>
    <x v="5"/>
    <d v="1899-12-30T23:44:29"/>
    <x v="123"/>
    <s v="August"/>
    <d v="1899-12-30T02:34:02"/>
    <x v="6"/>
    <x v="6"/>
    <n v="6976"/>
    <n v="3"/>
  </r>
  <r>
    <x v="193"/>
    <x v="69"/>
    <n v="58"/>
    <x v="3"/>
    <x v="3"/>
    <x v="2"/>
    <n v="1492"/>
    <d v="2023-02-08T00:00:00"/>
    <x v="0"/>
    <x v="5"/>
    <d v="1899-12-30T11:41:29"/>
    <x v="90"/>
    <s v="February"/>
    <d v="1899-12-30T04:54:30"/>
    <x v="146"/>
    <x v="3"/>
    <n v="5968"/>
    <n v="1"/>
  </r>
  <r>
    <x v="194"/>
    <x v="0"/>
    <n v="67"/>
    <x v="0"/>
    <x v="0"/>
    <x v="0"/>
    <n v="1374"/>
    <d v="2023-04-10T00:00:00"/>
    <x v="9"/>
    <x v="2"/>
    <d v="1899-12-30T05:33:53"/>
    <x v="124"/>
    <s v="April"/>
    <d v="1899-12-30T07:51:40"/>
    <x v="44"/>
    <x v="0"/>
    <n v="6870"/>
    <n v="7"/>
  </r>
  <r>
    <x v="195"/>
    <x v="23"/>
    <n v="30"/>
    <x v="19"/>
    <x v="2"/>
    <x v="1"/>
    <n v="751"/>
    <d v="2023-08-05T00:00:00"/>
    <x v="3"/>
    <x v="3"/>
    <d v="1899-12-30T09:37:50"/>
    <x v="61"/>
    <s v="August"/>
    <d v="1899-12-30T08:58:06"/>
    <x v="147"/>
    <x v="0"/>
    <n v="1502"/>
    <n v="8"/>
  </r>
  <r>
    <x v="196"/>
    <x v="42"/>
    <n v="45"/>
    <x v="5"/>
    <x v="0"/>
    <x v="1"/>
    <n v="722"/>
    <d v="2023-03-22T00:00:00"/>
    <x v="5"/>
    <x v="5"/>
    <d v="1899-12-30T18:38:42"/>
    <x v="125"/>
    <s v="March"/>
    <d v="1899-12-30T03:30:06"/>
    <x v="145"/>
    <x v="2"/>
    <n v="1444"/>
    <n v="4"/>
  </r>
  <r>
    <x v="197"/>
    <x v="18"/>
    <n v="24"/>
    <x v="54"/>
    <x v="6"/>
    <x v="1"/>
    <n v="535"/>
    <d v="2023-08-27T00:00:00"/>
    <x v="3"/>
    <x v="4"/>
    <d v="1899-12-30T22:33:37"/>
    <x v="126"/>
    <s v="September"/>
    <d v="1899-12-30T01:09:50"/>
    <x v="148"/>
    <x v="2"/>
    <n v="1070"/>
    <n v="8"/>
  </r>
  <r>
    <x v="198"/>
    <x v="83"/>
    <n v="70"/>
    <x v="35"/>
    <x v="1"/>
    <x v="0"/>
    <n v="866"/>
    <d v="2023-08-16T00:00:00"/>
    <x v="3"/>
    <x v="5"/>
    <d v="1899-12-30T01:54:30"/>
    <x v="123"/>
    <s v="August"/>
    <d v="1899-12-30T16:24:59"/>
    <x v="149"/>
    <x v="2"/>
    <n v="4330"/>
    <n v="3"/>
  </r>
  <r>
    <x v="199"/>
    <x v="30"/>
    <n v="23"/>
    <x v="13"/>
    <x v="1"/>
    <x v="0"/>
    <n v="1098"/>
    <d v="2023-01-03T00:00:00"/>
    <x v="8"/>
    <x v="1"/>
    <d v="1899-12-30T20:04:16"/>
    <x v="127"/>
    <s v="January"/>
    <d v="1899-12-30T23:18:52"/>
    <x v="45"/>
    <x v="0"/>
    <n v="5490"/>
    <n v="5"/>
  </r>
  <r>
    <x v="200"/>
    <x v="84"/>
    <n v="55"/>
    <x v="60"/>
    <x v="4"/>
    <x v="2"/>
    <n v="1904"/>
    <d v="2023-08-24T00:00:00"/>
    <x v="3"/>
    <x v="6"/>
    <d v="1899-12-30T04:40:14"/>
    <x v="13"/>
    <s v="August"/>
    <d v="1899-12-30T03:52:28"/>
    <x v="150"/>
    <x v="4"/>
    <n v="7616"/>
    <n v="6"/>
  </r>
  <r>
    <x v="201"/>
    <x v="85"/>
    <n v="36"/>
    <x v="37"/>
    <x v="5"/>
    <x v="0"/>
    <n v="203"/>
    <d v="2023-07-27T00:00:00"/>
    <x v="2"/>
    <x v="6"/>
    <d v="1899-12-30T08:13:48"/>
    <x v="128"/>
    <s v="August"/>
    <d v="1899-12-30T03:02:01"/>
    <x v="151"/>
    <x v="2"/>
    <n v="1015"/>
    <n v="5"/>
  </r>
  <r>
    <x v="202"/>
    <x v="61"/>
    <n v="9"/>
    <x v="21"/>
    <x v="2"/>
    <x v="0"/>
    <n v="1605"/>
    <d v="2023-08-29T00:00:00"/>
    <x v="3"/>
    <x v="1"/>
    <d v="1899-12-30T05:39:00"/>
    <x v="54"/>
    <s v="September"/>
    <d v="1899-12-30T22:40:14"/>
    <x v="16"/>
    <x v="4"/>
    <n v="8025"/>
    <n v="10"/>
  </r>
  <r>
    <x v="203"/>
    <x v="52"/>
    <n v="10"/>
    <x v="22"/>
    <x v="3"/>
    <x v="2"/>
    <n v="259"/>
    <d v="2023-07-03T00:00:00"/>
    <x v="2"/>
    <x v="2"/>
    <d v="1899-12-30T10:46:43"/>
    <x v="129"/>
    <s v="July"/>
    <d v="1899-12-30T06:29:03"/>
    <x v="1"/>
    <x v="2"/>
    <n v="1036"/>
    <n v="6"/>
  </r>
  <r>
    <x v="204"/>
    <x v="73"/>
    <n v="46"/>
    <x v="62"/>
    <x v="3"/>
    <x v="0"/>
    <n v="758"/>
    <d v="2023-07-06T00:00:00"/>
    <x v="2"/>
    <x v="6"/>
    <d v="1899-12-30T05:17:21"/>
    <x v="129"/>
    <s v="July"/>
    <d v="1899-12-30T11:47:12"/>
    <x v="126"/>
    <x v="0"/>
    <n v="3790"/>
    <n v="3"/>
  </r>
  <r>
    <x v="205"/>
    <x v="9"/>
    <n v="68"/>
    <x v="63"/>
    <x v="4"/>
    <x v="3"/>
    <n v="597"/>
    <d v="2023-02-11T00:00:00"/>
    <x v="0"/>
    <x v="3"/>
    <d v="1899-12-30T22:12:16"/>
    <x v="43"/>
    <s v="February"/>
    <d v="1899-12-30T12:42:01"/>
    <x v="152"/>
    <x v="3"/>
    <n v="1791"/>
    <n v="2"/>
  </r>
  <r>
    <x v="206"/>
    <x v="4"/>
    <n v="6"/>
    <x v="20"/>
    <x v="3"/>
    <x v="1"/>
    <n v="1112"/>
    <d v="2023-03-05T00:00:00"/>
    <x v="5"/>
    <x v="4"/>
    <d v="1899-12-30T01:13:16"/>
    <x v="32"/>
    <s v="March"/>
    <d v="1899-12-30T12:15:56"/>
    <x v="52"/>
    <x v="5"/>
    <n v="2224"/>
    <n v="2"/>
  </r>
  <r>
    <x v="207"/>
    <x v="86"/>
    <n v="18"/>
    <x v="53"/>
    <x v="5"/>
    <x v="0"/>
    <n v="781"/>
    <d v="2023-04-02T00:00:00"/>
    <x v="9"/>
    <x v="4"/>
    <d v="1899-12-30T04:30:47"/>
    <x v="130"/>
    <s v="April"/>
    <d v="1899-12-30T07:06:36"/>
    <x v="153"/>
    <x v="2"/>
    <n v="3905"/>
    <n v="10"/>
  </r>
  <r>
    <x v="208"/>
    <x v="27"/>
    <n v="70"/>
    <x v="35"/>
    <x v="1"/>
    <x v="1"/>
    <n v="866"/>
    <d v="2023-06-22T00:00:00"/>
    <x v="11"/>
    <x v="6"/>
    <d v="1899-12-30T00:44:32"/>
    <x v="131"/>
    <s v="June"/>
    <d v="1899-12-30T21:44:32"/>
    <x v="154"/>
    <x v="2"/>
    <n v="1732"/>
    <n v="1"/>
  </r>
  <r>
    <x v="209"/>
    <x v="42"/>
    <n v="32"/>
    <x v="16"/>
    <x v="4"/>
    <x v="2"/>
    <n v="1792"/>
    <d v="2023-12-10T00:00:00"/>
    <x v="6"/>
    <x v="4"/>
    <d v="1899-12-30T00:46:32"/>
    <x v="46"/>
    <s v="December"/>
    <d v="1899-12-30T08:02:35"/>
    <x v="155"/>
    <x v="2"/>
    <n v="7168"/>
    <n v="5"/>
  </r>
  <r>
    <x v="210"/>
    <x v="87"/>
    <n v="31"/>
    <x v="43"/>
    <x v="2"/>
    <x v="0"/>
    <n v="1804"/>
    <d v="2023-10-22T00:00:00"/>
    <x v="10"/>
    <x v="4"/>
    <d v="1899-12-30T18:14:59"/>
    <x v="132"/>
    <s v="October"/>
    <d v="1899-12-30T17:40:03"/>
    <x v="156"/>
    <x v="6"/>
    <n v="9020"/>
    <n v="7"/>
  </r>
  <r>
    <x v="211"/>
    <x v="83"/>
    <n v="7"/>
    <x v="23"/>
    <x v="4"/>
    <x v="1"/>
    <n v="409"/>
    <d v="2023-02-28T00:00:00"/>
    <x v="0"/>
    <x v="1"/>
    <d v="1899-12-30T07:14:40"/>
    <x v="0"/>
    <s v="March"/>
    <d v="1899-12-30T20:01:45"/>
    <x v="85"/>
    <x v="5"/>
    <n v="818"/>
    <n v="5"/>
  </r>
  <r>
    <x v="212"/>
    <x v="73"/>
    <n v="42"/>
    <x v="18"/>
    <x v="1"/>
    <x v="0"/>
    <n v="1744"/>
    <d v="2023-02-14T00:00:00"/>
    <x v="0"/>
    <x v="1"/>
    <d v="1899-12-30T08:26:18"/>
    <x v="133"/>
    <s v="February"/>
    <d v="1899-12-30T08:58:11"/>
    <x v="157"/>
    <x v="6"/>
    <n v="8720"/>
    <n v="10"/>
  </r>
  <r>
    <x v="213"/>
    <x v="9"/>
    <n v="13"/>
    <x v="64"/>
    <x v="6"/>
    <x v="3"/>
    <n v="1141"/>
    <d v="2023-03-01T00:00:00"/>
    <x v="5"/>
    <x v="5"/>
    <d v="1899-12-30T07:49:55"/>
    <x v="32"/>
    <s v="March"/>
    <d v="1899-12-30T08:27:25"/>
    <x v="158"/>
    <x v="5"/>
    <n v="3423"/>
    <n v="6"/>
  </r>
  <r>
    <x v="214"/>
    <x v="88"/>
    <n v="17"/>
    <x v="25"/>
    <x v="4"/>
    <x v="4"/>
    <n v="1899"/>
    <d v="2023-05-21T00:00:00"/>
    <x v="4"/>
    <x v="4"/>
    <d v="1899-12-30T03:54:26"/>
    <x v="134"/>
    <s v="May"/>
    <d v="1899-12-30T12:37:34"/>
    <x v="32"/>
    <x v="0"/>
    <n v="1899"/>
    <n v="3"/>
  </r>
  <r>
    <x v="215"/>
    <x v="84"/>
    <n v="23"/>
    <x v="13"/>
    <x v="1"/>
    <x v="4"/>
    <n v="1098"/>
    <d v="2023-10-03T00:00:00"/>
    <x v="10"/>
    <x v="1"/>
    <d v="1899-12-30T15:46:35"/>
    <x v="135"/>
    <s v="October"/>
    <d v="1899-12-30T20:46:28"/>
    <x v="159"/>
    <x v="0"/>
    <n v="1098"/>
    <n v="5"/>
  </r>
  <r>
    <x v="216"/>
    <x v="12"/>
    <n v="53"/>
    <x v="65"/>
    <x v="1"/>
    <x v="2"/>
    <n v="1672"/>
    <d v="2023-08-27T00:00:00"/>
    <x v="3"/>
    <x v="4"/>
    <d v="1899-12-30T03:04:34"/>
    <x v="13"/>
    <s v="August"/>
    <d v="1899-12-30T16:42:19"/>
    <x v="4"/>
    <x v="4"/>
    <n v="6688"/>
    <n v="3"/>
  </r>
  <r>
    <x v="217"/>
    <x v="59"/>
    <n v="31"/>
    <x v="43"/>
    <x v="2"/>
    <x v="2"/>
    <n v="1804"/>
    <d v="2023-06-13T00:00:00"/>
    <x v="11"/>
    <x v="1"/>
    <d v="1899-12-30T22:55:11"/>
    <x v="136"/>
    <s v="June"/>
    <d v="1899-12-30T03:06:01"/>
    <x v="160"/>
    <x v="6"/>
    <n v="7216"/>
    <n v="3"/>
  </r>
  <r>
    <x v="218"/>
    <x v="80"/>
    <n v="16"/>
    <x v="9"/>
    <x v="1"/>
    <x v="0"/>
    <n v="1721"/>
    <d v="2023-03-05T00:00:00"/>
    <x v="5"/>
    <x v="4"/>
    <d v="1899-12-30T00:36:07"/>
    <x v="57"/>
    <s v="March"/>
    <d v="1899-12-30T10:36:05"/>
    <x v="151"/>
    <x v="5"/>
    <n v="8605"/>
    <n v="6"/>
  </r>
  <r>
    <x v="219"/>
    <x v="86"/>
    <n v="26"/>
    <x v="42"/>
    <x v="2"/>
    <x v="3"/>
    <n v="289"/>
    <d v="2023-03-06T00:00:00"/>
    <x v="5"/>
    <x v="2"/>
    <d v="1899-12-30T12:26:54"/>
    <x v="137"/>
    <s v="March"/>
    <d v="1899-12-30T14:41:52"/>
    <x v="161"/>
    <x v="5"/>
    <n v="867"/>
    <n v="9"/>
  </r>
  <r>
    <x v="220"/>
    <x v="89"/>
    <n v="28"/>
    <x v="4"/>
    <x v="1"/>
    <x v="2"/>
    <n v="1778"/>
    <d v="2023-08-21T00:00:00"/>
    <x v="3"/>
    <x v="2"/>
    <d v="1899-12-30T02:11:04"/>
    <x v="13"/>
    <s v="August"/>
    <d v="1899-12-30T14:00:35"/>
    <x v="162"/>
    <x v="4"/>
    <n v="7112"/>
    <n v="9"/>
  </r>
  <r>
    <x v="221"/>
    <x v="9"/>
    <n v="6"/>
    <x v="20"/>
    <x v="3"/>
    <x v="0"/>
    <n v="1112"/>
    <d v="2023-02-26T00:00:00"/>
    <x v="0"/>
    <x v="4"/>
    <d v="1899-12-30T05:57:25"/>
    <x v="32"/>
    <s v="March"/>
    <d v="1899-12-30T18:20:50"/>
    <x v="99"/>
    <x v="5"/>
    <n v="5560"/>
    <n v="9"/>
  </r>
  <r>
    <x v="222"/>
    <x v="70"/>
    <n v="49"/>
    <x v="32"/>
    <x v="2"/>
    <x v="1"/>
    <n v="903"/>
    <d v="2023-02-05T00:00:00"/>
    <x v="0"/>
    <x v="4"/>
    <d v="1899-12-30T08:44:25"/>
    <x v="43"/>
    <s v="February"/>
    <d v="1899-12-30T10:17:59"/>
    <x v="163"/>
    <x v="3"/>
    <n v="1806"/>
    <n v="8"/>
  </r>
  <r>
    <x v="223"/>
    <x v="51"/>
    <n v="34"/>
    <x v="41"/>
    <x v="4"/>
    <x v="4"/>
    <n v="1335"/>
    <d v="2023-08-24T00:00:00"/>
    <x v="3"/>
    <x v="6"/>
    <d v="1899-12-30T21:01:58"/>
    <x v="7"/>
    <s v="August"/>
    <d v="1899-12-30T02:06:40"/>
    <x v="164"/>
    <x v="4"/>
    <n v="1335"/>
    <n v="5"/>
  </r>
  <r>
    <x v="224"/>
    <x v="83"/>
    <n v="52"/>
    <x v="15"/>
    <x v="0"/>
    <x v="0"/>
    <n v="236"/>
    <d v="2023-02-05T00:00:00"/>
    <x v="0"/>
    <x v="4"/>
    <d v="1899-12-30T12:12:26"/>
    <x v="138"/>
    <s v="February"/>
    <d v="1899-12-30T18:01:06"/>
    <x v="165"/>
    <x v="3"/>
    <n v="1180"/>
    <n v="1"/>
  </r>
  <r>
    <x v="225"/>
    <x v="25"/>
    <n v="14"/>
    <x v="2"/>
    <x v="2"/>
    <x v="1"/>
    <n v="1915"/>
    <d v="2023-09-08T00:00:00"/>
    <x v="7"/>
    <x v="0"/>
    <d v="1899-12-30T08:48:50"/>
    <x v="139"/>
    <s v="September"/>
    <d v="1899-12-30T11:20:36"/>
    <x v="46"/>
    <x v="2"/>
    <n v="3830"/>
    <n v="4"/>
  </r>
  <r>
    <x v="226"/>
    <x v="84"/>
    <n v="24"/>
    <x v="54"/>
    <x v="6"/>
    <x v="2"/>
    <n v="535"/>
    <d v="2023-12-25T00:00:00"/>
    <x v="6"/>
    <x v="2"/>
    <d v="1899-12-30T18:50:42"/>
    <x v="140"/>
    <s v="December"/>
    <d v="1899-12-30T14:09:44"/>
    <x v="166"/>
    <x v="2"/>
    <n v="2140"/>
    <n v="1"/>
  </r>
  <r>
    <x v="227"/>
    <x v="65"/>
    <n v="36"/>
    <x v="37"/>
    <x v="5"/>
    <x v="4"/>
    <n v="203"/>
    <d v="2023-03-10T00:00:00"/>
    <x v="5"/>
    <x v="0"/>
    <d v="1899-12-30T18:40:52"/>
    <x v="57"/>
    <s v="March"/>
    <d v="1899-12-30T10:30:00"/>
    <x v="167"/>
    <x v="2"/>
    <n v="203"/>
    <n v="1"/>
  </r>
  <r>
    <x v="228"/>
    <x v="90"/>
    <n v="49"/>
    <x v="32"/>
    <x v="2"/>
    <x v="3"/>
    <n v="903"/>
    <d v="2023-02-11T00:00:00"/>
    <x v="0"/>
    <x v="3"/>
    <d v="1899-12-30T20:55:38"/>
    <x v="14"/>
    <s v="February"/>
    <d v="1899-12-30T09:32:50"/>
    <x v="168"/>
    <x v="3"/>
    <n v="2709"/>
    <n v="9"/>
  </r>
  <r>
    <x v="229"/>
    <x v="55"/>
    <n v="64"/>
    <x v="61"/>
    <x v="4"/>
    <x v="3"/>
    <n v="1878"/>
    <d v="2023-08-27T00:00:00"/>
    <x v="3"/>
    <x v="4"/>
    <d v="1899-12-30T08:27:50"/>
    <x v="141"/>
    <s v="September"/>
    <d v="1899-12-30T01:35:49"/>
    <x v="169"/>
    <x v="4"/>
    <n v="5634"/>
    <n v="5"/>
  </r>
  <r>
    <x v="230"/>
    <x v="83"/>
    <n v="64"/>
    <x v="61"/>
    <x v="4"/>
    <x v="3"/>
    <n v="1878"/>
    <d v="2023-08-24T00:00:00"/>
    <x v="3"/>
    <x v="6"/>
    <d v="1899-12-30T09:15:18"/>
    <x v="56"/>
    <s v="August"/>
    <d v="1899-12-30T21:13:01"/>
    <x v="170"/>
    <x v="4"/>
    <n v="5634"/>
    <n v="4"/>
  </r>
  <r>
    <x v="231"/>
    <x v="8"/>
    <n v="28"/>
    <x v="4"/>
    <x v="1"/>
    <x v="3"/>
    <n v="1778"/>
    <d v="2023-08-22T00:00:00"/>
    <x v="3"/>
    <x v="1"/>
    <d v="1899-12-30T12:06:09"/>
    <x v="142"/>
    <s v="August"/>
    <d v="1899-12-30T09:00:02"/>
    <x v="171"/>
    <x v="4"/>
    <n v="5334"/>
    <n v="1"/>
  </r>
  <r>
    <x v="232"/>
    <x v="88"/>
    <n v="64"/>
    <x v="61"/>
    <x v="4"/>
    <x v="2"/>
    <n v="1878"/>
    <d v="2023-08-26T00:00:00"/>
    <x v="3"/>
    <x v="3"/>
    <d v="1899-12-30T22:15:19"/>
    <x v="13"/>
    <s v="August"/>
    <d v="1899-12-30T04:07:39"/>
    <x v="172"/>
    <x v="4"/>
    <n v="7512"/>
    <n v="4"/>
  </r>
  <r>
    <x v="233"/>
    <x v="7"/>
    <n v="42"/>
    <x v="18"/>
    <x v="1"/>
    <x v="4"/>
    <n v="1744"/>
    <d v="2023-03-24T00:00:00"/>
    <x v="5"/>
    <x v="0"/>
    <d v="1899-12-30T21:18:12"/>
    <x v="143"/>
    <s v="April"/>
    <d v="1899-12-30T00:36:53"/>
    <x v="173"/>
    <x v="6"/>
    <n v="1744"/>
    <n v="8"/>
  </r>
  <r>
    <x v="234"/>
    <x v="27"/>
    <n v="56"/>
    <x v="8"/>
    <x v="0"/>
    <x v="1"/>
    <n v="1272"/>
    <d v="2023-02-26T00:00:00"/>
    <x v="0"/>
    <x v="4"/>
    <d v="1899-12-30T14:26:46"/>
    <x v="9"/>
    <s v="March"/>
    <d v="1899-12-30T23:26:23"/>
    <x v="137"/>
    <x v="0"/>
    <n v="2544"/>
    <n v="5"/>
  </r>
  <r>
    <x v="235"/>
    <x v="8"/>
    <n v="23"/>
    <x v="13"/>
    <x v="1"/>
    <x v="0"/>
    <n v="1098"/>
    <d v="2023-09-03T00:00:00"/>
    <x v="7"/>
    <x v="4"/>
    <d v="1899-12-30T06:33:52"/>
    <x v="50"/>
    <s v="September"/>
    <d v="1899-12-30T02:10:18"/>
    <x v="174"/>
    <x v="0"/>
    <n v="5490"/>
    <n v="8"/>
  </r>
  <r>
    <x v="236"/>
    <x v="11"/>
    <n v="55"/>
    <x v="60"/>
    <x v="4"/>
    <x v="4"/>
    <n v="1904"/>
    <d v="2023-08-26T00:00:00"/>
    <x v="3"/>
    <x v="3"/>
    <d v="1899-12-30T09:23:53"/>
    <x v="13"/>
    <s v="August"/>
    <d v="1899-12-30T08:19:20"/>
    <x v="175"/>
    <x v="4"/>
    <n v="1904"/>
    <n v="4"/>
  </r>
  <r>
    <x v="237"/>
    <x v="67"/>
    <n v="26"/>
    <x v="42"/>
    <x v="2"/>
    <x v="2"/>
    <n v="289"/>
    <d v="2023-03-05T00:00:00"/>
    <x v="5"/>
    <x v="4"/>
    <d v="1899-12-30T07:56:43"/>
    <x v="57"/>
    <s v="March"/>
    <d v="1899-12-30T20:18:17"/>
    <x v="176"/>
    <x v="5"/>
    <n v="1156"/>
    <n v="6"/>
  </r>
  <r>
    <x v="238"/>
    <x v="24"/>
    <n v="27"/>
    <x v="7"/>
    <x v="3"/>
    <x v="3"/>
    <n v="548"/>
    <d v="2023-08-29T00:00:00"/>
    <x v="3"/>
    <x v="1"/>
    <d v="1899-12-30T08:33:45"/>
    <x v="117"/>
    <s v="September"/>
    <d v="1899-12-30T13:23:08"/>
    <x v="160"/>
    <x v="4"/>
    <n v="1644"/>
    <n v="8"/>
  </r>
  <r>
    <x v="239"/>
    <x v="45"/>
    <n v="5"/>
    <x v="36"/>
    <x v="2"/>
    <x v="0"/>
    <n v="1444"/>
    <d v="2023-03-25T00:00:00"/>
    <x v="5"/>
    <x v="3"/>
    <d v="1899-12-30T06:03:38"/>
    <x v="144"/>
    <s v="March"/>
    <d v="1899-12-30T15:43:28"/>
    <x v="54"/>
    <x v="6"/>
    <n v="7220"/>
    <n v="5"/>
  </r>
  <r>
    <x v="240"/>
    <x v="30"/>
    <n v="20"/>
    <x v="11"/>
    <x v="2"/>
    <x v="1"/>
    <n v="697"/>
    <d v="2023-09-05T00:00:00"/>
    <x v="7"/>
    <x v="1"/>
    <d v="1899-12-30T09:52:16"/>
    <x v="41"/>
    <s v="September"/>
    <d v="1899-12-30T08:58:21"/>
    <x v="33"/>
    <x v="0"/>
    <n v="1394"/>
    <n v="2"/>
  </r>
  <r>
    <x v="241"/>
    <x v="3"/>
    <n v="21"/>
    <x v="8"/>
    <x v="2"/>
    <x v="4"/>
    <n v="1561"/>
    <d v="2023-08-23T00:00:00"/>
    <x v="3"/>
    <x v="5"/>
    <d v="1899-12-30T10:24:46"/>
    <x v="53"/>
    <s v="August"/>
    <d v="1899-12-30T16:02:32"/>
    <x v="23"/>
    <x v="4"/>
    <n v="1561"/>
    <n v="8"/>
  </r>
  <r>
    <x v="242"/>
    <x v="87"/>
    <n v="3"/>
    <x v="52"/>
    <x v="2"/>
    <x v="4"/>
    <n v="1534"/>
    <d v="2023-02-05T00:00:00"/>
    <x v="0"/>
    <x v="4"/>
    <d v="1899-12-30T20:50:37"/>
    <x v="145"/>
    <s v="February"/>
    <d v="1899-12-30T12:30:54"/>
    <x v="177"/>
    <x v="3"/>
    <n v="1534"/>
    <n v="5"/>
  </r>
  <r>
    <x v="243"/>
    <x v="20"/>
    <n v="65"/>
    <x v="35"/>
    <x v="0"/>
    <x v="3"/>
    <n v="1895"/>
    <d v="2023-03-20T00:00:00"/>
    <x v="5"/>
    <x v="2"/>
    <d v="1899-12-30T15:06:01"/>
    <x v="144"/>
    <s v="March"/>
    <d v="1899-12-30T07:06:40"/>
    <x v="178"/>
    <x v="6"/>
    <n v="5685"/>
    <n v="10"/>
  </r>
  <r>
    <x v="244"/>
    <x v="37"/>
    <n v="50"/>
    <x v="56"/>
    <x v="5"/>
    <x v="3"/>
    <n v="422"/>
    <d v="2023-03-05T00:00:00"/>
    <x v="5"/>
    <x v="4"/>
    <d v="1899-12-30T06:25:26"/>
    <x v="57"/>
    <s v="March"/>
    <d v="1899-12-30T09:30:30"/>
    <x v="179"/>
    <x v="5"/>
    <n v="1266"/>
    <n v="6"/>
  </r>
  <r>
    <x v="245"/>
    <x v="48"/>
    <n v="69"/>
    <x v="55"/>
    <x v="3"/>
    <x v="0"/>
    <n v="998"/>
    <d v="2023-02-28T00:00:00"/>
    <x v="0"/>
    <x v="1"/>
    <d v="1899-12-30T23:24:33"/>
    <x v="8"/>
    <s v="March"/>
    <d v="1899-12-30T00:38:49"/>
    <x v="72"/>
    <x v="5"/>
    <n v="4990"/>
    <n v="8"/>
  </r>
  <r>
    <x v="246"/>
    <x v="91"/>
    <n v="23"/>
    <x v="13"/>
    <x v="1"/>
    <x v="2"/>
    <n v="1098"/>
    <d v="2023-10-11T00:00:00"/>
    <x v="10"/>
    <x v="5"/>
    <d v="1899-12-30T05:58:48"/>
    <x v="146"/>
    <s v="October"/>
    <d v="1899-12-30T02:58:46"/>
    <x v="180"/>
    <x v="0"/>
    <n v="4392"/>
    <n v="5"/>
  </r>
  <r>
    <x v="247"/>
    <x v="8"/>
    <n v="19"/>
    <x v="27"/>
    <x v="6"/>
    <x v="0"/>
    <n v="1234"/>
    <d v="2023-02-08T00:00:00"/>
    <x v="0"/>
    <x v="5"/>
    <d v="1899-12-30T08:43:41"/>
    <x v="145"/>
    <s v="February"/>
    <d v="1899-12-30T04:15:01"/>
    <x v="181"/>
    <x v="3"/>
    <n v="6170"/>
    <n v="2"/>
  </r>
  <r>
    <x v="248"/>
    <x v="92"/>
    <n v="14"/>
    <x v="2"/>
    <x v="2"/>
    <x v="1"/>
    <n v="1915"/>
    <d v="2023-09-10T00:00:00"/>
    <x v="7"/>
    <x v="4"/>
    <d v="1899-12-30T22:22:16"/>
    <x v="147"/>
    <s v="September"/>
    <d v="1899-12-30T23:17:36"/>
    <x v="149"/>
    <x v="2"/>
    <n v="3830"/>
    <n v="9"/>
  </r>
  <r>
    <x v="249"/>
    <x v="93"/>
    <n v="37"/>
    <x v="28"/>
    <x v="2"/>
    <x v="0"/>
    <n v="1428"/>
    <d v="2023-11-08T00:00:00"/>
    <x v="1"/>
    <x v="5"/>
    <d v="1899-12-30T15:07:27"/>
    <x v="148"/>
    <s v="November"/>
    <d v="1899-12-30T01:32:06"/>
    <x v="182"/>
    <x v="1"/>
    <n v="7140"/>
    <n v="1"/>
  </r>
  <r>
    <x v="250"/>
    <x v="70"/>
    <n v="7"/>
    <x v="23"/>
    <x v="4"/>
    <x v="2"/>
    <n v="409"/>
    <d v="2023-02-28T00:00:00"/>
    <x v="0"/>
    <x v="1"/>
    <d v="1899-12-30T00:31:48"/>
    <x v="149"/>
    <s v="March"/>
    <d v="1899-12-30T00:19:44"/>
    <x v="183"/>
    <x v="5"/>
    <n v="1636"/>
    <n v="2"/>
  </r>
  <r>
    <x v="251"/>
    <x v="5"/>
    <n v="69"/>
    <x v="55"/>
    <x v="3"/>
    <x v="1"/>
    <n v="998"/>
    <d v="2023-02-26T00:00:00"/>
    <x v="0"/>
    <x v="4"/>
    <d v="1899-12-30T05:41:28"/>
    <x v="37"/>
    <s v="February"/>
    <d v="1899-12-30T08:11:16"/>
    <x v="27"/>
    <x v="5"/>
    <n v="1996"/>
    <n v="2"/>
  </r>
  <r>
    <x v="252"/>
    <x v="53"/>
    <n v="68"/>
    <x v="63"/>
    <x v="4"/>
    <x v="1"/>
    <n v="597"/>
    <d v="2023-02-12T00:00:00"/>
    <x v="0"/>
    <x v="4"/>
    <d v="1899-12-30T14:24:46"/>
    <x v="16"/>
    <s v="February"/>
    <d v="1899-12-30T05:39:27"/>
    <x v="184"/>
    <x v="3"/>
    <n v="1194"/>
    <n v="2"/>
  </r>
  <r>
    <x v="253"/>
    <x v="83"/>
    <n v="1"/>
    <x v="48"/>
    <x v="4"/>
    <x v="0"/>
    <n v="1935"/>
    <d v="2023-07-07T00:00:00"/>
    <x v="2"/>
    <x v="0"/>
    <d v="1899-12-30T00:09:44"/>
    <x v="150"/>
    <s v="July"/>
    <d v="1899-12-30T05:27:49"/>
    <x v="137"/>
    <x v="6"/>
    <n v="9675"/>
    <n v="8"/>
  </r>
  <r>
    <x v="254"/>
    <x v="74"/>
    <n v="45"/>
    <x v="5"/>
    <x v="0"/>
    <x v="1"/>
    <n v="722"/>
    <d v="2023-12-27T00:00:00"/>
    <x v="6"/>
    <x v="5"/>
    <d v="1899-12-30T03:42:35"/>
    <x v="151"/>
    <s v="January"/>
    <d v="1899-12-30T09:23:14"/>
    <x v="164"/>
    <x v="2"/>
    <n v="1444"/>
    <n v="10"/>
  </r>
  <r>
    <x v="255"/>
    <x v="10"/>
    <n v="4"/>
    <x v="44"/>
    <x v="1"/>
    <x v="0"/>
    <n v="1199"/>
    <d v="2023-11-06T00:00:00"/>
    <x v="1"/>
    <x v="2"/>
    <d v="1899-12-30T19:13:49"/>
    <x v="6"/>
    <s v="November"/>
    <d v="1899-12-30T18:05:55"/>
    <x v="164"/>
    <x v="1"/>
    <n v="5995"/>
    <n v="8"/>
  </r>
  <r>
    <x v="256"/>
    <x v="43"/>
    <n v="21"/>
    <x v="8"/>
    <x v="2"/>
    <x v="3"/>
    <n v="1561"/>
    <d v="2023-08-22T00:00:00"/>
    <x v="3"/>
    <x v="1"/>
    <d v="1899-12-30T15:42:59"/>
    <x v="152"/>
    <s v="August"/>
    <d v="1899-12-30T22:39:39"/>
    <x v="88"/>
    <x v="4"/>
    <n v="4683"/>
    <n v="2"/>
  </r>
  <r>
    <x v="257"/>
    <x v="8"/>
    <n v="46"/>
    <x v="62"/>
    <x v="3"/>
    <x v="0"/>
    <n v="758"/>
    <d v="2023-04-16T00:00:00"/>
    <x v="9"/>
    <x v="4"/>
    <d v="1899-12-30T05:40:39"/>
    <x v="153"/>
    <s v="April"/>
    <d v="1899-12-30T20:05:32"/>
    <x v="117"/>
    <x v="0"/>
    <n v="3790"/>
    <n v="4"/>
  </r>
  <r>
    <x v="258"/>
    <x v="86"/>
    <n v="62"/>
    <x v="14"/>
    <x v="2"/>
    <x v="4"/>
    <n v="1356"/>
    <d v="2023-03-05T00:00:00"/>
    <x v="5"/>
    <x v="4"/>
    <d v="1899-12-30T15:21:54"/>
    <x v="101"/>
    <s v="March"/>
    <d v="1899-12-30T00:04:01"/>
    <x v="5"/>
    <x v="5"/>
    <n v="1356"/>
    <n v="5"/>
  </r>
  <r>
    <x v="259"/>
    <x v="60"/>
    <n v="69"/>
    <x v="55"/>
    <x v="3"/>
    <x v="0"/>
    <n v="998"/>
    <d v="2023-03-06T00:00:00"/>
    <x v="5"/>
    <x v="2"/>
    <d v="1899-12-30T13:06:11"/>
    <x v="116"/>
    <s v="March"/>
    <d v="1899-12-30T22:22:30"/>
    <x v="106"/>
    <x v="5"/>
    <n v="4990"/>
    <n v="10"/>
  </r>
  <r>
    <x v="260"/>
    <x v="20"/>
    <n v="37"/>
    <x v="28"/>
    <x v="2"/>
    <x v="3"/>
    <n v="1428"/>
    <d v="2023-11-06T00:00:00"/>
    <x v="1"/>
    <x v="2"/>
    <d v="1899-12-30T14:03:50"/>
    <x v="60"/>
    <s v="November"/>
    <d v="1899-12-30T20:17:47"/>
    <x v="101"/>
    <x v="1"/>
    <n v="4284"/>
    <n v="6"/>
  </r>
  <r>
    <x v="261"/>
    <x v="56"/>
    <n v="49"/>
    <x v="32"/>
    <x v="2"/>
    <x v="3"/>
    <n v="903"/>
    <d v="2023-02-07T00:00:00"/>
    <x v="0"/>
    <x v="1"/>
    <d v="1899-12-30T08:05:16"/>
    <x v="68"/>
    <s v="February"/>
    <d v="1899-12-30T01:06:57"/>
    <x v="185"/>
    <x v="3"/>
    <n v="2709"/>
    <n v="4"/>
  </r>
  <r>
    <x v="262"/>
    <x v="62"/>
    <n v="57"/>
    <x v="57"/>
    <x v="2"/>
    <x v="2"/>
    <n v="1582"/>
    <d v="2023-03-12T00:00:00"/>
    <x v="5"/>
    <x v="4"/>
    <d v="1899-12-30T09:35:10"/>
    <x v="82"/>
    <s v="March"/>
    <d v="1899-12-30T15:22:01"/>
    <x v="58"/>
    <x v="2"/>
    <n v="6328"/>
    <n v="1"/>
  </r>
  <r>
    <x v="263"/>
    <x v="53"/>
    <n v="52"/>
    <x v="15"/>
    <x v="0"/>
    <x v="3"/>
    <n v="236"/>
    <d v="2023-02-09T00:00:00"/>
    <x v="0"/>
    <x v="6"/>
    <d v="1899-12-30T05:35:19"/>
    <x v="3"/>
    <s v="February"/>
    <d v="1899-12-30T15:43:46"/>
    <x v="30"/>
    <x v="3"/>
    <n v="708"/>
    <n v="9"/>
  </r>
  <r>
    <x v="264"/>
    <x v="58"/>
    <n v="58"/>
    <x v="3"/>
    <x v="3"/>
    <x v="4"/>
    <n v="1492"/>
    <d v="2023-02-10T00:00:00"/>
    <x v="0"/>
    <x v="0"/>
    <d v="1899-12-30T21:17:18"/>
    <x v="3"/>
    <s v="February"/>
    <d v="1899-12-30T06:28:33"/>
    <x v="180"/>
    <x v="3"/>
    <n v="1492"/>
    <n v="8"/>
  </r>
  <r>
    <x v="265"/>
    <x v="56"/>
    <n v="36"/>
    <x v="37"/>
    <x v="5"/>
    <x v="4"/>
    <n v="203"/>
    <d v="2023-05-12T00:00:00"/>
    <x v="4"/>
    <x v="0"/>
    <d v="1899-12-30T13:46:56"/>
    <x v="5"/>
    <s v="May"/>
    <d v="1899-12-30T19:20:09"/>
    <x v="186"/>
    <x v="2"/>
    <n v="203"/>
    <n v="1"/>
  </r>
  <r>
    <x v="266"/>
    <x v="28"/>
    <n v="35"/>
    <x v="31"/>
    <x v="2"/>
    <x v="3"/>
    <n v="1865"/>
    <d v="2023-03-04T00:00:00"/>
    <x v="5"/>
    <x v="3"/>
    <d v="1899-12-30T13:38:57"/>
    <x v="21"/>
    <s v="March"/>
    <d v="1899-12-30T03:52:00"/>
    <x v="187"/>
    <x v="5"/>
    <n v="5595"/>
    <n v="8"/>
  </r>
  <r>
    <x v="267"/>
    <x v="55"/>
    <n v="38"/>
    <x v="10"/>
    <x v="3"/>
    <x v="4"/>
    <n v="562"/>
    <d v="2023-08-14T00:00:00"/>
    <x v="3"/>
    <x v="2"/>
    <d v="1899-12-30T07:45:59"/>
    <x v="142"/>
    <s v="August"/>
    <d v="1899-12-30T16:53:30"/>
    <x v="32"/>
    <x v="2"/>
    <n v="562"/>
    <n v="9"/>
  </r>
  <r>
    <x v="268"/>
    <x v="11"/>
    <n v="36"/>
    <x v="37"/>
    <x v="5"/>
    <x v="4"/>
    <n v="203"/>
    <d v="2023-10-25T00:00:00"/>
    <x v="10"/>
    <x v="5"/>
    <d v="1899-12-30T01:12:12"/>
    <x v="154"/>
    <s v="October"/>
    <d v="1899-12-30T17:58:13"/>
    <x v="188"/>
    <x v="2"/>
    <n v="203"/>
    <n v="1"/>
  </r>
  <r>
    <x v="269"/>
    <x v="75"/>
    <n v="21"/>
    <x v="8"/>
    <x v="2"/>
    <x v="0"/>
    <n v="1561"/>
    <d v="2023-08-22T00:00:00"/>
    <x v="3"/>
    <x v="1"/>
    <d v="1899-12-30T20:21:29"/>
    <x v="141"/>
    <s v="September"/>
    <d v="1899-12-30T16:03:59"/>
    <x v="74"/>
    <x v="4"/>
    <n v="7805"/>
    <n v="10"/>
  </r>
  <r>
    <x v="270"/>
    <x v="61"/>
    <n v="36"/>
    <x v="37"/>
    <x v="5"/>
    <x v="0"/>
    <n v="203"/>
    <d v="2023-06-23T00:00:00"/>
    <x v="11"/>
    <x v="0"/>
    <d v="1899-12-30T18:27:42"/>
    <x v="155"/>
    <s v="June"/>
    <d v="1899-12-30T18:20:05"/>
    <x v="189"/>
    <x v="2"/>
    <n v="1015"/>
    <n v="7"/>
  </r>
  <r>
    <x v="271"/>
    <x v="82"/>
    <n v="12"/>
    <x v="17"/>
    <x v="5"/>
    <x v="4"/>
    <n v="672"/>
    <d v="2023-04-08T00:00:00"/>
    <x v="9"/>
    <x v="3"/>
    <d v="1899-12-30T09:40:05"/>
    <x v="156"/>
    <s v="April"/>
    <d v="1899-12-30T20:13:56"/>
    <x v="116"/>
    <x v="0"/>
    <n v="672"/>
    <n v="10"/>
  </r>
  <r>
    <x v="272"/>
    <x v="26"/>
    <n v="10"/>
    <x v="22"/>
    <x v="3"/>
    <x v="1"/>
    <n v="259"/>
    <d v="2023-11-22T00:00:00"/>
    <x v="1"/>
    <x v="5"/>
    <d v="1899-12-30T16:12:35"/>
    <x v="157"/>
    <s v="November"/>
    <d v="1899-12-30T01:52:48"/>
    <x v="15"/>
    <x v="2"/>
    <n v="518"/>
    <n v="2"/>
  </r>
  <r>
    <x v="273"/>
    <x v="4"/>
    <n v="41"/>
    <x v="1"/>
    <x v="1"/>
    <x v="0"/>
    <n v="1977"/>
    <d v="2023-11-02T00:00:00"/>
    <x v="1"/>
    <x v="6"/>
    <d v="1899-12-30T06:37:51"/>
    <x v="60"/>
    <s v="November"/>
    <d v="1899-12-30T20:53:36"/>
    <x v="188"/>
    <x v="1"/>
    <n v="9885"/>
    <n v="10"/>
  </r>
  <r>
    <x v="274"/>
    <x v="51"/>
    <n v="29"/>
    <x v="66"/>
    <x v="2"/>
    <x v="4"/>
    <n v="1252"/>
    <d v="2023-03-02T00:00:00"/>
    <x v="5"/>
    <x v="6"/>
    <d v="1899-12-30T04:13:47"/>
    <x v="0"/>
    <s v="March"/>
    <d v="1899-12-30T01:17:39"/>
    <x v="190"/>
    <x v="5"/>
    <n v="1252"/>
    <n v="3"/>
  </r>
  <r>
    <x v="275"/>
    <x v="10"/>
    <n v="15"/>
    <x v="51"/>
    <x v="0"/>
    <x v="1"/>
    <n v="1488"/>
    <d v="2023-05-28T00:00:00"/>
    <x v="4"/>
    <x v="4"/>
    <d v="1899-12-30T01:34:06"/>
    <x v="158"/>
    <s v="June"/>
    <d v="1899-12-30T07:05:33"/>
    <x v="191"/>
    <x v="0"/>
    <n v="2976"/>
    <n v="4"/>
  </r>
  <r>
    <x v="276"/>
    <x v="52"/>
    <n v="34"/>
    <x v="41"/>
    <x v="4"/>
    <x v="0"/>
    <n v="1335"/>
    <d v="2023-08-23T00:00:00"/>
    <x v="3"/>
    <x v="5"/>
    <d v="1899-12-30T19:16:40"/>
    <x v="7"/>
    <s v="August"/>
    <d v="1899-12-30T15:50:18"/>
    <x v="137"/>
    <x v="4"/>
    <n v="6675"/>
    <n v="6"/>
  </r>
  <r>
    <x v="277"/>
    <x v="8"/>
    <n v="1"/>
    <x v="48"/>
    <x v="4"/>
    <x v="1"/>
    <n v="1935"/>
    <d v="2023-06-20T00:00:00"/>
    <x v="11"/>
    <x v="1"/>
    <d v="1899-12-30T23:33:52"/>
    <x v="159"/>
    <s v="June"/>
    <d v="1899-12-30T05:42:44"/>
    <x v="192"/>
    <x v="6"/>
    <n v="3870"/>
    <n v="4"/>
  </r>
  <r>
    <x v="278"/>
    <x v="30"/>
    <n v="23"/>
    <x v="13"/>
    <x v="1"/>
    <x v="2"/>
    <n v="1098"/>
    <d v="2023-11-24T00:00:00"/>
    <x v="1"/>
    <x v="0"/>
    <d v="1899-12-30T09:14:46"/>
    <x v="160"/>
    <s v="November"/>
    <d v="1899-12-30T17:51:23"/>
    <x v="88"/>
    <x v="0"/>
    <n v="4392"/>
    <n v="2"/>
  </r>
  <r>
    <x v="279"/>
    <x v="92"/>
    <n v="19"/>
    <x v="27"/>
    <x v="6"/>
    <x v="3"/>
    <n v="1234"/>
    <d v="2023-02-07T00:00:00"/>
    <x v="0"/>
    <x v="1"/>
    <d v="1899-12-30T17:44:47"/>
    <x v="17"/>
    <s v="February"/>
    <d v="1899-12-30T16:31:05"/>
    <x v="120"/>
    <x v="3"/>
    <n v="3702"/>
    <n v="5"/>
  </r>
  <r>
    <x v="280"/>
    <x v="54"/>
    <n v="15"/>
    <x v="51"/>
    <x v="0"/>
    <x v="3"/>
    <n v="1488"/>
    <d v="2023-09-21T00:00:00"/>
    <x v="7"/>
    <x v="6"/>
    <d v="1899-12-30T20:36:47"/>
    <x v="119"/>
    <s v="September"/>
    <d v="1899-12-30T10:27:14"/>
    <x v="138"/>
    <x v="0"/>
    <n v="4464"/>
    <n v="4"/>
  </r>
  <r>
    <x v="281"/>
    <x v="74"/>
    <n v="41"/>
    <x v="1"/>
    <x v="1"/>
    <x v="1"/>
    <n v="1977"/>
    <d v="2023-11-11T00:00:00"/>
    <x v="1"/>
    <x v="3"/>
    <d v="1899-12-30T10:20:49"/>
    <x v="161"/>
    <s v="November"/>
    <d v="1899-12-30T22:11:40"/>
    <x v="120"/>
    <x v="1"/>
    <n v="3954"/>
    <n v="8"/>
  </r>
  <r>
    <x v="282"/>
    <x v="93"/>
    <n v="23"/>
    <x v="13"/>
    <x v="1"/>
    <x v="1"/>
    <n v="1098"/>
    <d v="2023-11-23T00:00:00"/>
    <x v="1"/>
    <x v="6"/>
    <d v="1899-12-30T02:51:34"/>
    <x v="162"/>
    <s v="November"/>
    <d v="1899-12-30T18:21:40"/>
    <x v="193"/>
    <x v="0"/>
    <n v="2196"/>
    <n v="7"/>
  </r>
  <r>
    <x v="283"/>
    <x v="50"/>
    <n v="17"/>
    <x v="25"/>
    <x v="4"/>
    <x v="4"/>
    <n v="1899"/>
    <d v="2023-08-10T00:00:00"/>
    <x v="3"/>
    <x v="6"/>
    <d v="1899-12-30T16:13:04"/>
    <x v="163"/>
    <s v="August"/>
    <d v="1899-12-30T11:21:57"/>
    <x v="75"/>
    <x v="0"/>
    <n v="1899"/>
    <n v="6"/>
  </r>
  <r>
    <x v="284"/>
    <x v="63"/>
    <n v="7"/>
    <x v="23"/>
    <x v="4"/>
    <x v="0"/>
    <n v="409"/>
    <d v="2023-02-26T00:00:00"/>
    <x v="0"/>
    <x v="4"/>
    <d v="1899-12-30T17:26:44"/>
    <x v="81"/>
    <s v="March"/>
    <d v="1899-12-30T12:52:20"/>
    <x v="185"/>
    <x v="5"/>
    <n v="2045"/>
    <n v="3"/>
  </r>
  <r>
    <x v="285"/>
    <x v="88"/>
    <n v="50"/>
    <x v="56"/>
    <x v="5"/>
    <x v="3"/>
    <n v="422"/>
    <d v="2023-03-06T00:00:00"/>
    <x v="5"/>
    <x v="2"/>
    <d v="1899-12-30T20:05:40"/>
    <x v="21"/>
    <s v="March"/>
    <d v="1899-12-30T02:41:27"/>
    <x v="194"/>
    <x v="5"/>
    <n v="1266"/>
    <n v="6"/>
  </r>
  <r>
    <x v="286"/>
    <x v="17"/>
    <n v="7"/>
    <x v="23"/>
    <x v="4"/>
    <x v="0"/>
    <n v="409"/>
    <d v="2023-03-03T00:00:00"/>
    <x v="5"/>
    <x v="0"/>
    <d v="1899-12-30T04:54:04"/>
    <x v="44"/>
    <s v="March"/>
    <d v="1899-12-30T15:39:57"/>
    <x v="195"/>
    <x v="5"/>
    <n v="2045"/>
    <n v="3"/>
  </r>
  <r>
    <x v="287"/>
    <x v="65"/>
    <n v="34"/>
    <x v="41"/>
    <x v="4"/>
    <x v="1"/>
    <n v="1335"/>
    <d v="2023-08-21T00:00:00"/>
    <x v="3"/>
    <x v="2"/>
    <d v="1899-12-30T15:58:58"/>
    <x v="142"/>
    <s v="August"/>
    <d v="1899-12-30T20:42:36"/>
    <x v="192"/>
    <x v="4"/>
    <n v="2670"/>
    <n v="2"/>
  </r>
  <r>
    <x v="288"/>
    <x v="21"/>
    <n v="30"/>
    <x v="19"/>
    <x v="2"/>
    <x v="2"/>
    <n v="751"/>
    <d v="2023-08-29T00:00:00"/>
    <x v="3"/>
    <x v="1"/>
    <d v="1899-12-30T23:40:01"/>
    <x v="117"/>
    <s v="September"/>
    <d v="1899-12-30T02:50:06"/>
    <x v="196"/>
    <x v="0"/>
    <n v="3004"/>
    <n v="8"/>
  </r>
  <r>
    <x v="289"/>
    <x v="90"/>
    <n v="69"/>
    <x v="55"/>
    <x v="3"/>
    <x v="3"/>
    <n v="998"/>
    <d v="2023-03-06T00:00:00"/>
    <x v="5"/>
    <x v="2"/>
    <d v="1899-12-30T10:27:18"/>
    <x v="101"/>
    <s v="March"/>
    <d v="1899-12-30T14:33:34"/>
    <x v="181"/>
    <x v="5"/>
    <n v="2994"/>
    <n v="4"/>
  </r>
  <r>
    <x v="290"/>
    <x v="16"/>
    <n v="49"/>
    <x v="32"/>
    <x v="2"/>
    <x v="1"/>
    <n v="903"/>
    <d v="2023-02-10T00:00:00"/>
    <x v="0"/>
    <x v="0"/>
    <d v="1899-12-30T00:12:40"/>
    <x v="68"/>
    <s v="February"/>
    <d v="1899-12-30T22:52:51"/>
    <x v="171"/>
    <x v="3"/>
    <n v="1806"/>
    <n v="1"/>
  </r>
  <r>
    <x v="291"/>
    <x v="55"/>
    <n v="54"/>
    <x v="30"/>
    <x v="3"/>
    <x v="4"/>
    <n v="1236"/>
    <d v="2023-09-27T00:00:00"/>
    <x v="7"/>
    <x v="5"/>
    <d v="1899-12-30T22:43:35"/>
    <x v="55"/>
    <s v="October"/>
    <d v="1899-12-30T01:44:47"/>
    <x v="96"/>
    <x v="0"/>
    <n v="1236"/>
    <n v="6"/>
  </r>
  <r>
    <x v="292"/>
    <x v="92"/>
    <n v="1"/>
    <x v="48"/>
    <x v="4"/>
    <x v="2"/>
    <n v="1935"/>
    <d v="2023-09-04T00:00:00"/>
    <x v="7"/>
    <x v="2"/>
    <d v="1899-12-30T04:03:47"/>
    <x v="98"/>
    <s v="September"/>
    <d v="1899-12-30T18:10:36"/>
    <x v="197"/>
    <x v="6"/>
    <n v="7740"/>
    <n v="5"/>
  </r>
  <r>
    <x v="293"/>
    <x v="26"/>
    <n v="26"/>
    <x v="42"/>
    <x v="2"/>
    <x v="0"/>
    <n v="289"/>
    <d v="2023-03-01T00:00:00"/>
    <x v="5"/>
    <x v="5"/>
    <d v="1899-12-30T21:04:18"/>
    <x v="9"/>
    <s v="March"/>
    <d v="1899-12-30T19:44:54"/>
    <x v="198"/>
    <x v="5"/>
    <n v="1445"/>
    <n v="2"/>
  </r>
  <r>
    <x v="294"/>
    <x v="90"/>
    <n v="18"/>
    <x v="53"/>
    <x v="5"/>
    <x v="4"/>
    <n v="781"/>
    <d v="2023-05-29T00:00:00"/>
    <x v="4"/>
    <x v="2"/>
    <d v="1899-12-30T15:54:09"/>
    <x v="164"/>
    <s v="June"/>
    <d v="1899-12-30T10:06:42"/>
    <x v="199"/>
    <x v="2"/>
    <n v="781"/>
    <n v="4"/>
  </r>
  <r>
    <x v="295"/>
    <x v="62"/>
    <n v="70"/>
    <x v="35"/>
    <x v="1"/>
    <x v="0"/>
    <n v="866"/>
    <d v="2023-04-01T00:00:00"/>
    <x v="9"/>
    <x v="3"/>
    <d v="1899-12-30T11:55:14"/>
    <x v="165"/>
    <s v="April"/>
    <d v="1899-12-30T19:33:46"/>
    <x v="185"/>
    <x v="2"/>
    <n v="4330"/>
    <n v="10"/>
  </r>
  <r>
    <x v="296"/>
    <x v="26"/>
    <n v="13"/>
    <x v="64"/>
    <x v="6"/>
    <x v="3"/>
    <n v="1141"/>
    <d v="2023-02-28T00:00:00"/>
    <x v="0"/>
    <x v="1"/>
    <d v="1899-12-30T20:15:29"/>
    <x v="0"/>
    <s v="March"/>
    <d v="1899-12-30T20:52:27"/>
    <x v="148"/>
    <x v="5"/>
    <n v="3423"/>
    <n v="5"/>
  </r>
  <r>
    <x v="297"/>
    <x v="50"/>
    <n v="3"/>
    <x v="52"/>
    <x v="2"/>
    <x v="4"/>
    <n v="1534"/>
    <d v="2023-02-11T00:00:00"/>
    <x v="0"/>
    <x v="3"/>
    <d v="1899-12-30T23:06:29"/>
    <x v="17"/>
    <s v="February"/>
    <d v="1899-12-30T02:17:43"/>
    <x v="140"/>
    <x v="3"/>
    <n v="1534"/>
    <n v="1"/>
  </r>
  <r>
    <x v="298"/>
    <x v="22"/>
    <n v="8"/>
    <x v="24"/>
    <x v="1"/>
    <x v="0"/>
    <n v="252"/>
    <d v="2023-11-08T00:00:00"/>
    <x v="1"/>
    <x v="5"/>
    <d v="1899-12-30T11:51:21"/>
    <x v="166"/>
    <s v="November"/>
    <d v="1899-12-30T13:17:51"/>
    <x v="34"/>
    <x v="0"/>
    <n v="1260"/>
    <n v="9"/>
  </r>
  <r>
    <x v="299"/>
    <x v="57"/>
    <n v="22"/>
    <x v="34"/>
    <x v="4"/>
    <x v="4"/>
    <n v="1639"/>
    <d v="2023-08-29T00:00:00"/>
    <x v="3"/>
    <x v="1"/>
    <d v="1899-12-30T19:20:05"/>
    <x v="54"/>
    <s v="September"/>
    <d v="1899-12-30T18:25:16"/>
    <x v="200"/>
    <x v="6"/>
    <n v="1639"/>
    <n v="10"/>
  </r>
  <r>
    <x v="300"/>
    <x v="71"/>
    <n v="6"/>
    <x v="20"/>
    <x v="3"/>
    <x v="3"/>
    <n v="1112"/>
    <d v="2023-02-27T00:00:00"/>
    <x v="0"/>
    <x v="2"/>
    <d v="1899-12-30T06:24:22"/>
    <x v="11"/>
    <s v="March"/>
    <d v="1899-12-30T16:52:16"/>
    <x v="14"/>
    <x v="5"/>
    <n v="3336"/>
    <n v="5"/>
  </r>
  <r>
    <x v="301"/>
    <x v="27"/>
    <n v="25"/>
    <x v="40"/>
    <x v="5"/>
    <x v="2"/>
    <n v="1202"/>
    <d v="2023-10-24T00:00:00"/>
    <x v="10"/>
    <x v="1"/>
    <d v="1899-12-30T13:53:05"/>
    <x v="167"/>
    <s v="October"/>
    <d v="1899-12-30T17:13:25"/>
    <x v="105"/>
    <x v="0"/>
    <n v="4808"/>
    <n v="1"/>
  </r>
  <r>
    <x v="302"/>
    <x v="70"/>
    <n v="14"/>
    <x v="2"/>
    <x v="2"/>
    <x v="4"/>
    <n v="1915"/>
    <d v="2023-11-20T00:00:00"/>
    <x v="1"/>
    <x v="2"/>
    <d v="1899-12-30T06:42:57"/>
    <x v="168"/>
    <s v="November"/>
    <d v="1899-12-30T07:08:02"/>
    <x v="81"/>
    <x v="2"/>
    <n v="1915"/>
    <n v="9"/>
  </r>
  <r>
    <x v="303"/>
    <x v="24"/>
    <n v="67"/>
    <x v="0"/>
    <x v="0"/>
    <x v="3"/>
    <n v="1374"/>
    <d v="2023-03-12T00:00:00"/>
    <x v="5"/>
    <x v="4"/>
    <d v="1899-12-30T09:24:28"/>
    <x v="40"/>
    <s v="March"/>
    <d v="1899-12-30T23:09:37"/>
    <x v="201"/>
    <x v="0"/>
    <n v="4122"/>
    <n v="7"/>
  </r>
  <r>
    <x v="304"/>
    <x v="92"/>
    <n v="26"/>
    <x v="42"/>
    <x v="2"/>
    <x v="4"/>
    <n v="289"/>
    <d v="2023-03-02T00:00:00"/>
    <x v="5"/>
    <x v="6"/>
    <d v="1899-12-30T00:10:44"/>
    <x v="101"/>
    <s v="March"/>
    <d v="1899-12-30T14:01:05"/>
    <x v="130"/>
    <x v="5"/>
    <n v="289"/>
    <n v="8"/>
  </r>
  <r>
    <x v="305"/>
    <x v="79"/>
    <n v="49"/>
    <x v="32"/>
    <x v="2"/>
    <x v="2"/>
    <n v="903"/>
    <d v="2023-02-04T00:00:00"/>
    <x v="0"/>
    <x v="3"/>
    <d v="1899-12-30T11:35:51"/>
    <x v="17"/>
    <s v="February"/>
    <d v="1899-12-30T06:38:00"/>
    <x v="202"/>
    <x v="3"/>
    <n v="3612"/>
    <n v="8"/>
  </r>
  <r>
    <x v="306"/>
    <x v="12"/>
    <n v="3"/>
    <x v="52"/>
    <x v="2"/>
    <x v="4"/>
    <n v="1534"/>
    <d v="2023-02-04T00:00:00"/>
    <x v="0"/>
    <x v="3"/>
    <d v="1899-12-30T21:37:54"/>
    <x v="62"/>
    <s v="February"/>
    <d v="1899-12-30T11:28:10"/>
    <x v="158"/>
    <x v="3"/>
    <n v="1534"/>
    <n v="4"/>
  </r>
  <r>
    <x v="307"/>
    <x v="94"/>
    <n v="57"/>
    <x v="57"/>
    <x v="2"/>
    <x v="4"/>
    <n v="1582"/>
    <d v="2023-03-09T00:00:00"/>
    <x v="5"/>
    <x v="6"/>
    <d v="1899-12-30T07:54:11"/>
    <x v="21"/>
    <s v="March"/>
    <d v="1899-12-30T12:11:24"/>
    <x v="40"/>
    <x v="2"/>
    <n v="1582"/>
    <n v="3"/>
  </r>
  <r>
    <x v="308"/>
    <x v="27"/>
    <n v="60"/>
    <x v="12"/>
    <x v="1"/>
    <x v="2"/>
    <n v="827"/>
    <d v="2023-11-10T00:00:00"/>
    <x v="1"/>
    <x v="0"/>
    <d v="1899-12-30T06:38:43"/>
    <x v="1"/>
    <s v="November"/>
    <d v="1899-12-30T05:14:33"/>
    <x v="120"/>
    <x v="1"/>
    <n v="3308"/>
    <n v="3"/>
  </r>
  <r>
    <x v="309"/>
    <x v="59"/>
    <n v="38"/>
    <x v="10"/>
    <x v="3"/>
    <x v="3"/>
    <n v="562"/>
    <d v="2023-08-20T00:00:00"/>
    <x v="3"/>
    <x v="4"/>
    <d v="1899-12-30T12:24:22"/>
    <x v="152"/>
    <s v="August"/>
    <d v="1899-12-30T15:42:48"/>
    <x v="163"/>
    <x v="2"/>
    <n v="1686"/>
    <n v="4"/>
  </r>
  <r>
    <x v="310"/>
    <x v="70"/>
    <n v="39"/>
    <x v="47"/>
    <x v="6"/>
    <x v="1"/>
    <n v="387"/>
    <d v="2023-09-02T00:00:00"/>
    <x v="7"/>
    <x v="3"/>
    <d v="1899-12-30T09:26:47"/>
    <x v="139"/>
    <s v="September"/>
    <d v="1899-12-30T17:51:43"/>
    <x v="169"/>
    <x v="6"/>
    <n v="774"/>
    <n v="10"/>
  </r>
  <r>
    <x v="311"/>
    <x v="8"/>
    <n v="9"/>
    <x v="21"/>
    <x v="2"/>
    <x v="4"/>
    <n v="1605"/>
    <d v="2023-08-22T00:00:00"/>
    <x v="3"/>
    <x v="1"/>
    <d v="1899-12-30T18:27:36"/>
    <x v="42"/>
    <s v="August"/>
    <d v="1899-12-30T06:01:14"/>
    <x v="203"/>
    <x v="4"/>
    <n v="1605"/>
    <n v="5"/>
  </r>
  <r>
    <x v="312"/>
    <x v="15"/>
    <n v="30"/>
    <x v="19"/>
    <x v="2"/>
    <x v="1"/>
    <n v="751"/>
    <d v="2023-07-22T00:00:00"/>
    <x v="2"/>
    <x v="3"/>
    <d v="1899-12-30T19:24:29"/>
    <x v="169"/>
    <s v="July"/>
    <d v="1899-12-30T06:06:13"/>
    <x v="204"/>
    <x v="0"/>
    <n v="1502"/>
    <n v="4"/>
  </r>
  <r>
    <x v="313"/>
    <x v="2"/>
    <n v="43"/>
    <x v="6"/>
    <x v="0"/>
    <x v="2"/>
    <n v="750"/>
    <d v="2023-11-05T00:00:00"/>
    <x v="1"/>
    <x v="4"/>
    <d v="1899-12-30T11:48:41"/>
    <x v="12"/>
    <s v="November"/>
    <d v="1899-12-30T04:55:25"/>
    <x v="134"/>
    <x v="1"/>
    <n v="3000"/>
    <n v="10"/>
  </r>
  <r>
    <x v="314"/>
    <x v="23"/>
    <n v="26"/>
    <x v="42"/>
    <x v="2"/>
    <x v="0"/>
    <n v="289"/>
    <d v="2023-03-06T00:00:00"/>
    <x v="5"/>
    <x v="2"/>
    <d v="1899-12-30T14:21:31"/>
    <x v="170"/>
    <s v="March"/>
    <d v="1899-12-30T19:20:21"/>
    <x v="205"/>
    <x v="5"/>
    <n v="1445"/>
    <n v="3"/>
  </r>
  <r>
    <x v="315"/>
    <x v="66"/>
    <n v="2"/>
    <x v="50"/>
    <x v="5"/>
    <x v="0"/>
    <n v="441"/>
    <d v="2023-02-11T00:00:00"/>
    <x v="0"/>
    <x v="3"/>
    <d v="1899-12-30T21:35:05"/>
    <x v="28"/>
    <s v="February"/>
    <d v="1899-12-30T07:21:50"/>
    <x v="195"/>
    <x v="3"/>
    <n v="2205"/>
    <n v="4"/>
  </r>
  <r>
    <x v="316"/>
    <x v="38"/>
    <n v="29"/>
    <x v="66"/>
    <x v="2"/>
    <x v="3"/>
    <n v="1252"/>
    <d v="2023-03-07T00:00:00"/>
    <x v="5"/>
    <x v="1"/>
    <d v="1899-12-30T18:51:27"/>
    <x v="137"/>
    <s v="March"/>
    <d v="1899-12-30T16:12:50"/>
    <x v="87"/>
    <x v="5"/>
    <n v="3756"/>
    <n v="8"/>
  </r>
  <r>
    <x v="317"/>
    <x v="56"/>
    <n v="26"/>
    <x v="42"/>
    <x v="2"/>
    <x v="0"/>
    <n v="289"/>
    <d v="2023-03-07T00:00:00"/>
    <x v="5"/>
    <x v="1"/>
    <d v="1899-12-30T12:15:49"/>
    <x v="57"/>
    <s v="March"/>
    <d v="1899-12-30T15:59:47"/>
    <x v="206"/>
    <x v="5"/>
    <n v="1445"/>
    <n v="4"/>
  </r>
  <r>
    <x v="318"/>
    <x v="8"/>
    <n v="64"/>
    <x v="61"/>
    <x v="4"/>
    <x v="4"/>
    <n v="1878"/>
    <d v="2023-08-20T00:00:00"/>
    <x v="3"/>
    <x v="4"/>
    <d v="1899-12-30T06:23:07"/>
    <x v="4"/>
    <s v="August"/>
    <d v="1899-12-30T22:44:23"/>
    <x v="207"/>
    <x v="4"/>
    <n v="1878"/>
    <n v="6"/>
  </r>
  <r>
    <x v="319"/>
    <x v="78"/>
    <n v="13"/>
    <x v="64"/>
    <x v="6"/>
    <x v="4"/>
    <n v="1141"/>
    <d v="2023-03-01T00:00:00"/>
    <x v="5"/>
    <x v="5"/>
    <d v="1899-12-30T07:49:55"/>
    <x v="8"/>
    <s v="March"/>
    <d v="1899-12-30T08:38:21"/>
    <x v="167"/>
    <x v="5"/>
    <n v="1141"/>
    <n v="7"/>
  </r>
  <r>
    <x v="320"/>
    <x v="77"/>
    <n v="12"/>
    <x v="17"/>
    <x v="5"/>
    <x v="0"/>
    <n v="672"/>
    <d v="2023-03-08T00:00:00"/>
    <x v="5"/>
    <x v="5"/>
    <d v="1899-12-30T11:27:05"/>
    <x v="171"/>
    <s v="March"/>
    <d v="1899-12-30T09:51:43"/>
    <x v="208"/>
    <x v="0"/>
    <n v="3360"/>
    <n v="9"/>
  </r>
  <r>
    <x v="321"/>
    <x v="15"/>
    <n v="15"/>
    <x v="51"/>
    <x v="0"/>
    <x v="4"/>
    <n v="1488"/>
    <d v="2023-04-11T00:00:00"/>
    <x v="9"/>
    <x v="1"/>
    <d v="1899-12-30T08:32:11"/>
    <x v="172"/>
    <s v="April"/>
    <d v="1899-12-30T03:30:27"/>
    <x v="209"/>
    <x v="0"/>
    <n v="1488"/>
    <n v="4"/>
  </r>
  <r>
    <x v="322"/>
    <x v="14"/>
    <n v="23"/>
    <x v="13"/>
    <x v="1"/>
    <x v="1"/>
    <n v="1098"/>
    <d v="2023-02-09T00:00:00"/>
    <x v="0"/>
    <x v="6"/>
    <d v="1899-12-30T18:13:04"/>
    <x v="145"/>
    <s v="February"/>
    <d v="1899-12-30T10:22:35"/>
    <x v="183"/>
    <x v="0"/>
    <n v="2196"/>
    <n v="1"/>
  </r>
  <r>
    <x v="323"/>
    <x v="95"/>
    <n v="14"/>
    <x v="2"/>
    <x v="2"/>
    <x v="1"/>
    <n v="1915"/>
    <d v="2023-02-02T00:00:00"/>
    <x v="0"/>
    <x v="6"/>
    <d v="1899-12-30T18:47:28"/>
    <x v="68"/>
    <s v="February"/>
    <d v="1899-12-30T15:34:54"/>
    <x v="210"/>
    <x v="2"/>
    <n v="3830"/>
    <n v="9"/>
  </r>
  <r>
    <x v="324"/>
    <x v="22"/>
    <n v="27"/>
    <x v="7"/>
    <x v="3"/>
    <x v="0"/>
    <n v="548"/>
    <d v="2023-08-25T00:00:00"/>
    <x v="3"/>
    <x v="0"/>
    <d v="1899-12-30T18:30:45"/>
    <x v="126"/>
    <s v="September"/>
    <d v="1899-12-30T20:02:37"/>
    <x v="111"/>
    <x v="4"/>
    <n v="2740"/>
    <n v="10"/>
  </r>
  <r>
    <x v="325"/>
    <x v="24"/>
    <n v="34"/>
    <x v="41"/>
    <x v="4"/>
    <x v="3"/>
    <n v="1335"/>
    <d v="2023-08-27T00:00:00"/>
    <x v="3"/>
    <x v="4"/>
    <d v="1899-12-30T15:39:05"/>
    <x v="104"/>
    <s v="September"/>
    <d v="1899-12-30T15:33:32"/>
    <x v="211"/>
    <x v="4"/>
    <n v="4005"/>
    <n v="7"/>
  </r>
  <r>
    <x v="326"/>
    <x v="66"/>
    <n v="51"/>
    <x v="38"/>
    <x v="4"/>
    <x v="4"/>
    <n v="1084"/>
    <d v="2023-09-24T00:00:00"/>
    <x v="7"/>
    <x v="4"/>
    <d v="1899-12-30T09:29:05"/>
    <x v="173"/>
    <s v="September"/>
    <d v="1899-12-30T20:09:05"/>
    <x v="195"/>
    <x v="6"/>
    <n v="1084"/>
    <n v="2"/>
  </r>
  <r>
    <x v="327"/>
    <x v="11"/>
    <n v="23"/>
    <x v="13"/>
    <x v="1"/>
    <x v="3"/>
    <n v="1098"/>
    <d v="2023-04-17T00:00:00"/>
    <x v="9"/>
    <x v="2"/>
    <d v="1899-12-30T17:51:38"/>
    <x v="174"/>
    <s v="April"/>
    <d v="1899-12-30T08:59:18"/>
    <x v="212"/>
    <x v="0"/>
    <n v="3294"/>
    <n v="5"/>
  </r>
  <r>
    <x v="328"/>
    <x v="42"/>
    <n v="17"/>
    <x v="25"/>
    <x v="4"/>
    <x v="3"/>
    <n v="1899"/>
    <d v="2023-08-26T00:00:00"/>
    <x v="3"/>
    <x v="3"/>
    <d v="1899-12-30T02:22:03"/>
    <x v="126"/>
    <s v="September"/>
    <d v="1899-12-30T03:08:52"/>
    <x v="213"/>
    <x v="0"/>
    <n v="5697"/>
    <n v="9"/>
  </r>
  <r>
    <x v="329"/>
    <x v="35"/>
    <n v="59"/>
    <x v="58"/>
    <x v="3"/>
    <x v="1"/>
    <n v="811"/>
    <d v="2023-08-24T00:00:00"/>
    <x v="3"/>
    <x v="6"/>
    <d v="1899-12-30T20:25:09"/>
    <x v="141"/>
    <s v="September"/>
    <d v="1899-12-30T12:26:20"/>
    <x v="76"/>
    <x v="4"/>
    <n v="1622"/>
    <n v="8"/>
  </r>
  <r>
    <x v="330"/>
    <x v="40"/>
    <n v="41"/>
    <x v="1"/>
    <x v="1"/>
    <x v="0"/>
    <n v="1977"/>
    <d v="2023-11-04T00:00:00"/>
    <x v="1"/>
    <x v="3"/>
    <d v="1899-12-30T21:49:56"/>
    <x v="30"/>
    <s v="November"/>
    <d v="1899-12-30T14:13:32"/>
    <x v="189"/>
    <x v="1"/>
    <n v="9885"/>
    <n v="1"/>
  </r>
  <r>
    <x v="331"/>
    <x v="91"/>
    <n v="20"/>
    <x v="11"/>
    <x v="2"/>
    <x v="0"/>
    <n v="697"/>
    <d v="2023-04-11T00:00:00"/>
    <x v="9"/>
    <x v="1"/>
    <d v="1899-12-30T20:14:13"/>
    <x v="156"/>
    <s v="April"/>
    <d v="1899-12-30T14:10:44"/>
    <x v="13"/>
    <x v="0"/>
    <n v="3485"/>
    <n v="7"/>
  </r>
  <r>
    <x v="332"/>
    <x v="60"/>
    <n v="22"/>
    <x v="34"/>
    <x v="4"/>
    <x v="0"/>
    <n v="1639"/>
    <d v="2023-02-09T00:00:00"/>
    <x v="0"/>
    <x v="6"/>
    <d v="1899-12-30T06:19:15"/>
    <x v="145"/>
    <s v="February"/>
    <d v="1899-12-30T03:46:29"/>
    <x v="214"/>
    <x v="6"/>
    <n v="8195"/>
    <n v="1"/>
  </r>
  <r>
    <x v="333"/>
    <x v="31"/>
    <n v="53"/>
    <x v="65"/>
    <x v="1"/>
    <x v="4"/>
    <n v="1672"/>
    <d v="2023-08-28T00:00:00"/>
    <x v="3"/>
    <x v="2"/>
    <d v="1899-12-30T21:19:46"/>
    <x v="141"/>
    <s v="September"/>
    <d v="1899-12-30T22:03:03"/>
    <x v="134"/>
    <x v="4"/>
    <n v="1672"/>
    <n v="4"/>
  </r>
  <r>
    <x v="334"/>
    <x v="14"/>
    <n v="17"/>
    <x v="25"/>
    <x v="4"/>
    <x v="1"/>
    <n v="1899"/>
    <d v="2023-11-06T00:00:00"/>
    <x v="1"/>
    <x v="2"/>
    <d v="1899-12-30T02:09:35"/>
    <x v="74"/>
    <s v="November"/>
    <d v="1899-12-30T02:23:24"/>
    <x v="215"/>
    <x v="0"/>
    <n v="3798"/>
    <n v="2"/>
  </r>
  <r>
    <x v="335"/>
    <x v="13"/>
    <n v="53"/>
    <x v="65"/>
    <x v="1"/>
    <x v="4"/>
    <n v="1672"/>
    <d v="2023-08-20T00:00:00"/>
    <x v="3"/>
    <x v="4"/>
    <d v="1899-12-30T04:32:24"/>
    <x v="175"/>
    <s v="August"/>
    <d v="1899-12-30T19:54:17"/>
    <x v="201"/>
    <x v="4"/>
    <n v="1672"/>
    <n v="5"/>
  </r>
  <r>
    <x v="336"/>
    <x v="54"/>
    <n v="24"/>
    <x v="54"/>
    <x v="6"/>
    <x v="3"/>
    <n v="535"/>
    <d v="2023-05-16T00:00:00"/>
    <x v="4"/>
    <x v="1"/>
    <d v="1899-12-30T14:21:12"/>
    <x v="176"/>
    <s v="May"/>
    <d v="1899-12-30T20:26:13"/>
    <x v="177"/>
    <x v="2"/>
    <n v="1605"/>
    <n v="6"/>
  </r>
  <r>
    <x v="337"/>
    <x v="72"/>
    <n v="21"/>
    <x v="8"/>
    <x v="2"/>
    <x v="3"/>
    <n v="1561"/>
    <d v="2023-08-20T00:00:00"/>
    <x v="3"/>
    <x v="4"/>
    <d v="1899-12-30T14:15:51"/>
    <x v="56"/>
    <s v="August"/>
    <d v="1899-12-30T01:34:07"/>
    <x v="211"/>
    <x v="4"/>
    <n v="4683"/>
    <n v="8"/>
  </r>
  <r>
    <x v="338"/>
    <x v="67"/>
    <n v="8"/>
    <x v="24"/>
    <x v="1"/>
    <x v="4"/>
    <n v="252"/>
    <d v="2023-09-20T00:00:00"/>
    <x v="7"/>
    <x v="5"/>
    <d v="1899-12-30T20:07:19"/>
    <x v="177"/>
    <s v="September"/>
    <d v="1899-12-30T10:50:19"/>
    <x v="5"/>
    <x v="0"/>
    <n v="252"/>
    <n v="9"/>
  </r>
  <r>
    <x v="339"/>
    <x v="89"/>
    <n v="38"/>
    <x v="10"/>
    <x v="3"/>
    <x v="3"/>
    <n v="562"/>
    <d v="2023-07-14T00:00:00"/>
    <x v="2"/>
    <x v="0"/>
    <d v="1899-12-30T07:53:01"/>
    <x v="178"/>
    <s v="July"/>
    <d v="1899-12-30T02:56:01"/>
    <x v="126"/>
    <x v="2"/>
    <n v="1686"/>
    <n v="8"/>
  </r>
  <r>
    <x v="340"/>
    <x v="51"/>
    <n v="9"/>
    <x v="21"/>
    <x v="2"/>
    <x v="1"/>
    <n v="1605"/>
    <d v="2023-08-20T00:00:00"/>
    <x v="3"/>
    <x v="4"/>
    <d v="1899-12-30T14:54:35"/>
    <x v="13"/>
    <s v="August"/>
    <d v="1899-12-30T22:32:13"/>
    <x v="216"/>
    <x v="4"/>
    <n v="3210"/>
    <n v="10"/>
  </r>
  <r>
    <x v="341"/>
    <x v="52"/>
    <n v="36"/>
    <x v="37"/>
    <x v="5"/>
    <x v="0"/>
    <n v="203"/>
    <d v="2023-11-03T00:00:00"/>
    <x v="1"/>
    <x v="0"/>
    <d v="1899-12-30T04:03:43"/>
    <x v="74"/>
    <s v="November"/>
    <d v="1899-12-30T16:26:16"/>
    <x v="69"/>
    <x v="2"/>
    <n v="1015"/>
    <n v="5"/>
  </r>
  <r>
    <x v="342"/>
    <x v="34"/>
    <n v="66"/>
    <x v="26"/>
    <x v="2"/>
    <x v="3"/>
    <n v="610"/>
    <d v="2023-03-06T00:00:00"/>
    <x v="5"/>
    <x v="2"/>
    <d v="1899-12-30T14:12:40"/>
    <x v="170"/>
    <s v="March"/>
    <d v="1899-12-30T09:27:05"/>
    <x v="217"/>
    <x v="5"/>
    <n v="1830"/>
    <n v="3"/>
  </r>
  <r>
    <x v="343"/>
    <x v="37"/>
    <n v="28"/>
    <x v="4"/>
    <x v="1"/>
    <x v="0"/>
    <n v="1778"/>
    <d v="2023-08-29T00:00:00"/>
    <x v="3"/>
    <x v="1"/>
    <d v="1899-12-30T17:06:22"/>
    <x v="104"/>
    <s v="September"/>
    <d v="1899-12-30T06:28:07"/>
    <x v="133"/>
    <x v="4"/>
    <n v="8890"/>
    <n v="5"/>
  </r>
  <r>
    <x v="344"/>
    <x v="15"/>
    <n v="45"/>
    <x v="5"/>
    <x v="0"/>
    <x v="2"/>
    <n v="722"/>
    <d v="2023-09-15T00:00:00"/>
    <x v="7"/>
    <x v="0"/>
    <d v="1899-12-30T15:40:42"/>
    <x v="179"/>
    <s v="September"/>
    <d v="1899-12-30T23:11:31"/>
    <x v="202"/>
    <x v="2"/>
    <n v="2888"/>
    <n v="8"/>
  </r>
  <r>
    <x v="345"/>
    <x v="18"/>
    <n v="50"/>
    <x v="56"/>
    <x v="5"/>
    <x v="4"/>
    <n v="422"/>
    <d v="2023-03-04T00:00:00"/>
    <x v="5"/>
    <x v="3"/>
    <d v="1899-12-30T23:24:17"/>
    <x v="21"/>
    <s v="March"/>
    <d v="1899-12-30T16:46:34"/>
    <x v="146"/>
    <x v="5"/>
    <n v="422"/>
    <n v="8"/>
  </r>
  <r>
    <x v="346"/>
    <x v="96"/>
    <n v="34"/>
    <x v="41"/>
    <x v="4"/>
    <x v="1"/>
    <n v="1335"/>
    <d v="2023-08-29T00:00:00"/>
    <x v="3"/>
    <x v="1"/>
    <d v="1899-12-30T09:46:21"/>
    <x v="54"/>
    <s v="September"/>
    <d v="1899-12-30T08:37:09"/>
    <x v="218"/>
    <x v="4"/>
    <n v="2670"/>
    <n v="10"/>
  </r>
  <r>
    <x v="347"/>
    <x v="58"/>
    <n v="30"/>
    <x v="19"/>
    <x v="2"/>
    <x v="1"/>
    <n v="751"/>
    <d v="2023-11-28T00:00:00"/>
    <x v="1"/>
    <x v="1"/>
    <d v="1899-12-30T20:33:37"/>
    <x v="105"/>
    <s v="December"/>
    <d v="1899-12-30T12:02:59"/>
    <x v="70"/>
    <x v="0"/>
    <n v="1502"/>
    <n v="9"/>
  </r>
  <r>
    <x v="348"/>
    <x v="48"/>
    <n v="44"/>
    <x v="39"/>
    <x v="5"/>
    <x v="2"/>
    <n v="794"/>
    <d v="2023-11-11T00:00:00"/>
    <x v="1"/>
    <x v="3"/>
    <d v="1899-12-30T03:32:37"/>
    <x v="60"/>
    <s v="November"/>
    <d v="1899-12-30T10:31:13"/>
    <x v="168"/>
    <x v="1"/>
    <n v="3176"/>
    <n v="1"/>
  </r>
  <r>
    <x v="349"/>
    <x v="37"/>
    <n v="19"/>
    <x v="27"/>
    <x v="6"/>
    <x v="3"/>
    <n v="1234"/>
    <d v="2023-02-13T00:00:00"/>
    <x v="0"/>
    <x v="2"/>
    <d v="1899-12-30T12:22:57"/>
    <x v="180"/>
    <s v="February"/>
    <d v="1899-12-30T16:26:10"/>
    <x v="103"/>
    <x v="3"/>
    <n v="3702"/>
    <n v="9"/>
  </r>
  <r>
    <x v="350"/>
    <x v="9"/>
    <n v="1"/>
    <x v="48"/>
    <x v="4"/>
    <x v="4"/>
    <n v="1935"/>
    <d v="2023-01-16T00:00:00"/>
    <x v="8"/>
    <x v="2"/>
    <d v="1899-12-30T15:11:07"/>
    <x v="92"/>
    <s v="January"/>
    <d v="1899-12-30T22:29:59"/>
    <x v="137"/>
    <x v="6"/>
    <n v="1935"/>
    <n v="9"/>
  </r>
  <r>
    <x v="351"/>
    <x v="32"/>
    <n v="28"/>
    <x v="4"/>
    <x v="1"/>
    <x v="4"/>
    <n v="1778"/>
    <d v="2023-08-23T00:00:00"/>
    <x v="3"/>
    <x v="5"/>
    <d v="1899-12-30T23:49:45"/>
    <x v="66"/>
    <s v="September"/>
    <d v="1899-12-30T09:14:52"/>
    <x v="202"/>
    <x v="4"/>
    <n v="1778"/>
    <n v="10"/>
  </r>
  <r>
    <x v="352"/>
    <x v="85"/>
    <n v="55"/>
    <x v="60"/>
    <x v="4"/>
    <x v="1"/>
    <n v="1904"/>
    <d v="2023-08-21T00:00:00"/>
    <x v="3"/>
    <x v="2"/>
    <d v="1899-12-30T09:43:27"/>
    <x v="152"/>
    <s v="August"/>
    <d v="1899-12-30T14:12:14"/>
    <x v="182"/>
    <x v="4"/>
    <n v="3808"/>
    <n v="3"/>
  </r>
  <r>
    <x v="353"/>
    <x v="72"/>
    <n v="13"/>
    <x v="64"/>
    <x v="6"/>
    <x v="0"/>
    <n v="1141"/>
    <d v="2023-02-26T00:00:00"/>
    <x v="0"/>
    <x v="4"/>
    <d v="1899-12-30T17:25:28"/>
    <x v="44"/>
    <s v="March"/>
    <d v="1899-12-30T09:43:32"/>
    <x v="81"/>
    <x v="5"/>
    <n v="5705"/>
    <n v="8"/>
  </r>
  <r>
    <x v="354"/>
    <x v="9"/>
    <n v="10"/>
    <x v="22"/>
    <x v="3"/>
    <x v="4"/>
    <n v="259"/>
    <d v="2023-12-24T00:00:00"/>
    <x v="6"/>
    <x v="4"/>
    <d v="1899-12-30T04:52:44"/>
    <x v="181"/>
    <s v="January"/>
    <d v="1899-12-30T09:38:33"/>
    <x v="106"/>
    <x v="2"/>
    <n v="259"/>
    <n v="9"/>
  </r>
  <r>
    <x v="355"/>
    <x v="51"/>
    <n v="14"/>
    <x v="2"/>
    <x v="2"/>
    <x v="4"/>
    <n v="1915"/>
    <d v="2023-07-08T00:00:00"/>
    <x v="2"/>
    <x v="3"/>
    <d v="1899-12-30T00:41:40"/>
    <x v="129"/>
    <s v="July"/>
    <d v="1899-12-30T04:31:42"/>
    <x v="174"/>
    <x v="2"/>
    <n v="1915"/>
    <n v="1"/>
  </r>
  <r>
    <x v="356"/>
    <x v="23"/>
    <n v="62"/>
    <x v="14"/>
    <x v="2"/>
    <x v="2"/>
    <n v="1356"/>
    <d v="2023-03-03T00:00:00"/>
    <x v="5"/>
    <x v="0"/>
    <d v="1899-12-30T20:01:18"/>
    <x v="82"/>
    <s v="March"/>
    <d v="1899-12-30T20:55:34"/>
    <x v="219"/>
    <x v="5"/>
    <n v="5424"/>
    <n v="10"/>
  </r>
  <r>
    <x v="357"/>
    <x v="5"/>
    <n v="55"/>
    <x v="60"/>
    <x v="4"/>
    <x v="4"/>
    <n v="1904"/>
    <d v="2023-08-20T00:00:00"/>
    <x v="3"/>
    <x v="4"/>
    <d v="1899-12-30T16:53:29"/>
    <x v="175"/>
    <s v="August"/>
    <d v="1899-12-30T13:30:37"/>
    <x v="220"/>
    <x v="4"/>
    <n v="1904"/>
    <n v="5"/>
  </r>
  <r>
    <x v="358"/>
    <x v="91"/>
    <n v="47"/>
    <x v="49"/>
    <x v="2"/>
    <x v="1"/>
    <n v="1638"/>
    <d v="2023-02-28T00:00:00"/>
    <x v="0"/>
    <x v="1"/>
    <d v="1899-12-30T12:13:36"/>
    <x v="0"/>
    <s v="March"/>
    <d v="1899-12-30T20:31:30"/>
    <x v="198"/>
    <x v="5"/>
    <n v="3276"/>
    <n v="5"/>
  </r>
  <r>
    <x v="359"/>
    <x v="9"/>
    <n v="41"/>
    <x v="1"/>
    <x v="1"/>
    <x v="4"/>
    <n v="1977"/>
    <d v="2023-11-06T00:00:00"/>
    <x v="1"/>
    <x v="2"/>
    <d v="1899-12-30T03:11:57"/>
    <x v="148"/>
    <s v="November"/>
    <d v="1899-12-30T17:45:31"/>
    <x v="9"/>
    <x v="1"/>
    <n v="1977"/>
    <n v="3"/>
  </r>
  <r>
    <x v="360"/>
    <x v="77"/>
    <n v="47"/>
    <x v="49"/>
    <x v="2"/>
    <x v="2"/>
    <n v="1638"/>
    <d v="2023-03-03T00:00:00"/>
    <x v="5"/>
    <x v="0"/>
    <d v="1899-12-30T06:09:56"/>
    <x v="57"/>
    <s v="March"/>
    <d v="1899-12-30T08:33:10"/>
    <x v="4"/>
    <x v="5"/>
    <n v="6552"/>
    <n v="8"/>
  </r>
  <r>
    <x v="361"/>
    <x v="20"/>
    <n v="31"/>
    <x v="43"/>
    <x v="2"/>
    <x v="1"/>
    <n v="1804"/>
    <d v="2023-03-10T00:00:00"/>
    <x v="5"/>
    <x v="0"/>
    <d v="1899-12-30T03:40:01"/>
    <x v="171"/>
    <s v="March"/>
    <d v="1899-12-30T10:35:23"/>
    <x v="213"/>
    <x v="6"/>
    <n v="3608"/>
    <n v="7"/>
  </r>
  <r>
    <x v="362"/>
    <x v="73"/>
    <n v="15"/>
    <x v="51"/>
    <x v="0"/>
    <x v="1"/>
    <n v="1488"/>
    <d v="2023-11-27T00:00:00"/>
    <x v="1"/>
    <x v="2"/>
    <d v="1899-12-30T19:01:01"/>
    <x v="182"/>
    <s v="December"/>
    <d v="1899-12-30T01:50:36"/>
    <x v="39"/>
    <x v="0"/>
    <n v="2976"/>
    <n v="8"/>
  </r>
  <r>
    <x v="363"/>
    <x v="92"/>
    <n v="43"/>
    <x v="6"/>
    <x v="0"/>
    <x v="3"/>
    <n v="750"/>
    <d v="2023-11-08T00:00:00"/>
    <x v="1"/>
    <x v="5"/>
    <d v="1899-12-30T06:09:01"/>
    <x v="148"/>
    <s v="November"/>
    <d v="1899-12-30T04:37:33"/>
    <x v="106"/>
    <x v="1"/>
    <n v="2250"/>
    <n v="1"/>
  </r>
  <r>
    <x v="364"/>
    <x v="51"/>
    <n v="8"/>
    <x v="24"/>
    <x v="1"/>
    <x v="0"/>
    <n v="252"/>
    <d v="2023-06-01T00:00:00"/>
    <x v="11"/>
    <x v="6"/>
    <d v="1899-12-30T15:31:47"/>
    <x v="183"/>
    <s v="June"/>
    <d v="1899-12-30T10:15:29"/>
    <x v="72"/>
    <x v="0"/>
    <n v="1260"/>
    <n v="3"/>
  </r>
  <r>
    <x v="365"/>
    <x v="47"/>
    <n v="3"/>
    <x v="52"/>
    <x v="2"/>
    <x v="3"/>
    <n v="1534"/>
    <d v="2023-02-08T00:00:00"/>
    <x v="0"/>
    <x v="5"/>
    <d v="1899-12-30T23:15:47"/>
    <x v="33"/>
    <s v="February"/>
    <d v="1899-12-30T10:51:38"/>
    <x v="103"/>
    <x v="3"/>
    <n v="4602"/>
    <n v="8"/>
  </r>
  <r>
    <x v="366"/>
    <x v="53"/>
    <n v="47"/>
    <x v="49"/>
    <x v="2"/>
    <x v="0"/>
    <n v="1638"/>
    <d v="2023-03-03T00:00:00"/>
    <x v="5"/>
    <x v="0"/>
    <d v="1899-12-30T00:44:09"/>
    <x v="21"/>
    <s v="March"/>
    <d v="1899-12-30T15:05:03"/>
    <x v="214"/>
    <x v="5"/>
    <n v="8190"/>
    <n v="9"/>
  </r>
  <r>
    <x v="367"/>
    <x v="12"/>
    <n v="6"/>
    <x v="20"/>
    <x v="3"/>
    <x v="3"/>
    <n v="1112"/>
    <d v="2023-03-04T00:00:00"/>
    <x v="5"/>
    <x v="3"/>
    <d v="1899-12-30T23:03:22"/>
    <x v="44"/>
    <s v="March"/>
    <d v="1899-12-30T02:52:10"/>
    <x v="213"/>
    <x v="5"/>
    <n v="3336"/>
    <n v="2"/>
  </r>
  <r>
    <x v="368"/>
    <x v="38"/>
    <n v="63"/>
    <x v="67"/>
    <x v="1"/>
    <x v="3"/>
    <n v="1348"/>
    <d v="2023-08-07T00:00:00"/>
    <x v="3"/>
    <x v="2"/>
    <d v="1899-12-30T07:23:44"/>
    <x v="184"/>
    <s v="August"/>
    <d v="1899-12-30T04:28:30"/>
    <x v="176"/>
    <x v="6"/>
    <n v="4044"/>
    <n v="8"/>
  </r>
  <r>
    <x v="369"/>
    <x v="95"/>
    <n v="54"/>
    <x v="30"/>
    <x v="3"/>
    <x v="1"/>
    <n v="1236"/>
    <d v="2023-07-09T00:00:00"/>
    <x v="2"/>
    <x v="4"/>
    <d v="1899-12-30T05:57:39"/>
    <x v="185"/>
    <s v="July"/>
    <d v="1899-12-30T19:01:40"/>
    <x v="50"/>
    <x v="0"/>
    <n v="2472"/>
    <n v="4"/>
  </r>
  <r>
    <x v="370"/>
    <x v="18"/>
    <n v="23"/>
    <x v="13"/>
    <x v="1"/>
    <x v="2"/>
    <n v="1098"/>
    <d v="2023-05-15T00:00:00"/>
    <x v="4"/>
    <x v="2"/>
    <d v="1899-12-30T01:27:58"/>
    <x v="186"/>
    <s v="May"/>
    <d v="1899-12-30T10:28:47"/>
    <x v="126"/>
    <x v="0"/>
    <n v="4392"/>
    <n v="4"/>
  </r>
  <r>
    <x v="371"/>
    <x v="34"/>
    <n v="25"/>
    <x v="40"/>
    <x v="5"/>
    <x v="3"/>
    <n v="1202"/>
    <d v="2023-11-08T00:00:00"/>
    <x v="1"/>
    <x v="5"/>
    <d v="1899-12-30T19:04:25"/>
    <x v="39"/>
    <s v="November"/>
    <d v="1899-12-30T18:28:46"/>
    <x v="132"/>
    <x v="0"/>
    <n v="3606"/>
    <n v="10"/>
  </r>
  <r>
    <x v="372"/>
    <x v="68"/>
    <n v="65"/>
    <x v="35"/>
    <x v="0"/>
    <x v="1"/>
    <n v="1895"/>
    <d v="2023-06-07T00:00:00"/>
    <x v="11"/>
    <x v="5"/>
    <d v="1899-12-30T20:49:11"/>
    <x v="31"/>
    <s v="June"/>
    <d v="1899-12-30T23:57:40"/>
    <x v="210"/>
    <x v="6"/>
    <n v="3790"/>
    <n v="3"/>
  </r>
  <r>
    <x v="373"/>
    <x v="72"/>
    <n v="4"/>
    <x v="44"/>
    <x v="1"/>
    <x v="4"/>
    <n v="1199"/>
    <d v="2023-11-07T00:00:00"/>
    <x v="1"/>
    <x v="1"/>
    <d v="1899-12-30T07:47:32"/>
    <x v="148"/>
    <s v="November"/>
    <d v="1899-12-30T22:32:44"/>
    <x v="41"/>
    <x v="1"/>
    <n v="1199"/>
    <n v="2"/>
  </r>
  <r>
    <x v="374"/>
    <x v="22"/>
    <n v="46"/>
    <x v="62"/>
    <x v="3"/>
    <x v="4"/>
    <n v="758"/>
    <d v="2023-02-11T00:00:00"/>
    <x v="0"/>
    <x v="3"/>
    <d v="1899-12-30T04:16:25"/>
    <x v="14"/>
    <s v="February"/>
    <d v="1899-12-30T19:37:38"/>
    <x v="221"/>
    <x v="0"/>
    <n v="758"/>
    <n v="9"/>
  </r>
  <r>
    <x v="375"/>
    <x v="7"/>
    <n v="10"/>
    <x v="22"/>
    <x v="3"/>
    <x v="1"/>
    <n v="259"/>
    <d v="2023-05-14T00:00:00"/>
    <x v="4"/>
    <x v="4"/>
    <d v="1899-12-30T20:18:32"/>
    <x v="186"/>
    <s v="May"/>
    <d v="1899-12-30T23:48:02"/>
    <x v="26"/>
    <x v="2"/>
    <n v="518"/>
    <n v="5"/>
  </r>
  <r>
    <x v="376"/>
    <x v="14"/>
    <n v="55"/>
    <x v="60"/>
    <x v="4"/>
    <x v="2"/>
    <n v="1904"/>
    <d v="2023-08-26T00:00:00"/>
    <x v="3"/>
    <x v="3"/>
    <d v="1899-12-30T08:34:06"/>
    <x v="53"/>
    <s v="August"/>
    <d v="1899-12-30T11:47:09"/>
    <x v="222"/>
    <x v="4"/>
    <n v="7616"/>
    <n v="5"/>
  </r>
  <r>
    <x v="377"/>
    <x v="5"/>
    <n v="6"/>
    <x v="20"/>
    <x v="3"/>
    <x v="1"/>
    <n v="1112"/>
    <d v="2023-03-01T00:00:00"/>
    <x v="5"/>
    <x v="5"/>
    <d v="1899-12-30T11:30:20"/>
    <x v="8"/>
    <s v="March"/>
    <d v="1899-12-30T19:26:52"/>
    <x v="223"/>
    <x v="5"/>
    <n v="2224"/>
    <n v="7"/>
  </r>
  <r>
    <x v="378"/>
    <x v="4"/>
    <n v="66"/>
    <x v="26"/>
    <x v="2"/>
    <x v="4"/>
    <n v="610"/>
    <d v="2023-03-03T00:00:00"/>
    <x v="5"/>
    <x v="0"/>
    <d v="1899-12-30T23:31:41"/>
    <x v="44"/>
    <s v="March"/>
    <d v="1899-12-30T10:44:03"/>
    <x v="39"/>
    <x v="5"/>
    <n v="610"/>
    <n v="3"/>
  </r>
  <r>
    <x v="379"/>
    <x v="6"/>
    <n v="60"/>
    <x v="12"/>
    <x v="1"/>
    <x v="2"/>
    <n v="827"/>
    <d v="2023-11-08T00:00:00"/>
    <x v="1"/>
    <x v="5"/>
    <d v="1899-12-30T13:33:02"/>
    <x v="12"/>
    <s v="November"/>
    <d v="1899-12-30T23:40:37"/>
    <x v="224"/>
    <x v="1"/>
    <n v="3308"/>
    <n v="7"/>
  </r>
  <r>
    <x v="380"/>
    <x v="14"/>
    <n v="25"/>
    <x v="40"/>
    <x v="5"/>
    <x v="3"/>
    <n v="1202"/>
    <d v="2023-01-25T00:00:00"/>
    <x v="8"/>
    <x v="5"/>
    <d v="1899-12-30T18:30:03"/>
    <x v="187"/>
    <s v="January"/>
    <d v="1899-12-30T06:21:06"/>
    <x v="201"/>
    <x v="0"/>
    <n v="3606"/>
    <n v="3"/>
  </r>
  <r>
    <x v="381"/>
    <x v="92"/>
    <n v="24"/>
    <x v="54"/>
    <x v="6"/>
    <x v="4"/>
    <n v="535"/>
    <d v="2023-06-03T00:00:00"/>
    <x v="11"/>
    <x v="3"/>
    <d v="1899-12-30T10:02:19"/>
    <x v="188"/>
    <s v="June"/>
    <d v="1899-12-30T21:53:48"/>
    <x v="132"/>
    <x v="2"/>
    <n v="535"/>
    <n v="10"/>
  </r>
  <r>
    <x v="382"/>
    <x v="82"/>
    <n v="37"/>
    <x v="28"/>
    <x v="2"/>
    <x v="4"/>
    <n v="1428"/>
    <d v="2023-11-06T00:00:00"/>
    <x v="1"/>
    <x v="2"/>
    <d v="1899-12-30T00:16:45"/>
    <x v="74"/>
    <s v="November"/>
    <d v="1899-12-30T20:09:52"/>
    <x v="211"/>
    <x v="1"/>
    <n v="1428"/>
    <n v="2"/>
  </r>
  <r>
    <x v="383"/>
    <x v="84"/>
    <n v="25"/>
    <x v="40"/>
    <x v="5"/>
    <x v="3"/>
    <n v="1202"/>
    <d v="2023-05-11T00:00:00"/>
    <x v="4"/>
    <x v="6"/>
    <d v="1899-12-30T16:57:57"/>
    <x v="189"/>
    <s v="May"/>
    <d v="1899-12-30T13:57:13"/>
    <x v="137"/>
    <x v="0"/>
    <n v="3606"/>
    <n v="4"/>
  </r>
  <r>
    <x v="384"/>
    <x v="97"/>
    <n v="50"/>
    <x v="56"/>
    <x v="5"/>
    <x v="2"/>
    <n v="422"/>
    <d v="2023-03-03T00:00:00"/>
    <x v="5"/>
    <x v="0"/>
    <d v="1899-12-30T01:16:01"/>
    <x v="8"/>
    <s v="March"/>
    <d v="1899-12-30T10:46:18"/>
    <x v="181"/>
    <x v="5"/>
    <n v="1688"/>
    <n v="5"/>
  </r>
  <r>
    <x v="385"/>
    <x v="22"/>
    <n v="5"/>
    <x v="36"/>
    <x v="2"/>
    <x v="2"/>
    <n v="1444"/>
    <d v="2023-06-04T00:00:00"/>
    <x v="11"/>
    <x v="4"/>
    <d v="1899-12-30T12:47:45"/>
    <x v="190"/>
    <s v="June"/>
    <d v="1899-12-30T21:34:41"/>
    <x v="161"/>
    <x v="6"/>
    <n v="5776"/>
    <n v="10"/>
  </r>
  <r>
    <x v="386"/>
    <x v="59"/>
    <n v="1"/>
    <x v="48"/>
    <x v="4"/>
    <x v="1"/>
    <n v="1935"/>
    <d v="2023-04-30T00:00:00"/>
    <x v="9"/>
    <x v="4"/>
    <d v="1899-12-30T05:38:25"/>
    <x v="191"/>
    <s v="May"/>
    <d v="1899-12-30T02:15:58"/>
    <x v="51"/>
    <x v="6"/>
    <n v="3870"/>
    <n v="9"/>
  </r>
  <r>
    <x v="387"/>
    <x v="31"/>
    <n v="36"/>
    <x v="37"/>
    <x v="5"/>
    <x v="1"/>
    <n v="203"/>
    <d v="2023-11-10T00:00:00"/>
    <x v="1"/>
    <x v="0"/>
    <d v="1899-12-30T00:15:10"/>
    <x v="39"/>
    <s v="November"/>
    <d v="1899-12-30T10:37:06"/>
    <x v="122"/>
    <x v="2"/>
    <n v="406"/>
    <n v="8"/>
  </r>
  <r>
    <x v="388"/>
    <x v="59"/>
    <n v="29"/>
    <x v="66"/>
    <x v="2"/>
    <x v="1"/>
    <n v="1252"/>
    <d v="2023-03-06T00:00:00"/>
    <x v="5"/>
    <x v="2"/>
    <d v="1899-12-30T03:26:18"/>
    <x v="116"/>
    <s v="March"/>
    <d v="1899-12-30T18:13:40"/>
    <x v="77"/>
    <x v="5"/>
    <n v="2504"/>
    <n v="10"/>
  </r>
  <r>
    <x v="389"/>
    <x v="87"/>
    <n v="26"/>
    <x v="42"/>
    <x v="2"/>
    <x v="2"/>
    <n v="289"/>
    <d v="2023-03-03T00:00:00"/>
    <x v="5"/>
    <x v="0"/>
    <d v="1899-12-30T15:40:56"/>
    <x v="101"/>
    <s v="March"/>
    <d v="1899-12-30T23:02:07"/>
    <x v="203"/>
    <x v="5"/>
    <n v="1156"/>
    <n v="7"/>
  </r>
  <r>
    <x v="390"/>
    <x v="67"/>
    <n v="22"/>
    <x v="34"/>
    <x v="4"/>
    <x v="2"/>
    <n v="1639"/>
    <d v="2023-12-29T00:00:00"/>
    <x v="6"/>
    <x v="0"/>
    <d v="1899-12-30T13:44:06"/>
    <x v="192"/>
    <s v="January"/>
    <d v="1899-12-30T12:58:41"/>
    <x v="149"/>
    <x v="6"/>
    <n v="6556"/>
    <n v="9"/>
  </r>
  <r>
    <x v="391"/>
    <x v="79"/>
    <n v="4"/>
    <x v="44"/>
    <x v="1"/>
    <x v="1"/>
    <n v="1199"/>
    <d v="2023-11-05T00:00:00"/>
    <x v="1"/>
    <x v="4"/>
    <d v="1899-12-30T03:18:55"/>
    <x v="78"/>
    <s v="November"/>
    <d v="1899-12-30T18:53:09"/>
    <x v="225"/>
    <x v="1"/>
    <n v="2398"/>
    <n v="1"/>
  </r>
  <r>
    <x v="392"/>
    <x v="72"/>
    <n v="17"/>
    <x v="25"/>
    <x v="4"/>
    <x v="0"/>
    <n v="1899"/>
    <d v="2023-11-14T00:00:00"/>
    <x v="1"/>
    <x v="1"/>
    <d v="1899-12-30T11:01:18"/>
    <x v="120"/>
    <s v="November"/>
    <d v="1899-12-30T16:10:46"/>
    <x v="226"/>
    <x v="0"/>
    <n v="9495"/>
    <n v="8"/>
  </r>
  <r>
    <x v="393"/>
    <x v="51"/>
    <n v="38"/>
    <x v="10"/>
    <x v="3"/>
    <x v="0"/>
    <n v="562"/>
    <d v="2023-03-23T00:00:00"/>
    <x v="5"/>
    <x v="6"/>
    <d v="1899-12-30T04:26:37"/>
    <x v="193"/>
    <s v="March"/>
    <d v="1899-12-30T19:25:58"/>
    <x v="150"/>
    <x v="2"/>
    <n v="2810"/>
    <n v="8"/>
  </r>
  <r>
    <x v="394"/>
    <x v="30"/>
    <n v="26"/>
    <x v="42"/>
    <x v="2"/>
    <x v="1"/>
    <n v="289"/>
    <d v="2023-03-03T00:00:00"/>
    <x v="5"/>
    <x v="0"/>
    <d v="1899-12-30T23:14:54"/>
    <x v="44"/>
    <s v="March"/>
    <d v="1899-12-30T18:32:37"/>
    <x v="206"/>
    <x v="5"/>
    <n v="578"/>
    <n v="3"/>
  </r>
  <r>
    <x v="395"/>
    <x v="81"/>
    <n v="10"/>
    <x v="22"/>
    <x v="3"/>
    <x v="0"/>
    <n v="259"/>
    <d v="2023-03-15T00:00:00"/>
    <x v="5"/>
    <x v="5"/>
    <d v="1899-12-30T15:30:58"/>
    <x v="116"/>
    <s v="March"/>
    <d v="1899-12-30T01:45:01"/>
    <x v="133"/>
    <x v="2"/>
    <n v="1295"/>
    <n v="1"/>
  </r>
  <r>
    <x v="396"/>
    <x v="96"/>
    <n v="4"/>
    <x v="44"/>
    <x v="1"/>
    <x v="0"/>
    <n v="1199"/>
    <d v="2023-11-09T00:00:00"/>
    <x v="1"/>
    <x v="6"/>
    <d v="1899-12-30T06:48:09"/>
    <x v="6"/>
    <s v="November"/>
    <d v="1899-12-30T13:32:34"/>
    <x v="168"/>
    <x v="1"/>
    <n v="5995"/>
    <n v="5"/>
  </r>
  <r>
    <x v="397"/>
    <x v="32"/>
    <n v="54"/>
    <x v="30"/>
    <x v="3"/>
    <x v="4"/>
    <n v="1236"/>
    <d v="2023-05-05T00:00:00"/>
    <x v="4"/>
    <x v="0"/>
    <d v="1899-12-30T08:45:21"/>
    <x v="189"/>
    <s v="May"/>
    <d v="1899-12-30T10:01:43"/>
    <x v="157"/>
    <x v="0"/>
    <n v="1236"/>
    <n v="10"/>
  </r>
  <r>
    <x v="398"/>
    <x v="54"/>
    <n v="68"/>
    <x v="63"/>
    <x v="4"/>
    <x v="4"/>
    <n v="597"/>
    <d v="2023-02-08T00:00:00"/>
    <x v="0"/>
    <x v="5"/>
    <d v="1899-12-30T06:21:47"/>
    <x v="28"/>
    <s v="February"/>
    <d v="1899-12-30T07:08:14"/>
    <x v="149"/>
    <x v="3"/>
    <n v="597"/>
    <n v="7"/>
  </r>
  <r>
    <x v="399"/>
    <x v="67"/>
    <n v="45"/>
    <x v="5"/>
    <x v="0"/>
    <x v="3"/>
    <n v="722"/>
    <d v="2023-05-07T00:00:00"/>
    <x v="4"/>
    <x v="4"/>
    <d v="1899-12-30T14:05:01"/>
    <x v="189"/>
    <s v="May"/>
    <d v="1899-12-30T18:10:53"/>
    <x v="116"/>
    <x v="2"/>
    <n v="2166"/>
    <n v="8"/>
  </r>
  <r>
    <x v="400"/>
    <x v="85"/>
    <n v="9"/>
    <x v="21"/>
    <x v="2"/>
    <x v="0"/>
    <n v="1605"/>
    <d v="2023-08-29T00:00:00"/>
    <x v="3"/>
    <x v="1"/>
    <d v="1899-12-30T19:53:33"/>
    <x v="126"/>
    <s v="September"/>
    <d v="1899-12-30T07:19:07"/>
    <x v="112"/>
    <x v="4"/>
    <n v="8025"/>
    <n v="6"/>
  </r>
  <r>
    <x v="401"/>
    <x v="0"/>
    <n v="29"/>
    <x v="66"/>
    <x v="2"/>
    <x v="4"/>
    <n v="1252"/>
    <d v="2023-03-05T00:00:00"/>
    <x v="5"/>
    <x v="4"/>
    <d v="1899-12-30T16:42:29"/>
    <x v="8"/>
    <s v="March"/>
    <d v="1899-12-30T13:32:50"/>
    <x v="60"/>
    <x v="5"/>
    <n v="1252"/>
    <n v="3"/>
  </r>
  <r>
    <x v="402"/>
    <x v="64"/>
    <n v="57"/>
    <x v="57"/>
    <x v="2"/>
    <x v="4"/>
    <n v="1582"/>
    <d v="2023-01-06T00:00:00"/>
    <x v="8"/>
    <x v="0"/>
    <d v="1899-12-30T11:45:28"/>
    <x v="194"/>
    <s v="January"/>
    <d v="1899-12-30T20:13:26"/>
    <x v="227"/>
    <x v="2"/>
    <n v="1582"/>
    <n v="10"/>
  </r>
  <r>
    <x v="403"/>
    <x v="28"/>
    <n v="21"/>
    <x v="8"/>
    <x v="2"/>
    <x v="0"/>
    <n v="1561"/>
    <d v="2023-08-22T00:00:00"/>
    <x v="3"/>
    <x v="1"/>
    <d v="1899-12-30T07:55:20"/>
    <x v="152"/>
    <s v="August"/>
    <d v="1899-12-30T22:27:19"/>
    <x v="214"/>
    <x v="4"/>
    <n v="7805"/>
    <n v="2"/>
  </r>
  <r>
    <x v="404"/>
    <x v="47"/>
    <n v="49"/>
    <x v="32"/>
    <x v="2"/>
    <x v="4"/>
    <n v="903"/>
    <d v="2023-02-10T00:00:00"/>
    <x v="0"/>
    <x v="0"/>
    <d v="1899-12-30T23:05:14"/>
    <x v="3"/>
    <s v="February"/>
    <d v="1899-12-30T14:47:38"/>
    <x v="3"/>
    <x v="3"/>
    <n v="903"/>
    <n v="8"/>
  </r>
  <r>
    <x v="405"/>
    <x v="77"/>
    <n v="55"/>
    <x v="60"/>
    <x v="4"/>
    <x v="2"/>
    <n v="1904"/>
    <d v="2023-08-25T00:00:00"/>
    <x v="3"/>
    <x v="0"/>
    <d v="1899-12-30T15:59:17"/>
    <x v="66"/>
    <s v="September"/>
    <d v="1899-12-30T06:23:53"/>
    <x v="144"/>
    <x v="4"/>
    <n v="7616"/>
    <n v="8"/>
  </r>
  <r>
    <x v="406"/>
    <x v="45"/>
    <n v="69"/>
    <x v="55"/>
    <x v="3"/>
    <x v="3"/>
    <n v="998"/>
    <d v="2023-02-26T00:00:00"/>
    <x v="0"/>
    <x v="4"/>
    <d v="1899-12-30T08:52:11"/>
    <x v="37"/>
    <s v="February"/>
    <d v="1899-12-30T04:09:44"/>
    <x v="44"/>
    <x v="5"/>
    <n v="2994"/>
    <n v="2"/>
  </r>
  <r>
    <x v="407"/>
    <x v="23"/>
    <n v="31"/>
    <x v="43"/>
    <x v="2"/>
    <x v="1"/>
    <n v="1804"/>
    <d v="2023-03-05T00:00:00"/>
    <x v="5"/>
    <x v="4"/>
    <d v="1899-12-30T12:19:26"/>
    <x v="57"/>
    <s v="March"/>
    <d v="1899-12-30T04:41:38"/>
    <x v="40"/>
    <x v="6"/>
    <n v="3608"/>
    <n v="6"/>
  </r>
  <r>
    <x v="408"/>
    <x v="77"/>
    <n v="50"/>
    <x v="56"/>
    <x v="5"/>
    <x v="2"/>
    <n v="422"/>
    <d v="2023-02-26T00:00:00"/>
    <x v="0"/>
    <x v="4"/>
    <d v="1899-12-30T17:43:59"/>
    <x v="37"/>
    <s v="February"/>
    <d v="1899-12-30T19:44:57"/>
    <x v="13"/>
    <x v="5"/>
    <n v="1688"/>
    <n v="2"/>
  </r>
  <r>
    <x v="409"/>
    <x v="98"/>
    <n v="24"/>
    <x v="54"/>
    <x v="6"/>
    <x v="4"/>
    <n v="535"/>
    <d v="2023-01-01T00:00:00"/>
    <x v="8"/>
    <x v="4"/>
    <d v="1899-12-30T20:20:49"/>
    <x v="195"/>
    <s v="January"/>
    <d v="1899-12-30T05:57:06"/>
    <x v="228"/>
    <x v="2"/>
    <n v="535"/>
    <n v="1"/>
  </r>
  <r>
    <x v="410"/>
    <x v="34"/>
    <n v="48"/>
    <x v="29"/>
    <x v="2"/>
    <x v="4"/>
    <n v="433"/>
    <d v="2023-11-05T00:00:00"/>
    <x v="1"/>
    <x v="4"/>
    <d v="1899-12-30T16:31:34"/>
    <x v="74"/>
    <s v="November"/>
    <d v="1899-12-30T07:21:26"/>
    <x v="171"/>
    <x v="1"/>
    <n v="433"/>
    <n v="3"/>
  </r>
  <r>
    <x v="411"/>
    <x v="62"/>
    <n v="67"/>
    <x v="0"/>
    <x v="0"/>
    <x v="1"/>
    <n v="1374"/>
    <d v="2023-10-28T00:00:00"/>
    <x v="10"/>
    <x v="3"/>
    <d v="1899-12-30T09:28:24"/>
    <x v="196"/>
    <s v="October"/>
    <d v="1899-12-30T23:14:27"/>
    <x v="212"/>
    <x v="0"/>
    <n v="2748"/>
    <n v="3"/>
  </r>
  <r>
    <x v="412"/>
    <x v="49"/>
    <n v="59"/>
    <x v="58"/>
    <x v="3"/>
    <x v="0"/>
    <n v="811"/>
    <d v="2023-08-22T00:00:00"/>
    <x v="3"/>
    <x v="1"/>
    <d v="1899-12-30T05:32:17"/>
    <x v="13"/>
    <s v="August"/>
    <d v="1899-12-30T20:21:11"/>
    <x v="111"/>
    <x v="4"/>
    <n v="4055"/>
    <n v="8"/>
  </r>
  <r>
    <x v="413"/>
    <x v="96"/>
    <n v="7"/>
    <x v="23"/>
    <x v="4"/>
    <x v="2"/>
    <n v="409"/>
    <d v="2023-02-28T00:00:00"/>
    <x v="0"/>
    <x v="1"/>
    <d v="1899-12-30T21:18:11"/>
    <x v="32"/>
    <s v="March"/>
    <d v="1899-12-30T01:07:31"/>
    <x v="141"/>
    <x v="5"/>
    <n v="1636"/>
    <n v="7"/>
  </r>
  <r>
    <x v="414"/>
    <x v="10"/>
    <n v="14"/>
    <x v="2"/>
    <x v="2"/>
    <x v="2"/>
    <n v="1915"/>
    <d v="2023-06-08T00:00:00"/>
    <x v="11"/>
    <x v="6"/>
    <d v="1899-12-30T20:08:30"/>
    <x v="31"/>
    <s v="June"/>
    <d v="1899-12-30T01:20:56"/>
    <x v="154"/>
    <x v="2"/>
    <n v="7660"/>
    <n v="2"/>
  </r>
  <r>
    <x v="415"/>
    <x v="34"/>
    <n v="58"/>
    <x v="3"/>
    <x v="3"/>
    <x v="0"/>
    <n v="1492"/>
    <d v="2023-02-12T00:00:00"/>
    <x v="0"/>
    <x v="4"/>
    <d v="1899-12-30T16:41:02"/>
    <x v="197"/>
    <s v="February"/>
    <d v="1899-12-30T09:37:01"/>
    <x v="229"/>
    <x v="3"/>
    <n v="7460"/>
    <n v="5"/>
  </r>
  <r>
    <x v="416"/>
    <x v="84"/>
    <n v="62"/>
    <x v="14"/>
    <x v="2"/>
    <x v="2"/>
    <n v="1356"/>
    <d v="2023-03-07T00:00:00"/>
    <x v="5"/>
    <x v="1"/>
    <d v="1899-12-30T22:40:40"/>
    <x v="57"/>
    <s v="March"/>
    <d v="1899-12-30T05:56:33"/>
    <x v="13"/>
    <x v="5"/>
    <n v="5424"/>
    <n v="4"/>
  </r>
  <r>
    <x v="417"/>
    <x v="13"/>
    <n v="64"/>
    <x v="61"/>
    <x v="4"/>
    <x v="3"/>
    <n v="1878"/>
    <d v="2023-08-24T00:00:00"/>
    <x v="3"/>
    <x v="6"/>
    <d v="1899-12-30T13:17:22"/>
    <x v="141"/>
    <s v="September"/>
    <d v="1899-12-30T11:37:10"/>
    <x v="230"/>
    <x v="4"/>
    <n v="5634"/>
    <n v="8"/>
  </r>
  <r>
    <x v="418"/>
    <x v="10"/>
    <n v="47"/>
    <x v="49"/>
    <x v="2"/>
    <x v="3"/>
    <n v="1638"/>
    <d v="2023-03-05T00:00:00"/>
    <x v="5"/>
    <x v="4"/>
    <d v="1899-12-30T17:18:51"/>
    <x v="57"/>
    <s v="March"/>
    <d v="1899-12-30T13:53:36"/>
    <x v="45"/>
    <x v="5"/>
    <n v="4914"/>
    <n v="6"/>
  </r>
  <r>
    <x v="419"/>
    <x v="61"/>
    <n v="6"/>
    <x v="20"/>
    <x v="3"/>
    <x v="3"/>
    <n v="1112"/>
    <d v="2023-02-27T00:00:00"/>
    <x v="0"/>
    <x v="2"/>
    <d v="1899-12-30T08:36:20"/>
    <x v="37"/>
    <s v="February"/>
    <d v="1899-12-30T00:07:29"/>
    <x v="14"/>
    <x v="5"/>
    <n v="3336"/>
    <n v="1"/>
  </r>
  <r>
    <x v="420"/>
    <x v="31"/>
    <n v="38"/>
    <x v="10"/>
    <x v="3"/>
    <x v="2"/>
    <n v="562"/>
    <d v="2023-08-08T00:00:00"/>
    <x v="3"/>
    <x v="1"/>
    <d v="1899-12-30T20:16:30"/>
    <x v="198"/>
    <s v="August"/>
    <d v="1899-12-30T19:04:00"/>
    <x v="143"/>
    <x v="2"/>
    <n v="2248"/>
    <n v="4"/>
  </r>
  <r>
    <x v="421"/>
    <x v="8"/>
    <n v="53"/>
    <x v="65"/>
    <x v="1"/>
    <x v="1"/>
    <n v="1672"/>
    <d v="2023-08-20T00:00:00"/>
    <x v="3"/>
    <x v="4"/>
    <d v="1899-12-30T03:03:58"/>
    <x v="7"/>
    <s v="August"/>
    <d v="1899-12-30T04:05:39"/>
    <x v="231"/>
    <x v="4"/>
    <n v="3344"/>
    <n v="9"/>
  </r>
  <r>
    <x v="422"/>
    <x v="30"/>
    <n v="19"/>
    <x v="27"/>
    <x v="6"/>
    <x v="4"/>
    <n v="1234"/>
    <d v="2023-02-11T00:00:00"/>
    <x v="0"/>
    <x v="3"/>
    <d v="1899-12-30T16:46:58"/>
    <x v="197"/>
    <s v="February"/>
    <d v="1899-12-30T00:10:05"/>
    <x v="232"/>
    <x v="3"/>
    <n v="1234"/>
    <n v="6"/>
  </r>
  <r>
    <x v="423"/>
    <x v="16"/>
    <n v="7"/>
    <x v="23"/>
    <x v="4"/>
    <x v="2"/>
    <n v="409"/>
    <d v="2023-03-01T00:00:00"/>
    <x v="5"/>
    <x v="5"/>
    <d v="1899-12-30T03:04:56"/>
    <x v="170"/>
    <s v="March"/>
    <d v="1899-12-30T10:27:03"/>
    <x v="91"/>
    <x v="5"/>
    <n v="1636"/>
    <n v="8"/>
  </r>
  <r>
    <x v="424"/>
    <x v="27"/>
    <n v="56"/>
    <x v="8"/>
    <x v="0"/>
    <x v="4"/>
    <n v="1272"/>
    <d v="2023-09-30T00:00:00"/>
    <x v="7"/>
    <x v="3"/>
    <d v="1899-12-30T00:02:06"/>
    <x v="106"/>
    <s v="October"/>
    <d v="1899-12-30T22:59:28"/>
    <x v="210"/>
    <x v="0"/>
    <n v="1272"/>
    <n v="9"/>
  </r>
  <r>
    <x v="425"/>
    <x v="95"/>
    <n v="2"/>
    <x v="50"/>
    <x v="5"/>
    <x v="1"/>
    <n v="441"/>
    <d v="2023-02-13T00:00:00"/>
    <x v="0"/>
    <x v="2"/>
    <d v="1899-12-30T22:59:54"/>
    <x v="197"/>
    <s v="February"/>
    <d v="1899-12-30T13:51:00"/>
    <x v="233"/>
    <x v="3"/>
    <n v="882"/>
    <n v="4"/>
  </r>
  <r>
    <x v="426"/>
    <x v="12"/>
    <n v="48"/>
    <x v="29"/>
    <x v="2"/>
    <x v="0"/>
    <n v="433"/>
    <d v="2023-11-03T00:00:00"/>
    <x v="1"/>
    <x v="0"/>
    <d v="1899-12-30T07:56:32"/>
    <x v="1"/>
    <s v="November"/>
    <d v="1899-12-30T22:46:12"/>
    <x v="180"/>
    <x v="1"/>
    <n v="2165"/>
    <n v="10"/>
  </r>
  <r>
    <x v="427"/>
    <x v="56"/>
    <n v="10"/>
    <x v="22"/>
    <x v="3"/>
    <x v="1"/>
    <n v="259"/>
    <d v="2023-12-06T00:00:00"/>
    <x v="6"/>
    <x v="5"/>
    <d v="1899-12-30T03:32:38"/>
    <x v="199"/>
    <s v="December"/>
    <d v="1899-12-30T19:37:01"/>
    <x v="183"/>
    <x v="2"/>
    <n v="518"/>
    <n v="6"/>
  </r>
  <r>
    <x v="428"/>
    <x v="78"/>
    <n v="9"/>
    <x v="21"/>
    <x v="2"/>
    <x v="0"/>
    <n v="1605"/>
    <d v="2023-08-22T00:00:00"/>
    <x v="3"/>
    <x v="1"/>
    <d v="1899-12-30T22:46:57"/>
    <x v="53"/>
    <s v="August"/>
    <d v="1899-12-30T12:43:52"/>
    <x v="140"/>
    <x v="4"/>
    <n v="8025"/>
    <n v="9"/>
  </r>
  <r>
    <x v="429"/>
    <x v="41"/>
    <n v="27"/>
    <x v="7"/>
    <x v="3"/>
    <x v="1"/>
    <n v="548"/>
    <d v="2023-08-27T00:00:00"/>
    <x v="3"/>
    <x v="4"/>
    <d v="1899-12-30T07:20:30"/>
    <x v="53"/>
    <s v="August"/>
    <d v="1899-12-30T10:03:32"/>
    <x v="234"/>
    <x v="4"/>
    <n v="1096"/>
    <n v="4"/>
  </r>
  <r>
    <x v="430"/>
    <x v="50"/>
    <n v="1"/>
    <x v="48"/>
    <x v="4"/>
    <x v="2"/>
    <n v="1935"/>
    <d v="2023-12-13T00:00:00"/>
    <x v="6"/>
    <x v="5"/>
    <d v="1899-12-30T19:13:43"/>
    <x v="200"/>
    <s v="December"/>
    <d v="1899-12-30T21:02:24"/>
    <x v="68"/>
    <x v="6"/>
    <n v="7740"/>
    <n v="6"/>
  </r>
  <r>
    <x v="431"/>
    <x v="74"/>
    <n v="12"/>
    <x v="17"/>
    <x v="5"/>
    <x v="2"/>
    <n v="672"/>
    <d v="2023-01-05T00:00:00"/>
    <x v="8"/>
    <x v="6"/>
    <d v="1899-12-30T12:09:27"/>
    <x v="201"/>
    <s v="January"/>
    <d v="1899-12-30T19:40:38"/>
    <x v="192"/>
    <x v="0"/>
    <n v="2688"/>
    <n v="8"/>
  </r>
  <r>
    <x v="432"/>
    <x v="81"/>
    <n v="7"/>
    <x v="23"/>
    <x v="4"/>
    <x v="0"/>
    <n v="409"/>
    <d v="2023-02-26T00:00:00"/>
    <x v="0"/>
    <x v="4"/>
    <d v="1899-12-30T23:33:51"/>
    <x v="149"/>
    <s v="March"/>
    <d v="1899-12-30T04:19:56"/>
    <x v="52"/>
    <x v="5"/>
    <n v="2045"/>
    <n v="4"/>
  </r>
  <r>
    <x v="433"/>
    <x v="37"/>
    <n v="51"/>
    <x v="38"/>
    <x v="4"/>
    <x v="2"/>
    <n v="1084"/>
    <d v="2023-11-28T00:00:00"/>
    <x v="1"/>
    <x v="1"/>
    <d v="1899-12-30T07:23:06"/>
    <x v="168"/>
    <s v="November"/>
    <d v="1899-12-30T19:43:32"/>
    <x v="94"/>
    <x v="6"/>
    <n v="4336"/>
    <n v="1"/>
  </r>
  <r>
    <x v="434"/>
    <x v="48"/>
    <n v="53"/>
    <x v="65"/>
    <x v="1"/>
    <x v="2"/>
    <n v="1672"/>
    <d v="2023-08-22T00:00:00"/>
    <x v="3"/>
    <x v="1"/>
    <d v="1899-12-30T17:27:30"/>
    <x v="42"/>
    <s v="August"/>
    <d v="1899-12-30T12:35:14"/>
    <x v="235"/>
    <x v="4"/>
    <n v="6688"/>
    <n v="5"/>
  </r>
  <r>
    <x v="435"/>
    <x v="44"/>
    <n v="8"/>
    <x v="24"/>
    <x v="1"/>
    <x v="4"/>
    <n v="252"/>
    <d v="2023-01-27T00:00:00"/>
    <x v="8"/>
    <x v="0"/>
    <d v="1899-12-30T06:08:00"/>
    <x v="202"/>
    <s v="February"/>
    <d v="1899-12-30T08:15:49"/>
    <x v="69"/>
    <x v="0"/>
    <n v="252"/>
    <n v="7"/>
  </r>
  <r>
    <x v="436"/>
    <x v="53"/>
    <n v="55"/>
    <x v="60"/>
    <x v="4"/>
    <x v="4"/>
    <n v="1904"/>
    <d v="2023-08-24T00:00:00"/>
    <x v="3"/>
    <x v="6"/>
    <d v="1899-12-30T06:30:47"/>
    <x v="42"/>
    <s v="August"/>
    <d v="1899-12-30T22:56:38"/>
    <x v="236"/>
    <x v="4"/>
    <n v="1904"/>
    <n v="3"/>
  </r>
  <r>
    <x v="437"/>
    <x v="0"/>
    <n v="34"/>
    <x v="41"/>
    <x v="4"/>
    <x v="1"/>
    <n v="1335"/>
    <d v="2023-08-26T00:00:00"/>
    <x v="3"/>
    <x v="3"/>
    <d v="1899-12-30T09:27:17"/>
    <x v="42"/>
    <s v="August"/>
    <d v="1899-12-30T03:18:31"/>
    <x v="199"/>
    <x v="4"/>
    <n v="2670"/>
    <n v="1"/>
  </r>
  <r>
    <x v="438"/>
    <x v="0"/>
    <n v="12"/>
    <x v="17"/>
    <x v="5"/>
    <x v="3"/>
    <n v="672"/>
    <d v="2023-12-13T00:00:00"/>
    <x v="6"/>
    <x v="5"/>
    <d v="1899-12-30T08:56:11"/>
    <x v="203"/>
    <s v="December"/>
    <d v="1899-12-30T12:51:06"/>
    <x v="61"/>
    <x v="0"/>
    <n v="2016"/>
    <n v="9"/>
  </r>
  <r>
    <x v="439"/>
    <x v="21"/>
    <n v="13"/>
    <x v="64"/>
    <x v="6"/>
    <x v="2"/>
    <n v="1141"/>
    <d v="2023-03-07T00:00:00"/>
    <x v="5"/>
    <x v="1"/>
    <d v="1899-12-30T09:33:31"/>
    <x v="170"/>
    <s v="March"/>
    <d v="1899-12-30T01:21:29"/>
    <x v="180"/>
    <x v="5"/>
    <n v="4564"/>
    <n v="2"/>
  </r>
  <r>
    <x v="440"/>
    <x v="91"/>
    <n v="26"/>
    <x v="42"/>
    <x v="2"/>
    <x v="1"/>
    <n v="289"/>
    <d v="2023-02-26T00:00:00"/>
    <x v="0"/>
    <x v="4"/>
    <d v="1899-12-30T11:23:56"/>
    <x v="44"/>
    <s v="March"/>
    <d v="1899-12-30T16:38:50"/>
    <x v="237"/>
    <x v="5"/>
    <n v="578"/>
    <n v="8"/>
  </r>
  <r>
    <x v="441"/>
    <x v="40"/>
    <n v="3"/>
    <x v="52"/>
    <x v="2"/>
    <x v="3"/>
    <n v="1534"/>
    <d v="2023-02-08T00:00:00"/>
    <x v="0"/>
    <x v="5"/>
    <d v="1899-12-30T18:03:20"/>
    <x v="28"/>
    <s v="February"/>
    <d v="1899-12-30T08:05:39"/>
    <x v="173"/>
    <x v="3"/>
    <n v="4602"/>
    <n v="7"/>
  </r>
  <r>
    <x v="442"/>
    <x v="33"/>
    <n v="49"/>
    <x v="32"/>
    <x v="2"/>
    <x v="3"/>
    <n v="903"/>
    <d v="2023-02-04T00:00:00"/>
    <x v="0"/>
    <x v="3"/>
    <d v="1899-12-30T22:22:19"/>
    <x v="43"/>
    <s v="February"/>
    <d v="1899-12-30T02:16:00"/>
    <x v="220"/>
    <x v="3"/>
    <n v="2709"/>
    <n v="9"/>
  </r>
  <r>
    <x v="443"/>
    <x v="99"/>
    <n v="60"/>
    <x v="12"/>
    <x v="1"/>
    <x v="3"/>
    <n v="827"/>
    <d v="2023-11-02T00:00:00"/>
    <x v="1"/>
    <x v="6"/>
    <d v="1899-12-30T01:01:13"/>
    <x v="148"/>
    <s v="November"/>
    <d v="1899-12-30T09:54:20"/>
    <x v="122"/>
    <x v="1"/>
    <n v="2481"/>
    <n v="7"/>
  </r>
  <r>
    <x v="444"/>
    <x v="26"/>
    <n v="30"/>
    <x v="19"/>
    <x v="2"/>
    <x v="0"/>
    <n v="751"/>
    <d v="2023-06-14T00:00:00"/>
    <x v="11"/>
    <x v="5"/>
    <d v="1899-12-30T20:08:42"/>
    <x v="49"/>
    <s v="June"/>
    <d v="1899-12-30T14:22:27"/>
    <x v="10"/>
    <x v="0"/>
    <n v="3755"/>
    <n v="1"/>
  </r>
  <r>
    <x v="445"/>
    <x v="90"/>
    <n v="33"/>
    <x v="59"/>
    <x v="2"/>
    <x v="0"/>
    <n v="314"/>
    <d v="2023-02-12T00:00:00"/>
    <x v="0"/>
    <x v="4"/>
    <d v="1899-12-30T02:54:04"/>
    <x v="28"/>
    <s v="February"/>
    <d v="1899-12-30T11:03:28"/>
    <x v="109"/>
    <x v="3"/>
    <n v="1570"/>
    <n v="3"/>
  </r>
  <r>
    <x v="446"/>
    <x v="57"/>
    <n v="47"/>
    <x v="49"/>
    <x v="2"/>
    <x v="2"/>
    <n v="1638"/>
    <d v="2023-02-27T00:00:00"/>
    <x v="0"/>
    <x v="2"/>
    <d v="1899-12-30T02:45:34"/>
    <x v="11"/>
    <s v="March"/>
    <d v="1899-12-30T15:04:56"/>
    <x v="102"/>
    <x v="5"/>
    <n v="6552"/>
    <n v="5"/>
  </r>
  <r>
    <x v="447"/>
    <x v="93"/>
    <n v="16"/>
    <x v="9"/>
    <x v="1"/>
    <x v="4"/>
    <n v="1721"/>
    <d v="2023-03-02T00:00:00"/>
    <x v="5"/>
    <x v="6"/>
    <d v="1899-12-30T02:42:54"/>
    <x v="9"/>
    <s v="March"/>
    <d v="1899-12-30T13:42:24"/>
    <x v="26"/>
    <x v="5"/>
    <n v="1721"/>
    <n v="1"/>
  </r>
  <r>
    <x v="448"/>
    <x v="41"/>
    <n v="49"/>
    <x v="32"/>
    <x v="2"/>
    <x v="2"/>
    <n v="903"/>
    <d v="2023-02-13T00:00:00"/>
    <x v="0"/>
    <x v="2"/>
    <d v="1899-12-30T03:18:26"/>
    <x v="33"/>
    <s v="February"/>
    <d v="1899-12-30T10:09:41"/>
    <x v="86"/>
    <x v="3"/>
    <n v="3612"/>
    <n v="3"/>
  </r>
  <r>
    <x v="449"/>
    <x v="29"/>
    <n v="39"/>
    <x v="47"/>
    <x v="6"/>
    <x v="0"/>
    <n v="387"/>
    <d v="2023-12-02T00:00:00"/>
    <x v="6"/>
    <x v="3"/>
    <d v="1899-12-30T07:58:05"/>
    <x v="199"/>
    <s v="December"/>
    <d v="1899-12-30T10:09:58"/>
    <x v="215"/>
    <x v="6"/>
    <n v="1935"/>
    <n v="10"/>
  </r>
  <r>
    <x v="450"/>
    <x v="90"/>
    <n v="33"/>
    <x v="59"/>
    <x v="2"/>
    <x v="0"/>
    <n v="314"/>
    <d v="2023-02-07T00:00:00"/>
    <x v="0"/>
    <x v="1"/>
    <d v="1899-12-30T00:16:52"/>
    <x v="43"/>
    <s v="February"/>
    <d v="1899-12-30T21:10:57"/>
    <x v="129"/>
    <x v="3"/>
    <n v="1570"/>
    <n v="6"/>
  </r>
  <r>
    <x v="451"/>
    <x v="41"/>
    <n v="70"/>
    <x v="35"/>
    <x v="1"/>
    <x v="3"/>
    <n v="866"/>
    <d v="2023-07-09T00:00:00"/>
    <x v="2"/>
    <x v="4"/>
    <d v="1899-12-30T19:57:29"/>
    <x v="204"/>
    <s v="July"/>
    <d v="1899-12-30T11:42:18"/>
    <x v="77"/>
    <x v="2"/>
    <n v="2598"/>
    <n v="8"/>
  </r>
  <r>
    <x v="452"/>
    <x v="57"/>
    <n v="27"/>
    <x v="7"/>
    <x v="3"/>
    <x v="1"/>
    <n v="548"/>
    <d v="2023-08-21T00:00:00"/>
    <x v="3"/>
    <x v="2"/>
    <d v="1899-12-30T10:11:39"/>
    <x v="53"/>
    <s v="August"/>
    <d v="1899-12-30T12:28:21"/>
    <x v="68"/>
    <x v="4"/>
    <n v="1096"/>
    <n v="10"/>
  </r>
  <r>
    <x v="453"/>
    <x v="24"/>
    <n v="3"/>
    <x v="52"/>
    <x v="2"/>
    <x v="1"/>
    <n v="1534"/>
    <d v="2023-02-07T00:00:00"/>
    <x v="0"/>
    <x v="1"/>
    <d v="1899-12-30T23:26:49"/>
    <x v="90"/>
    <s v="February"/>
    <d v="1899-12-30T01:21:56"/>
    <x v="164"/>
    <x v="3"/>
    <n v="3068"/>
    <n v="2"/>
  </r>
  <r>
    <x v="454"/>
    <x v="16"/>
    <n v="1"/>
    <x v="48"/>
    <x v="4"/>
    <x v="1"/>
    <n v="1935"/>
    <d v="2023-10-20T00:00:00"/>
    <x v="10"/>
    <x v="0"/>
    <d v="1899-12-30T22:33:50"/>
    <x v="167"/>
    <s v="October"/>
    <d v="1899-12-30T18:04:20"/>
    <x v="231"/>
    <x v="6"/>
    <n v="3870"/>
    <n v="5"/>
  </r>
  <r>
    <x v="455"/>
    <x v="27"/>
    <n v="33"/>
    <x v="59"/>
    <x v="2"/>
    <x v="1"/>
    <n v="314"/>
    <d v="2023-02-12T00:00:00"/>
    <x v="0"/>
    <x v="4"/>
    <d v="1899-12-30T22:51:39"/>
    <x v="28"/>
    <s v="February"/>
    <d v="1899-12-30T22:14:06"/>
    <x v="43"/>
    <x v="3"/>
    <n v="628"/>
    <n v="3"/>
  </r>
  <r>
    <x v="456"/>
    <x v="39"/>
    <n v="22"/>
    <x v="34"/>
    <x v="4"/>
    <x v="0"/>
    <n v="1639"/>
    <d v="2023-05-27T00:00:00"/>
    <x v="4"/>
    <x v="3"/>
    <d v="1899-12-30T13:55:39"/>
    <x v="205"/>
    <s v="May"/>
    <d v="1899-12-30T16:38:25"/>
    <x v="238"/>
    <x v="6"/>
    <n v="8195"/>
    <n v="2"/>
  </r>
  <r>
    <x v="457"/>
    <x v="19"/>
    <n v="32"/>
    <x v="16"/>
    <x v="4"/>
    <x v="1"/>
    <n v="1792"/>
    <d v="2023-07-19T00:00:00"/>
    <x v="2"/>
    <x v="5"/>
    <d v="1899-12-30T17:21:30"/>
    <x v="20"/>
    <s v="July"/>
    <d v="1899-12-30T20:32:44"/>
    <x v="92"/>
    <x v="2"/>
    <n v="3584"/>
    <n v="5"/>
  </r>
  <r>
    <x v="458"/>
    <x v="83"/>
    <n v="12"/>
    <x v="17"/>
    <x v="5"/>
    <x v="1"/>
    <n v="672"/>
    <d v="2023-03-29T00:00:00"/>
    <x v="5"/>
    <x v="5"/>
    <d v="1899-12-30T07:24:55"/>
    <x v="144"/>
    <s v="March"/>
    <d v="1899-12-30T07:34:31"/>
    <x v="190"/>
    <x v="0"/>
    <n v="1344"/>
    <n v="1"/>
  </r>
  <r>
    <x v="459"/>
    <x v="78"/>
    <n v="29"/>
    <x v="66"/>
    <x v="2"/>
    <x v="1"/>
    <n v="1252"/>
    <d v="2023-03-04T00:00:00"/>
    <x v="5"/>
    <x v="3"/>
    <d v="1899-12-30T07:58:33"/>
    <x v="44"/>
    <s v="March"/>
    <d v="1899-12-30T00:07:26"/>
    <x v="239"/>
    <x v="5"/>
    <n v="2504"/>
    <n v="2"/>
  </r>
  <r>
    <x v="460"/>
    <x v="67"/>
    <n v="12"/>
    <x v="17"/>
    <x v="5"/>
    <x v="2"/>
    <n v="672"/>
    <d v="2023-06-22T00:00:00"/>
    <x v="11"/>
    <x v="6"/>
    <d v="1899-12-30T08:12:37"/>
    <x v="206"/>
    <s v="June"/>
    <d v="1899-12-30T14:52:56"/>
    <x v="115"/>
    <x v="0"/>
    <n v="2688"/>
    <n v="5"/>
  </r>
  <r>
    <x v="461"/>
    <x v="13"/>
    <n v="60"/>
    <x v="12"/>
    <x v="1"/>
    <x v="0"/>
    <n v="827"/>
    <d v="2023-11-04T00:00:00"/>
    <x v="1"/>
    <x v="3"/>
    <d v="1899-12-30T18:10:06"/>
    <x v="1"/>
    <s v="November"/>
    <d v="1899-12-30T14:20:14"/>
    <x v="94"/>
    <x v="1"/>
    <n v="4135"/>
    <n v="9"/>
  </r>
  <r>
    <x v="462"/>
    <x v="4"/>
    <n v="18"/>
    <x v="53"/>
    <x v="5"/>
    <x v="3"/>
    <n v="781"/>
    <d v="2023-09-24T00:00:00"/>
    <x v="7"/>
    <x v="4"/>
    <d v="1899-12-30T22:23:47"/>
    <x v="207"/>
    <s v="September"/>
    <d v="1899-12-30T00:52:03"/>
    <x v="240"/>
    <x v="2"/>
    <n v="2343"/>
    <n v="6"/>
  </r>
  <r>
    <x v="463"/>
    <x v="38"/>
    <n v="18"/>
    <x v="53"/>
    <x v="5"/>
    <x v="3"/>
    <n v="781"/>
    <d v="2023-07-05T00:00:00"/>
    <x v="2"/>
    <x v="5"/>
    <d v="1899-12-30T03:04:25"/>
    <x v="114"/>
    <s v="July"/>
    <d v="1899-12-30T13:38:45"/>
    <x v="241"/>
    <x v="2"/>
    <n v="2343"/>
    <n v="3"/>
  </r>
  <r>
    <x v="464"/>
    <x v="2"/>
    <n v="55"/>
    <x v="60"/>
    <x v="4"/>
    <x v="0"/>
    <n v="1904"/>
    <d v="2023-08-23T00:00:00"/>
    <x v="3"/>
    <x v="5"/>
    <d v="1899-12-30T23:46:12"/>
    <x v="4"/>
    <s v="August"/>
    <d v="1899-12-30T13:29:11"/>
    <x v="17"/>
    <x v="4"/>
    <n v="9520"/>
    <n v="3"/>
  </r>
  <r>
    <x v="465"/>
    <x v="55"/>
    <n v="23"/>
    <x v="13"/>
    <x v="1"/>
    <x v="4"/>
    <n v="1098"/>
    <d v="2023-10-03T00:00:00"/>
    <x v="10"/>
    <x v="1"/>
    <d v="1899-12-30T13:58:22"/>
    <x v="208"/>
    <s v="October"/>
    <d v="1899-12-30T09:59:41"/>
    <x v="62"/>
    <x v="0"/>
    <n v="1098"/>
    <n v="8"/>
  </r>
  <r>
    <x v="466"/>
    <x v="15"/>
    <n v="53"/>
    <x v="65"/>
    <x v="1"/>
    <x v="4"/>
    <n v="1672"/>
    <d v="2023-08-28T00:00:00"/>
    <x v="3"/>
    <x v="2"/>
    <d v="1899-12-30T14:18:44"/>
    <x v="66"/>
    <s v="September"/>
    <d v="1899-12-30T15:20:11"/>
    <x v="11"/>
    <x v="4"/>
    <n v="1672"/>
    <n v="5"/>
  </r>
  <r>
    <x v="467"/>
    <x v="78"/>
    <n v="5"/>
    <x v="36"/>
    <x v="2"/>
    <x v="1"/>
    <n v="1444"/>
    <d v="2023-07-25T00:00:00"/>
    <x v="2"/>
    <x v="1"/>
    <d v="1899-12-30T07:57:26"/>
    <x v="209"/>
    <s v="August"/>
    <d v="1899-12-30T01:24:47"/>
    <x v="242"/>
    <x v="6"/>
    <n v="2888"/>
    <n v="10"/>
  </r>
  <r>
    <x v="468"/>
    <x v="70"/>
    <n v="42"/>
    <x v="18"/>
    <x v="1"/>
    <x v="2"/>
    <n v="1744"/>
    <d v="2023-12-15T00:00:00"/>
    <x v="6"/>
    <x v="0"/>
    <d v="1899-12-30T07:06:00"/>
    <x v="200"/>
    <s v="December"/>
    <d v="1899-12-30T12:56:49"/>
    <x v="132"/>
    <x v="6"/>
    <n v="6976"/>
    <n v="4"/>
  </r>
  <r>
    <x v="469"/>
    <x v="36"/>
    <n v="47"/>
    <x v="49"/>
    <x v="2"/>
    <x v="0"/>
    <n v="1638"/>
    <d v="2023-02-28T00:00:00"/>
    <x v="0"/>
    <x v="1"/>
    <d v="1899-12-30T17:34:04"/>
    <x v="44"/>
    <s v="March"/>
    <d v="1899-12-30T15:29:29"/>
    <x v="39"/>
    <x v="5"/>
    <n v="8190"/>
    <n v="6"/>
  </r>
  <r>
    <x v="470"/>
    <x v="74"/>
    <n v="23"/>
    <x v="13"/>
    <x v="1"/>
    <x v="1"/>
    <n v="1098"/>
    <d v="2023-01-31T00:00:00"/>
    <x v="8"/>
    <x v="1"/>
    <d v="1899-12-30T12:09:01"/>
    <x v="145"/>
    <s v="February"/>
    <d v="1899-12-30T05:50:06"/>
    <x v="185"/>
    <x v="0"/>
    <n v="2196"/>
    <n v="10"/>
  </r>
  <r>
    <x v="471"/>
    <x v="46"/>
    <n v="56"/>
    <x v="8"/>
    <x v="0"/>
    <x v="4"/>
    <n v="1272"/>
    <d v="2023-12-24T00:00:00"/>
    <x v="6"/>
    <x v="4"/>
    <d v="1899-12-30T07:32:38"/>
    <x v="210"/>
    <s v="December"/>
    <d v="1899-12-30T22:46:18"/>
    <x v="13"/>
    <x v="0"/>
    <n v="1272"/>
    <n v="6"/>
  </r>
  <r>
    <x v="472"/>
    <x v="59"/>
    <n v="22"/>
    <x v="34"/>
    <x v="4"/>
    <x v="3"/>
    <n v="1639"/>
    <d v="2023-03-28T00:00:00"/>
    <x v="5"/>
    <x v="1"/>
    <d v="1899-12-30T08:13:57"/>
    <x v="211"/>
    <s v="April"/>
    <d v="1899-12-30T15:44:18"/>
    <x v="243"/>
    <x v="6"/>
    <n v="4917"/>
    <n v="7"/>
  </r>
  <r>
    <x v="473"/>
    <x v="70"/>
    <n v="1"/>
    <x v="48"/>
    <x v="4"/>
    <x v="2"/>
    <n v="1935"/>
    <d v="2023-02-07T00:00:00"/>
    <x v="0"/>
    <x v="1"/>
    <d v="1899-12-30T06:31:59"/>
    <x v="16"/>
    <s v="February"/>
    <d v="1899-12-30T02:00:07"/>
    <x v="244"/>
    <x v="6"/>
    <n v="7740"/>
    <n v="7"/>
  </r>
  <r>
    <x v="474"/>
    <x v="9"/>
    <n v="46"/>
    <x v="62"/>
    <x v="3"/>
    <x v="1"/>
    <n v="758"/>
    <d v="2023-12-04T00:00:00"/>
    <x v="6"/>
    <x v="2"/>
    <d v="1899-12-30T07:21:23"/>
    <x v="212"/>
    <s v="December"/>
    <d v="1899-12-30T13:32:22"/>
    <x v="245"/>
    <x v="0"/>
    <n v="1516"/>
    <n v="4"/>
  </r>
  <r>
    <x v="475"/>
    <x v="30"/>
    <n v="40"/>
    <x v="46"/>
    <x v="1"/>
    <x v="1"/>
    <n v="1923"/>
    <d v="2023-09-18T00:00:00"/>
    <x v="7"/>
    <x v="2"/>
    <d v="1899-12-30T01:17:18"/>
    <x v="213"/>
    <s v="September"/>
    <d v="1899-12-30T17:53:14"/>
    <x v="15"/>
    <x v="0"/>
    <n v="3846"/>
    <n v="2"/>
  </r>
  <r>
    <x v="476"/>
    <x v="9"/>
    <n v="33"/>
    <x v="59"/>
    <x v="2"/>
    <x v="2"/>
    <n v="314"/>
    <d v="2023-02-12T00:00:00"/>
    <x v="0"/>
    <x v="4"/>
    <d v="1899-12-30T17:18:09"/>
    <x v="16"/>
    <s v="February"/>
    <d v="1899-12-30T03:11:52"/>
    <x v="225"/>
    <x v="3"/>
    <n v="1256"/>
    <n v="2"/>
  </r>
  <r>
    <x v="477"/>
    <x v="92"/>
    <n v="11"/>
    <x v="45"/>
    <x v="6"/>
    <x v="0"/>
    <n v="1096"/>
    <d v="2023-02-08T00:00:00"/>
    <x v="0"/>
    <x v="5"/>
    <d v="1899-12-30T01:11:21"/>
    <x v="90"/>
    <s v="February"/>
    <d v="1899-12-30T09:50:19"/>
    <x v="246"/>
    <x v="3"/>
    <n v="5480"/>
    <n v="1"/>
  </r>
  <r>
    <x v="478"/>
    <x v="27"/>
    <n v="11"/>
    <x v="45"/>
    <x v="6"/>
    <x v="4"/>
    <n v="1096"/>
    <d v="2023-02-07T00:00:00"/>
    <x v="0"/>
    <x v="1"/>
    <d v="1899-12-30T17:48:21"/>
    <x v="68"/>
    <s v="February"/>
    <d v="1899-12-30T10:48:13"/>
    <x v="222"/>
    <x v="3"/>
    <n v="1096"/>
    <n v="4"/>
  </r>
  <r>
    <x v="479"/>
    <x v="35"/>
    <n v="62"/>
    <x v="14"/>
    <x v="2"/>
    <x v="2"/>
    <n v="1356"/>
    <d v="2023-03-06T00:00:00"/>
    <x v="5"/>
    <x v="2"/>
    <d v="1899-12-30T04:29:31"/>
    <x v="116"/>
    <s v="March"/>
    <d v="1899-12-30T22:19:33"/>
    <x v="247"/>
    <x v="5"/>
    <n v="5424"/>
    <n v="10"/>
  </r>
  <r>
    <x v="480"/>
    <x v="8"/>
    <n v="12"/>
    <x v="17"/>
    <x v="5"/>
    <x v="0"/>
    <n v="672"/>
    <d v="2023-08-21T00:00:00"/>
    <x v="3"/>
    <x v="2"/>
    <d v="1899-12-30T00:00:53"/>
    <x v="175"/>
    <s v="August"/>
    <d v="1899-12-30T18:36:25"/>
    <x v="248"/>
    <x v="0"/>
    <n v="3360"/>
    <n v="4"/>
  </r>
  <r>
    <x v="481"/>
    <x v="49"/>
    <n v="23"/>
    <x v="13"/>
    <x v="1"/>
    <x v="3"/>
    <n v="1098"/>
    <d v="2023-06-05T00:00:00"/>
    <x v="11"/>
    <x v="2"/>
    <d v="1899-12-30T20:33:38"/>
    <x v="190"/>
    <s v="June"/>
    <d v="1899-12-30T20:56:35"/>
    <x v="20"/>
    <x v="0"/>
    <n v="3294"/>
    <n v="9"/>
  </r>
  <r>
    <x v="482"/>
    <x v="78"/>
    <n v="59"/>
    <x v="58"/>
    <x v="3"/>
    <x v="1"/>
    <n v="811"/>
    <d v="2023-08-28T00:00:00"/>
    <x v="3"/>
    <x v="2"/>
    <d v="1899-12-30T06:25:03"/>
    <x v="53"/>
    <s v="August"/>
    <d v="1899-12-30T05:06:02"/>
    <x v="67"/>
    <x v="4"/>
    <n v="1622"/>
    <n v="3"/>
  </r>
  <r>
    <x v="483"/>
    <x v="96"/>
    <n v="1"/>
    <x v="48"/>
    <x v="4"/>
    <x v="0"/>
    <n v="1935"/>
    <d v="2023-05-26T00:00:00"/>
    <x v="4"/>
    <x v="0"/>
    <d v="1899-12-30T19:03:55"/>
    <x v="72"/>
    <s v="June"/>
    <d v="1899-12-30T19:32:17"/>
    <x v="7"/>
    <x v="6"/>
    <n v="9675"/>
    <n v="8"/>
  </r>
  <r>
    <x v="484"/>
    <x v="2"/>
    <n v="43"/>
    <x v="6"/>
    <x v="0"/>
    <x v="2"/>
    <n v="750"/>
    <d v="2023-11-06T00:00:00"/>
    <x v="1"/>
    <x v="2"/>
    <d v="1899-12-30T19:20:24"/>
    <x v="6"/>
    <s v="November"/>
    <d v="1899-12-30T19:27:14"/>
    <x v="249"/>
    <x v="1"/>
    <n v="3000"/>
    <n v="8"/>
  </r>
  <r>
    <x v="485"/>
    <x v="69"/>
    <n v="24"/>
    <x v="54"/>
    <x v="6"/>
    <x v="4"/>
    <n v="535"/>
    <d v="2023-07-25T00:00:00"/>
    <x v="2"/>
    <x v="1"/>
    <d v="1899-12-30T14:34:30"/>
    <x v="214"/>
    <s v="July"/>
    <d v="1899-12-30T16:58:35"/>
    <x v="205"/>
    <x v="2"/>
    <n v="535"/>
    <n v="5"/>
  </r>
  <r>
    <x v="486"/>
    <x v="55"/>
    <n v="51"/>
    <x v="38"/>
    <x v="4"/>
    <x v="4"/>
    <n v="1084"/>
    <d v="2023-01-05T00:00:00"/>
    <x v="8"/>
    <x v="6"/>
    <d v="1899-12-30T16:46:57"/>
    <x v="215"/>
    <s v="January"/>
    <d v="1899-12-30T04:28:18"/>
    <x v="175"/>
    <x v="6"/>
    <n v="1084"/>
    <n v="4"/>
  </r>
  <r>
    <x v="487"/>
    <x v="98"/>
    <n v="21"/>
    <x v="8"/>
    <x v="2"/>
    <x v="2"/>
    <n v="1561"/>
    <d v="2023-08-28T00:00:00"/>
    <x v="3"/>
    <x v="2"/>
    <d v="1899-12-30T22:13:30"/>
    <x v="7"/>
    <s v="August"/>
    <d v="1899-12-30T05:26:49"/>
    <x v="172"/>
    <x v="4"/>
    <n v="6244"/>
    <n v="1"/>
  </r>
  <r>
    <x v="488"/>
    <x v="16"/>
    <n v="10"/>
    <x v="22"/>
    <x v="3"/>
    <x v="4"/>
    <n v="259"/>
    <d v="2023-08-28T00:00:00"/>
    <x v="3"/>
    <x v="2"/>
    <d v="1899-12-30T22:26:56"/>
    <x v="66"/>
    <s v="September"/>
    <d v="1899-12-30T04:30:46"/>
    <x v="94"/>
    <x v="2"/>
    <n v="259"/>
    <n v="5"/>
  </r>
  <r>
    <x v="489"/>
    <x v="64"/>
    <n v="2"/>
    <x v="50"/>
    <x v="5"/>
    <x v="4"/>
    <n v="441"/>
    <d v="2023-02-12T00:00:00"/>
    <x v="0"/>
    <x v="4"/>
    <d v="1899-12-30T12:28:03"/>
    <x v="16"/>
    <s v="February"/>
    <d v="1899-12-30T12:27:19"/>
    <x v="231"/>
    <x v="3"/>
    <n v="441"/>
    <n v="2"/>
  </r>
  <r>
    <x v="490"/>
    <x v="42"/>
    <n v="30"/>
    <x v="19"/>
    <x v="2"/>
    <x v="4"/>
    <n v="751"/>
    <d v="2023-10-24T00:00:00"/>
    <x v="10"/>
    <x v="1"/>
    <d v="1899-12-30T06:14:34"/>
    <x v="216"/>
    <s v="November"/>
    <d v="1899-12-30T22:59:20"/>
    <x v="195"/>
    <x v="0"/>
    <n v="751"/>
    <n v="9"/>
  </r>
  <r>
    <x v="491"/>
    <x v="26"/>
    <n v="33"/>
    <x v="59"/>
    <x v="2"/>
    <x v="1"/>
    <n v="314"/>
    <d v="2023-02-04T00:00:00"/>
    <x v="0"/>
    <x v="3"/>
    <d v="1899-12-30T13:54:25"/>
    <x v="43"/>
    <s v="February"/>
    <d v="1899-12-30T12:04:33"/>
    <x v="69"/>
    <x v="3"/>
    <n v="628"/>
    <n v="9"/>
  </r>
  <r>
    <x v="492"/>
    <x v="65"/>
    <n v="11"/>
    <x v="45"/>
    <x v="6"/>
    <x v="4"/>
    <n v="1096"/>
    <d v="2023-02-05T00:00:00"/>
    <x v="0"/>
    <x v="4"/>
    <d v="1899-12-30T22:11:24"/>
    <x v="138"/>
    <s v="February"/>
    <d v="1899-12-30T15:43:11"/>
    <x v="119"/>
    <x v="3"/>
    <n v="1096"/>
    <n v="1"/>
  </r>
  <r>
    <x v="493"/>
    <x v="63"/>
    <n v="7"/>
    <x v="23"/>
    <x v="4"/>
    <x v="2"/>
    <n v="409"/>
    <d v="2023-02-28T00:00:00"/>
    <x v="0"/>
    <x v="1"/>
    <d v="1899-12-30T03:11:22"/>
    <x v="8"/>
    <s v="March"/>
    <d v="1899-12-30T19:06:48"/>
    <x v="123"/>
    <x v="5"/>
    <n v="1636"/>
    <n v="8"/>
  </r>
  <r>
    <x v="494"/>
    <x v="78"/>
    <n v="20"/>
    <x v="11"/>
    <x v="2"/>
    <x v="4"/>
    <n v="697"/>
    <d v="2023-08-28T00:00:00"/>
    <x v="3"/>
    <x v="2"/>
    <d v="1899-12-30T17:42:29"/>
    <x v="7"/>
    <s v="August"/>
    <d v="1899-12-30T22:51:31"/>
    <x v="250"/>
    <x v="0"/>
    <n v="697"/>
    <n v="1"/>
  </r>
  <r>
    <x v="495"/>
    <x v="99"/>
    <n v="11"/>
    <x v="45"/>
    <x v="6"/>
    <x v="2"/>
    <n v="1096"/>
    <d v="2023-02-09T00:00:00"/>
    <x v="0"/>
    <x v="6"/>
    <d v="1899-12-30T14:31:57"/>
    <x v="33"/>
    <s v="February"/>
    <d v="1899-12-30T13:05:41"/>
    <x v="124"/>
    <x v="3"/>
    <n v="4384"/>
    <n v="7"/>
  </r>
  <r>
    <x v="496"/>
    <x v="62"/>
    <n v="64"/>
    <x v="61"/>
    <x v="4"/>
    <x v="1"/>
    <n v="1878"/>
    <d v="2023-08-29T00:00:00"/>
    <x v="3"/>
    <x v="1"/>
    <d v="1899-12-30T20:14:01"/>
    <x v="141"/>
    <s v="September"/>
    <d v="1899-12-30T04:42:56"/>
    <x v="181"/>
    <x v="4"/>
    <n v="3756"/>
    <n v="3"/>
  </r>
  <r>
    <x v="497"/>
    <x v="60"/>
    <n v="19"/>
    <x v="27"/>
    <x v="6"/>
    <x v="2"/>
    <n v="1234"/>
    <d v="2023-02-13T00:00:00"/>
    <x v="0"/>
    <x v="2"/>
    <d v="1899-12-30T21:34:44"/>
    <x v="14"/>
    <s v="February"/>
    <d v="1899-12-30T21:14:24"/>
    <x v="251"/>
    <x v="3"/>
    <n v="4936"/>
    <n v="7"/>
  </r>
  <r>
    <x v="498"/>
    <x v="36"/>
    <n v="59"/>
    <x v="58"/>
    <x v="3"/>
    <x v="4"/>
    <n v="811"/>
    <d v="2023-08-27T00:00:00"/>
    <x v="3"/>
    <x v="4"/>
    <d v="1899-12-30T12:09:20"/>
    <x v="66"/>
    <s v="September"/>
    <d v="1899-12-30T10:03:32"/>
    <x v="86"/>
    <x v="4"/>
    <n v="811"/>
    <n v="6"/>
  </r>
  <r>
    <x v="499"/>
    <x v="14"/>
    <n v="61"/>
    <x v="33"/>
    <x v="5"/>
    <x v="1"/>
    <n v="810"/>
    <d v="2023-06-29T00:00:00"/>
    <x v="11"/>
    <x v="6"/>
    <d v="1899-12-30T10:07:52"/>
    <x v="217"/>
    <s v="July"/>
    <d v="1899-12-30T12:14:25"/>
    <x v="252"/>
    <x v="0"/>
    <n v="1620"/>
    <n v="6"/>
  </r>
  <r>
    <x v="500"/>
    <x v="31"/>
    <n v="46"/>
    <x v="62"/>
    <x v="3"/>
    <x v="1"/>
    <n v="758"/>
    <d v="2023-09-02T00:00:00"/>
    <x v="7"/>
    <x v="3"/>
    <d v="1899-12-30T16:27:41"/>
    <x v="54"/>
    <s v="September"/>
    <d v="1899-12-30T07:33:36"/>
    <x v="136"/>
    <x v="0"/>
    <n v="1516"/>
    <n v="6"/>
  </r>
  <r>
    <x v="501"/>
    <x v="9"/>
    <n v="22"/>
    <x v="34"/>
    <x v="4"/>
    <x v="0"/>
    <n v="1639"/>
    <d v="2023-06-24T00:00:00"/>
    <x v="11"/>
    <x v="3"/>
    <d v="1899-12-30T05:33:20"/>
    <x v="155"/>
    <s v="June"/>
    <d v="1899-12-30T00:55:44"/>
    <x v="57"/>
    <x v="6"/>
    <n v="8195"/>
    <n v="6"/>
  </r>
  <r>
    <x v="502"/>
    <x v="37"/>
    <n v="34"/>
    <x v="41"/>
    <x v="4"/>
    <x v="4"/>
    <n v="1335"/>
    <d v="2023-08-29T00:00:00"/>
    <x v="3"/>
    <x v="1"/>
    <d v="1899-12-30T20:45:45"/>
    <x v="117"/>
    <s v="September"/>
    <d v="1899-12-30T07:49:54"/>
    <x v="253"/>
    <x v="4"/>
    <n v="1335"/>
    <n v="8"/>
  </r>
  <r>
    <x v="503"/>
    <x v="44"/>
    <n v="25"/>
    <x v="40"/>
    <x v="5"/>
    <x v="4"/>
    <n v="1202"/>
    <d v="2023-07-14T00:00:00"/>
    <x v="2"/>
    <x v="0"/>
    <d v="1899-12-30T13:04:42"/>
    <x v="20"/>
    <s v="July"/>
    <d v="1899-12-30T05:20:36"/>
    <x v="254"/>
    <x v="0"/>
    <n v="1202"/>
    <n v="10"/>
  </r>
  <r>
    <x v="504"/>
    <x v="51"/>
    <n v="45"/>
    <x v="5"/>
    <x v="0"/>
    <x v="3"/>
    <n v="722"/>
    <d v="2023-06-02T00:00:00"/>
    <x v="11"/>
    <x v="0"/>
    <d v="1899-12-30T13:19:25"/>
    <x v="218"/>
    <s v="June"/>
    <d v="1899-12-30T01:59:32"/>
    <x v="113"/>
    <x v="2"/>
    <n v="2166"/>
    <n v="3"/>
  </r>
  <r>
    <x v="505"/>
    <x v="44"/>
    <n v="55"/>
    <x v="60"/>
    <x v="4"/>
    <x v="2"/>
    <n v="1904"/>
    <d v="2023-08-27T00:00:00"/>
    <x v="3"/>
    <x v="4"/>
    <d v="1899-12-30T08:52:04"/>
    <x v="66"/>
    <s v="September"/>
    <d v="1899-12-30T11:43:24"/>
    <x v="60"/>
    <x v="4"/>
    <n v="7616"/>
    <n v="6"/>
  </r>
  <r>
    <x v="506"/>
    <x v="51"/>
    <n v="13"/>
    <x v="64"/>
    <x v="6"/>
    <x v="2"/>
    <n v="1141"/>
    <d v="2023-03-07T00:00:00"/>
    <x v="5"/>
    <x v="1"/>
    <d v="1899-12-30T00:28:11"/>
    <x v="82"/>
    <s v="March"/>
    <d v="1899-12-30T20:11:36"/>
    <x v="73"/>
    <x v="5"/>
    <n v="4564"/>
    <n v="6"/>
  </r>
  <r>
    <x v="507"/>
    <x v="65"/>
    <n v="69"/>
    <x v="55"/>
    <x v="3"/>
    <x v="4"/>
    <n v="998"/>
    <d v="2023-02-26T00:00:00"/>
    <x v="0"/>
    <x v="4"/>
    <d v="1899-12-30T17:29:28"/>
    <x v="11"/>
    <s v="March"/>
    <d v="1899-12-30T07:11:06"/>
    <x v="68"/>
    <x v="5"/>
    <n v="998"/>
    <n v="6"/>
  </r>
  <r>
    <x v="508"/>
    <x v="92"/>
    <n v="13"/>
    <x v="64"/>
    <x v="6"/>
    <x v="0"/>
    <n v="1141"/>
    <d v="2023-03-05T00:00:00"/>
    <x v="5"/>
    <x v="4"/>
    <d v="1899-12-30T12:48:55"/>
    <x v="170"/>
    <s v="March"/>
    <d v="1899-12-30T07:47:16"/>
    <x v="236"/>
    <x v="5"/>
    <n v="5705"/>
    <n v="4"/>
  </r>
  <r>
    <x v="509"/>
    <x v="48"/>
    <n v="54"/>
    <x v="30"/>
    <x v="3"/>
    <x v="0"/>
    <n v="1236"/>
    <d v="2023-12-08T00:00:00"/>
    <x v="6"/>
    <x v="0"/>
    <d v="1899-12-30T13:00:05"/>
    <x v="219"/>
    <s v="December"/>
    <d v="1899-12-30T06:14:47"/>
    <x v="22"/>
    <x v="0"/>
    <n v="6180"/>
    <n v="9"/>
  </r>
  <r>
    <x v="510"/>
    <x v="28"/>
    <n v="47"/>
    <x v="49"/>
    <x v="2"/>
    <x v="1"/>
    <n v="1638"/>
    <d v="2023-02-27T00:00:00"/>
    <x v="0"/>
    <x v="2"/>
    <d v="1899-12-30T12:58:05"/>
    <x v="11"/>
    <s v="March"/>
    <d v="1899-12-30T00:46:11"/>
    <x v="244"/>
    <x v="5"/>
    <n v="3276"/>
    <n v="5"/>
  </r>
  <r>
    <x v="511"/>
    <x v="54"/>
    <n v="41"/>
    <x v="1"/>
    <x v="1"/>
    <x v="4"/>
    <n v="1977"/>
    <d v="2023-11-05T00:00:00"/>
    <x v="1"/>
    <x v="4"/>
    <d v="1899-12-30T02:42:41"/>
    <x v="108"/>
    <s v="November"/>
    <d v="1899-12-30T13:10:40"/>
    <x v="190"/>
    <x v="1"/>
    <n v="1977"/>
    <n v="6"/>
  </r>
  <r>
    <x v="512"/>
    <x v="24"/>
    <n v="1"/>
    <x v="48"/>
    <x v="4"/>
    <x v="2"/>
    <n v="1935"/>
    <d v="2023-03-27T00:00:00"/>
    <x v="5"/>
    <x v="2"/>
    <d v="1899-12-30T09:57:32"/>
    <x v="220"/>
    <s v="April"/>
    <d v="1899-12-30T13:56:41"/>
    <x v="27"/>
    <x v="6"/>
    <n v="7740"/>
    <n v="6"/>
  </r>
  <r>
    <x v="513"/>
    <x v="18"/>
    <n v="24"/>
    <x v="54"/>
    <x v="6"/>
    <x v="4"/>
    <n v="535"/>
    <d v="2023-01-01T00:00:00"/>
    <x v="8"/>
    <x v="4"/>
    <d v="1899-12-30T09:56:10"/>
    <x v="215"/>
    <s v="January"/>
    <d v="1899-12-30T17:56:52"/>
    <x v="113"/>
    <x v="2"/>
    <n v="535"/>
    <n v="8"/>
  </r>
  <r>
    <x v="514"/>
    <x v="4"/>
    <n v="14"/>
    <x v="2"/>
    <x v="2"/>
    <x v="0"/>
    <n v="1915"/>
    <d v="2023-10-21T00:00:00"/>
    <x v="10"/>
    <x v="3"/>
    <d v="1899-12-30T23:22:39"/>
    <x v="102"/>
    <s v="October"/>
    <d v="1899-12-30T14:59:49"/>
    <x v="255"/>
    <x v="2"/>
    <n v="9575"/>
    <n v="6"/>
  </r>
  <r>
    <x v="515"/>
    <x v="37"/>
    <n v="22"/>
    <x v="34"/>
    <x v="4"/>
    <x v="1"/>
    <n v="1639"/>
    <d v="2023-07-05T00:00:00"/>
    <x v="2"/>
    <x v="5"/>
    <d v="1899-12-30T20:52:56"/>
    <x v="221"/>
    <s v="July"/>
    <d v="1899-12-30T01:06:20"/>
    <x v="256"/>
    <x v="6"/>
    <n v="3278"/>
    <n v="1"/>
  </r>
  <r>
    <x v="516"/>
    <x v="25"/>
    <n v="60"/>
    <x v="12"/>
    <x v="1"/>
    <x v="0"/>
    <n v="827"/>
    <d v="2023-11-09T00:00:00"/>
    <x v="1"/>
    <x v="6"/>
    <d v="1899-12-30T01:01:13"/>
    <x v="166"/>
    <s v="November"/>
    <d v="1899-12-30T19:04:55"/>
    <x v="155"/>
    <x v="1"/>
    <n v="4135"/>
    <n v="8"/>
  </r>
  <r>
    <x v="517"/>
    <x v="41"/>
    <n v="45"/>
    <x v="5"/>
    <x v="0"/>
    <x v="3"/>
    <n v="722"/>
    <d v="2023-04-09T00:00:00"/>
    <x v="9"/>
    <x v="4"/>
    <d v="1899-12-30T04:46:41"/>
    <x v="172"/>
    <s v="April"/>
    <d v="1899-12-30T19:40:46"/>
    <x v="87"/>
    <x v="2"/>
    <n v="2166"/>
    <n v="6"/>
  </r>
  <r>
    <x v="518"/>
    <x v="38"/>
    <n v="52"/>
    <x v="15"/>
    <x v="0"/>
    <x v="2"/>
    <n v="236"/>
    <d v="2023-02-07T00:00:00"/>
    <x v="0"/>
    <x v="1"/>
    <d v="1899-12-30T23:10:38"/>
    <x v="28"/>
    <s v="February"/>
    <d v="1899-12-30T06:40:20"/>
    <x v="223"/>
    <x v="3"/>
    <n v="944"/>
    <n v="8"/>
  </r>
  <r>
    <x v="519"/>
    <x v="68"/>
    <n v="14"/>
    <x v="2"/>
    <x v="2"/>
    <x v="0"/>
    <n v="1915"/>
    <d v="2023-04-07T00:00:00"/>
    <x v="9"/>
    <x v="0"/>
    <d v="1899-12-30T04:43:51"/>
    <x v="222"/>
    <s v="April"/>
    <d v="1899-12-30T08:21:40"/>
    <x v="221"/>
    <x v="2"/>
    <n v="9575"/>
    <n v="1"/>
  </r>
  <r>
    <x v="520"/>
    <x v="52"/>
    <n v="33"/>
    <x v="59"/>
    <x v="2"/>
    <x v="0"/>
    <n v="314"/>
    <d v="2023-02-04T00:00:00"/>
    <x v="0"/>
    <x v="3"/>
    <d v="1899-12-30T21:00:17"/>
    <x v="62"/>
    <s v="February"/>
    <d v="1899-12-30T02:28:38"/>
    <x v="179"/>
    <x v="3"/>
    <n v="1570"/>
    <n v="4"/>
  </r>
  <r>
    <x v="521"/>
    <x v="17"/>
    <n v="50"/>
    <x v="56"/>
    <x v="5"/>
    <x v="3"/>
    <n v="422"/>
    <d v="2023-02-27T00:00:00"/>
    <x v="0"/>
    <x v="2"/>
    <d v="1899-12-30T21:04:28"/>
    <x v="8"/>
    <s v="March"/>
    <d v="1899-12-30T01:34:50"/>
    <x v="74"/>
    <x v="5"/>
    <n v="1266"/>
    <n v="9"/>
  </r>
  <r>
    <x v="522"/>
    <x v="27"/>
    <n v="30"/>
    <x v="19"/>
    <x v="2"/>
    <x v="3"/>
    <n v="751"/>
    <d v="2023-07-02T00:00:00"/>
    <x v="2"/>
    <x v="4"/>
    <d v="1899-12-30T13:37:08"/>
    <x v="129"/>
    <s v="July"/>
    <d v="1899-12-30T15:38:36"/>
    <x v="191"/>
    <x v="0"/>
    <n v="2253"/>
    <n v="7"/>
  </r>
  <r>
    <x v="523"/>
    <x v="75"/>
    <n v="45"/>
    <x v="5"/>
    <x v="0"/>
    <x v="4"/>
    <n v="722"/>
    <d v="2023-08-15T00:00:00"/>
    <x v="3"/>
    <x v="1"/>
    <d v="1899-12-30T13:54:54"/>
    <x v="88"/>
    <s v="August"/>
    <d v="1899-12-30T12:29:47"/>
    <x v="161"/>
    <x v="2"/>
    <n v="722"/>
    <n v="7"/>
  </r>
  <r>
    <x v="524"/>
    <x v="47"/>
    <n v="16"/>
    <x v="9"/>
    <x v="1"/>
    <x v="1"/>
    <n v="1721"/>
    <d v="2023-03-02T00:00:00"/>
    <x v="5"/>
    <x v="6"/>
    <d v="1899-12-30T20:06:08"/>
    <x v="57"/>
    <s v="March"/>
    <d v="1899-12-30T22:22:35"/>
    <x v="257"/>
    <x v="5"/>
    <n v="3442"/>
    <n v="9"/>
  </r>
  <r>
    <x v="525"/>
    <x v="54"/>
    <n v="13"/>
    <x v="64"/>
    <x v="6"/>
    <x v="0"/>
    <n v="1141"/>
    <d v="2023-03-02T00:00:00"/>
    <x v="5"/>
    <x v="6"/>
    <d v="1899-12-30T06:06:20"/>
    <x v="8"/>
    <s v="March"/>
    <d v="1899-12-30T01:35:05"/>
    <x v="184"/>
    <x v="5"/>
    <n v="5705"/>
    <n v="6"/>
  </r>
  <r>
    <x v="526"/>
    <x v="39"/>
    <n v="33"/>
    <x v="59"/>
    <x v="2"/>
    <x v="3"/>
    <n v="314"/>
    <d v="2023-02-11T00:00:00"/>
    <x v="0"/>
    <x v="3"/>
    <d v="1899-12-30T12:51:40"/>
    <x v="223"/>
    <s v="February"/>
    <d v="1899-12-30T15:58:07"/>
    <x v="0"/>
    <x v="3"/>
    <n v="942"/>
    <n v="8"/>
  </r>
  <r>
    <x v="527"/>
    <x v="86"/>
    <n v="27"/>
    <x v="7"/>
    <x v="3"/>
    <x v="3"/>
    <n v="548"/>
    <d v="2023-08-27T00:00:00"/>
    <x v="3"/>
    <x v="4"/>
    <d v="1899-12-30T05:01:16"/>
    <x v="13"/>
    <s v="August"/>
    <d v="1899-12-30T17:03:43"/>
    <x v="185"/>
    <x v="4"/>
    <n v="1644"/>
    <n v="3"/>
  </r>
  <r>
    <x v="528"/>
    <x v="14"/>
    <n v="64"/>
    <x v="61"/>
    <x v="4"/>
    <x v="1"/>
    <n v="1878"/>
    <d v="2023-08-25T00:00:00"/>
    <x v="3"/>
    <x v="0"/>
    <d v="1899-12-30T15:47:28"/>
    <x v="56"/>
    <s v="August"/>
    <d v="1899-12-30T14:05:18"/>
    <x v="17"/>
    <x v="4"/>
    <n v="3756"/>
    <n v="3"/>
  </r>
  <r>
    <x v="529"/>
    <x v="54"/>
    <n v="5"/>
    <x v="36"/>
    <x v="2"/>
    <x v="1"/>
    <n v="1444"/>
    <d v="2023-08-19T00:00:00"/>
    <x v="3"/>
    <x v="3"/>
    <d v="1899-12-30T10:45:21"/>
    <x v="42"/>
    <s v="August"/>
    <d v="1899-12-30T00:23:56"/>
    <x v="42"/>
    <x v="6"/>
    <n v="2888"/>
    <n v="8"/>
  </r>
  <r>
    <x v="530"/>
    <x v="2"/>
    <n v="28"/>
    <x v="4"/>
    <x v="1"/>
    <x v="0"/>
    <n v="1778"/>
    <d v="2023-08-29T00:00:00"/>
    <x v="3"/>
    <x v="1"/>
    <d v="1899-12-30T13:32:08"/>
    <x v="41"/>
    <s v="September"/>
    <d v="1899-12-30T08:43:11"/>
    <x v="157"/>
    <x v="4"/>
    <n v="8890"/>
    <n v="9"/>
  </r>
  <r>
    <x v="531"/>
    <x v="39"/>
    <n v="30"/>
    <x v="19"/>
    <x v="2"/>
    <x v="0"/>
    <n v="751"/>
    <d v="2023-09-02T00:00:00"/>
    <x v="7"/>
    <x v="3"/>
    <d v="1899-12-30T13:25:06"/>
    <x v="224"/>
    <s v="September"/>
    <d v="1899-12-30T02:55:07"/>
    <x v="112"/>
    <x v="0"/>
    <n v="3755"/>
    <n v="8"/>
  </r>
  <r>
    <x v="532"/>
    <x v="34"/>
    <n v="14"/>
    <x v="2"/>
    <x v="2"/>
    <x v="3"/>
    <n v="1915"/>
    <d v="2023-04-18T00:00:00"/>
    <x v="9"/>
    <x v="1"/>
    <d v="1899-12-30T07:19:52"/>
    <x v="153"/>
    <s v="April"/>
    <d v="1899-12-30T17:43:45"/>
    <x v="141"/>
    <x v="2"/>
    <n v="5745"/>
    <n v="2"/>
  </r>
  <r>
    <x v="533"/>
    <x v="59"/>
    <n v="31"/>
    <x v="43"/>
    <x v="2"/>
    <x v="1"/>
    <n v="1804"/>
    <d v="2023-11-27T00:00:00"/>
    <x v="1"/>
    <x v="2"/>
    <d v="1899-12-30T03:40:16"/>
    <x v="225"/>
    <s v="December"/>
    <d v="1899-12-30T11:22:37"/>
    <x v="162"/>
    <x v="6"/>
    <n v="3608"/>
    <n v="7"/>
  </r>
  <r>
    <x v="534"/>
    <x v="48"/>
    <n v="25"/>
    <x v="40"/>
    <x v="5"/>
    <x v="3"/>
    <n v="1202"/>
    <d v="2023-07-08T00:00:00"/>
    <x v="2"/>
    <x v="3"/>
    <d v="1899-12-30T21:59:28"/>
    <x v="226"/>
    <s v="July"/>
    <d v="1899-12-30T06:30:40"/>
    <x v="36"/>
    <x v="0"/>
    <n v="3606"/>
    <n v="3"/>
  </r>
  <r>
    <x v="535"/>
    <x v="66"/>
    <n v="59"/>
    <x v="58"/>
    <x v="3"/>
    <x v="3"/>
    <n v="811"/>
    <d v="2023-08-25T00:00:00"/>
    <x v="3"/>
    <x v="0"/>
    <d v="1899-12-30T15:14:52"/>
    <x v="13"/>
    <s v="August"/>
    <d v="1899-12-30T11:13:10"/>
    <x v="14"/>
    <x v="4"/>
    <n v="2433"/>
    <n v="5"/>
  </r>
  <r>
    <x v="536"/>
    <x v="25"/>
    <n v="42"/>
    <x v="18"/>
    <x v="1"/>
    <x v="3"/>
    <n v="1744"/>
    <d v="2023-10-17T00:00:00"/>
    <x v="10"/>
    <x v="1"/>
    <d v="1899-12-30T06:19:24"/>
    <x v="167"/>
    <s v="October"/>
    <d v="1899-12-30T03:09:08"/>
    <x v="182"/>
    <x v="6"/>
    <n v="5232"/>
    <n v="8"/>
  </r>
  <r>
    <x v="537"/>
    <x v="7"/>
    <n v="24"/>
    <x v="54"/>
    <x v="6"/>
    <x v="0"/>
    <n v="535"/>
    <d v="2023-05-18T00:00:00"/>
    <x v="4"/>
    <x v="6"/>
    <d v="1899-12-30T13:09:06"/>
    <x v="186"/>
    <s v="May"/>
    <d v="1899-12-30T22:36:16"/>
    <x v="222"/>
    <x v="2"/>
    <n v="2675"/>
    <n v="1"/>
  </r>
  <r>
    <x v="538"/>
    <x v="15"/>
    <n v="20"/>
    <x v="11"/>
    <x v="2"/>
    <x v="3"/>
    <n v="697"/>
    <d v="2023-06-09T00:00:00"/>
    <x v="11"/>
    <x v="0"/>
    <d v="1899-12-30T15:39:18"/>
    <x v="136"/>
    <s v="June"/>
    <d v="1899-12-30T14:17:05"/>
    <x v="258"/>
    <x v="0"/>
    <n v="2091"/>
    <n v="7"/>
  </r>
  <r>
    <x v="539"/>
    <x v="63"/>
    <n v="22"/>
    <x v="34"/>
    <x v="4"/>
    <x v="2"/>
    <n v="1639"/>
    <d v="2023-09-06T00:00:00"/>
    <x v="7"/>
    <x v="5"/>
    <d v="1899-12-30T19:07:35"/>
    <x v="98"/>
    <s v="September"/>
    <d v="1899-12-30T01:26:00"/>
    <x v="259"/>
    <x v="6"/>
    <n v="6556"/>
    <n v="3"/>
  </r>
  <r>
    <x v="540"/>
    <x v="78"/>
    <n v="24"/>
    <x v="54"/>
    <x v="6"/>
    <x v="3"/>
    <n v="535"/>
    <d v="2023-11-13T00:00:00"/>
    <x v="1"/>
    <x v="2"/>
    <d v="1899-12-30T05:51:09"/>
    <x v="38"/>
    <s v="November"/>
    <d v="1899-12-30T22:56:34"/>
    <x v="175"/>
    <x v="2"/>
    <n v="1605"/>
    <n v="3"/>
  </r>
  <r>
    <x v="541"/>
    <x v="70"/>
    <n v="54"/>
    <x v="30"/>
    <x v="3"/>
    <x v="0"/>
    <n v="1236"/>
    <d v="2023-07-07T00:00:00"/>
    <x v="2"/>
    <x v="0"/>
    <d v="1899-12-30T19:41:20"/>
    <x v="227"/>
    <s v="July"/>
    <d v="1899-12-30T09:52:12"/>
    <x v="106"/>
    <x v="0"/>
    <n v="6180"/>
    <n v="5"/>
  </r>
  <r>
    <x v="542"/>
    <x v="40"/>
    <n v="51"/>
    <x v="38"/>
    <x v="4"/>
    <x v="2"/>
    <n v="1084"/>
    <d v="2023-02-12T00:00:00"/>
    <x v="0"/>
    <x v="4"/>
    <d v="1899-12-30T21:51:10"/>
    <x v="197"/>
    <s v="February"/>
    <d v="1899-12-30T11:53:09"/>
    <x v="229"/>
    <x v="6"/>
    <n v="4336"/>
    <n v="5"/>
  </r>
  <r>
    <x v="543"/>
    <x v="69"/>
    <n v="29"/>
    <x v="66"/>
    <x v="2"/>
    <x v="1"/>
    <n v="1252"/>
    <d v="2023-03-01T00:00:00"/>
    <x v="5"/>
    <x v="5"/>
    <d v="1899-12-30T02:31:54"/>
    <x v="57"/>
    <s v="March"/>
    <d v="1899-12-30T09:33:52"/>
    <x v="9"/>
    <x v="5"/>
    <n v="2504"/>
    <n v="10"/>
  </r>
  <r>
    <x v="544"/>
    <x v="67"/>
    <n v="9"/>
    <x v="21"/>
    <x v="2"/>
    <x v="0"/>
    <n v="1605"/>
    <d v="2023-08-20T00:00:00"/>
    <x v="3"/>
    <x v="4"/>
    <d v="1899-12-30T01:54:52"/>
    <x v="4"/>
    <s v="August"/>
    <d v="1899-12-30T08:07:19"/>
    <x v="48"/>
    <x v="4"/>
    <n v="8025"/>
    <n v="6"/>
  </r>
  <r>
    <x v="545"/>
    <x v="25"/>
    <n v="25"/>
    <x v="40"/>
    <x v="5"/>
    <x v="3"/>
    <n v="1202"/>
    <d v="2023-02-02T00:00:00"/>
    <x v="0"/>
    <x v="6"/>
    <d v="1899-12-30T22:04:53"/>
    <x v="68"/>
    <s v="February"/>
    <d v="1899-12-30T10:00:07"/>
    <x v="260"/>
    <x v="0"/>
    <n v="3606"/>
    <n v="9"/>
  </r>
  <r>
    <x v="546"/>
    <x v="24"/>
    <n v="30"/>
    <x v="19"/>
    <x v="2"/>
    <x v="0"/>
    <n v="751"/>
    <d v="2023-01-10T00:00:00"/>
    <x v="8"/>
    <x v="1"/>
    <d v="1899-12-30T02:30:12"/>
    <x v="228"/>
    <s v="January"/>
    <d v="1899-12-30T13:56:41"/>
    <x v="51"/>
    <x v="0"/>
    <n v="3755"/>
    <n v="9"/>
  </r>
  <r>
    <x v="547"/>
    <x v="3"/>
    <n v="25"/>
    <x v="40"/>
    <x v="5"/>
    <x v="1"/>
    <n v="1202"/>
    <d v="2023-02-21T00:00:00"/>
    <x v="0"/>
    <x v="1"/>
    <d v="1899-12-30T12:32:50"/>
    <x v="180"/>
    <s v="February"/>
    <d v="1899-12-30T19:47:44"/>
    <x v="89"/>
    <x v="0"/>
    <n v="2404"/>
    <n v="1"/>
  </r>
  <r>
    <x v="548"/>
    <x v="99"/>
    <n v="64"/>
    <x v="61"/>
    <x v="4"/>
    <x v="4"/>
    <n v="1878"/>
    <d v="2023-08-22T00:00:00"/>
    <x v="3"/>
    <x v="1"/>
    <d v="1899-12-30T19:29:43"/>
    <x v="141"/>
    <s v="September"/>
    <d v="1899-12-30T02:29:10"/>
    <x v="193"/>
    <x v="4"/>
    <n v="1878"/>
    <n v="10"/>
  </r>
  <r>
    <x v="549"/>
    <x v="40"/>
    <n v="29"/>
    <x v="66"/>
    <x v="2"/>
    <x v="0"/>
    <n v="1252"/>
    <d v="2023-02-27T00:00:00"/>
    <x v="0"/>
    <x v="2"/>
    <d v="1899-12-30T19:28:12"/>
    <x v="0"/>
    <s v="March"/>
    <d v="1899-12-30T17:03:39"/>
    <x v="261"/>
    <x v="5"/>
    <n v="6260"/>
    <n v="6"/>
  </r>
  <r>
    <x v="550"/>
    <x v="24"/>
    <n v="67"/>
    <x v="0"/>
    <x v="0"/>
    <x v="4"/>
    <n v="1374"/>
    <d v="2023-04-19T00:00:00"/>
    <x v="9"/>
    <x v="5"/>
    <d v="1899-12-30T20:43:42"/>
    <x v="36"/>
    <s v="April"/>
    <d v="1899-12-30T15:25:04"/>
    <x v="237"/>
    <x v="0"/>
    <n v="1374"/>
    <n v="4"/>
  </r>
  <r>
    <x v="551"/>
    <x v="25"/>
    <n v="31"/>
    <x v="43"/>
    <x v="2"/>
    <x v="3"/>
    <n v="1804"/>
    <d v="2023-05-10T00:00:00"/>
    <x v="4"/>
    <x v="5"/>
    <d v="1899-12-30T18:59:31"/>
    <x v="118"/>
    <s v="May"/>
    <d v="1899-12-30T17:09:07"/>
    <x v="197"/>
    <x v="6"/>
    <n v="5412"/>
    <n v="1"/>
  </r>
  <r>
    <x v="552"/>
    <x v="75"/>
    <n v="39"/>
    <x v="47"/>
    <x v="6"/>
    <x v="1"/>
    <n v="387"/>
    <d v="2023-08-22T00:00:00"/>
    <x v="3"/>
    <x v="1"/>
    <d v="1899-12-30T01:22:41"/>
    <x v="4"/>
    <s v="August"/>
    <d v="1899-12-30T07:43:27"/>
    <x v="181"/>
    <x v="6"/>
    <n v="774"/>
    <n v="4"/>
  </r>
  <r>
    <x v="553"/>
    <x v="41"/>
    <n v="29"/>
    <x v="66"/>
    <x v="2"/>
    <x v="2"/>
    <n v="1252"/>
    <d v="2023-02-28T00:00:00"/>
    <x v="0"/>
    <x v="1"/>
    <d v="1899-12-30T20:25:07"/>
    <x v="9"/>
    <s v="March"/>
    <d v="1899-12-30T16:49:01"/>
    <x v="262"/>
    <x v="5"/>
    <n v="5008"/>
    <n v="3"/>
  </r>
  <r>
    <x v="554"/>
    <x v="60"/>
    <n v="56"/>
    <x v="8"/>
    <x v="0"/>
    <x v="2"/>
    <n v="1272"/>
    <d v="2023-06-28T00:00:00"/>
    <x v="11"/>
    <x v="5"/>
    <d v="1899-12-30T12:05:43"/>
    <x v="155"/>
    <s v="June"/>
    <d v="1899-12-30T17:58:12"/>
    <x v="48"/>
    <x v="0"/>
    <n v="5088"/>
    <n v="2"/>
  </r>
  <r>
    <x v="555"/>
    <x v="95"/>
    <n v="17"/>
    <x v="25"/>
    <x v="4"/>
    <x v="4"/>
    <n v="1899"/>
    <d v="2023-12-13T00:00:00"/>
    <x v="6"/>
    <x v="5"/>
    <d v="1899-12-30T15:34:22"/>
    <x v="229"/>
    <s v="December"/>
    <d v="1899-12-30T15:49:48"/>
    <x v="263"/>
    <x v="0"/>
    <n v="1899"/>
    <n v="8"/>
  </r>
  <r>
    <x v="556"/>
    <x v="61"/>
    <n v="47"/>
    <x v="49"/>
    <x v="2"/>
    <x v="3"/>
    <n v="1638"/>
    <d v="2023-03-01T00:00:00"/>
    <x v="5"/>
    <x v="5"/>
    <d v="1899-12-30T03:00:42"/>
    <x v="8"/>
    <s v="March"/>
    <d v="1899-12-30T02:10:39"/>
    <x v="219"/>
    <x v="5"/>
    <n v="4914"/>
    <n v="7"/>
  </r>
  <r>
    <x v="557"/>
    <x v="22"/>
    <n v="64"/>
    <x v="61"/>
    <x v="4"/>
    <x v="3"/>
    <n v="1878"/>
    <d v="2023-08-22T00:00:00"/>
    <x v="3"/>
    <x v="1"/>
    <d v="1899-12-30T00:42:58"/>
    <x v="175"/>
    <s v="August"/>
    <d v="1899-12-30T00:24:52"/>
    <x v="191"/>
    <x v="4"/>
    <n v="5634"/>
    <n v="3"/>
  </r>
  <r>
    <x v="558"/>
    <x v="75"/>
    <n v="45"/>
    <x v="5"/>
    <x v="0"/>
    <x v="4"/>
    <n v="722"/>
    <d v="2023-12-19T00:00:00"/>
    <x v="6"/>
    <x v="1"/>
    <d v="1899-12-30T16:37:11"/>
    <x v="140"/>
    <s v="December"/>
    <d v="1899-12-30T18:35:43"/>
    <x v="264"/>
    <x v="2"/>
    <n v="722"/>
    <n v="7"/>
  </r>
  <r>
    <x v="559"/>
    <x v="1"/>
    <n v="39"/>
    <x v="47"/>
    <x v="6"/>
    <x v="1"/>
    <n v="387"/>
    <d v="2023-08-04T00:00:00"/>
    <x v="3"/>
    <x v="0"/>
    <d v="1899-12-30T12:52:20"/>
    <x v="230"/>
    <s v="August"/>
    <d v="1899-12-30T09:50:53"/>
    <x v="74"/>
    <x v="6"/>
    <n v="774"/>
    <n v="5"/>
  </r>
  <r>
    <x v="560"/>
    <x v="9"/>
    <n v="49"/>
    <x v="32"/>
    <x v="2"/>
    <x v="0"/>
    <n v="903"/>
    <d v="2023-02-12T00:00:00"/>
    <x v="0"/>
    <x v="4"/>
    <d v="1899-12-30T12:24:35"/>
    <x v="80"/>
    <s v="February"/>
    <d v="1899-12-30T17:23:34"/>
    <x v="222"/>
    <x v="3"/>
    <n v="4515"/>
    <n v="9"/>
  </r>
  <r>
    <x v="561"/>
    <x v="31"/>
    <n v="24"/>
    <x v="54"/>
    <x v="6"/>
    <x v="2"/>
    <n v="535"/>
    <d v="2023-08-09T00:00:00"/>
    <x v="3"/>
    <x v="5"/>
    <d v="1899-12-30T09:18:20"/>
    <x v="163"/>
    <s v="August"/>
    <d v="1899-12-30T01:34:07"/>
    <x v="190"/>
    <x v="2"/>
    <n v="2140"/>
    <n v="7"/>
  </r>
  <r>
    <x v="562"/>
    <x v="43"/>
    <n v="58"/>
    <x v="3"/>
    <x v="3"/>
    <x v="0"/>
    <n v="1492"/>
    <d v="2023-02-11T00:00:00"/>
    <x v="0"/>
    <x v="3"/>
    <d v="1899-12-30T11:43:18"/>
    <x v="223"/>
    <s v="February"/>
    <d v="1899-12-30T05:04:29"/>
    <x v="56"/>
    <x v="3"/>
    <n v="7460"/>
    <n v="8"/>
  </r>
  <r>
    <x v="563"/>
    <x v="78"/>
    <n v="40"/>
    <x v="46"/>
    <x v="1"/>
    <x v="4"/>
    <n v="1923"/>
    <d v="2023-04-07T00:00:00"/>
    <x v="9"/>
    <x v="0"/>
    <d v="1899-12-30T00:40:20"/>
    <x v="172"/>
    <s v="April"/>
    <d v="1899-12-30T06:06:57"/>
    <x v="265"/>
    <x v="0"/>
    <n v="1923"/>
    <n v="8"/>
  </r>
  <r>
    <x v="564"/>
    <x v="17"/>
    <n v="50"/>
    <x v="56"/>
    <x v="5"/>
    <x v="3"/>
    <n v="422"/>
    <d v="2023-03-06T00:00:00"/>
    <x v="5"/>
    <x v="2"/>
    <d v="1899-12-30T17:28:16"/>
    <x v="27"/>
    <s v="March"/>
    <d v="1899-12-30T13:12:47"/>
    <x v="169"/>
    <x v="5"/>
    <n v="1266"/>
    <n v="8"/>
  </r>
  <r>
    <x v="565"/>
    <x v="19"/>
    <n v="42"/>
    <x v="18"/>
    <x v="1"/>
    <x v="2"/>
    <n v="1744"/>
    <d v="2023-05-12T00:00:00"/>
    <x v="4"/>
    <x v="0"/>
    <d v="1899-12-30T12:48:03"/>
    <x v="231"/>
    <s v="May"/>
    <d v="1899-12-30T20:36:32"/>
    <x v="189"/>
    <x v="6"/>
    <n v="6976"/>
    <n v="2"/>
  </r>
  <r>
    <x v="566"/>
    <x v="18"/>
    <n v="66"/>
    <x v="26"/>
    <x v="2"/>
    <x v="4"/>
    <n v="610"/>
    <d v="2023-03-06T00:00:00"/>
    <x v="5"/>
    <x v="2"/>
    <d v="1899-12-30T06:11:59"/>
    <x v="137"/>
    <s v="March"/>
    <d v="1899-12-30T18:57:04"/>
    <x v="255"/>
    <x v="5"/>
    <n v="610"/>
    <n v="9"/>
  </r>
  <r>
    <x v="567"/>
    <x v="15"/>
    <n v="10"/>
    <x v="22"/>
    <x v="3"/>
    <x v="4"/>
    <n v="259"/>
    <d v="2023-06-29T00:00:00"/>
    <x v="11"/>
    <x v="6"/>
    <d v="1899-12-30T20:55:39"/>
    <x v="114"/>
    <s v="July"/>
    <d v="1899-12-30T13:16:14"/>
    <x v="249"/>
    <x v="2"/>
    <n v="259"/>
    <n v="9"/>
  </r>
  <r>
    <x v="568"/>
    <x v="80"/>
    <n v="53"/>
    <x v="65"/>
    <x v="1"/>
    <x v="1"/>
    <n v="1672"/>
    <d v="2023-08-28T00:00:00"/>
    <x v="3"/>
    <x v="2"/>
    <d v="1899-12-30T14:00:43"/>
    <x v="126"/>
    <s v="September"/>
    <d v="1899-12-30T17:56:22"/>
    <x v="80"/>
    <x v="4"/>
    <n v="3344"/>
    <n v="7"/>
  </r>
  <r>
    <x v="569"/>
    <x v="15"/>
    <n v="69"/>
    <x v="55"/>
    <x v="3"/>
    <x v="3"/>
    <n v="998"/>
    <d v="2023-02-28T00:00:00"/>
    <x v="0"/>
    <x v="1"/>
    <d v="1899-12-30T11:25:04"/>
    <x v="170"/>
    <s v="March"/>
    <d v="1899-12-30T00:53:55"/>
    <x v="266"/>
    <x v="5"/>
    <n v="2994"/>
    <n v="9"/>
  </r>
  <r>
    <x v="570"/>
    <x v="33"/>
    <n v="6"/>
    <x v="20"/>
    <x v="3"/>
    <x v="4"/>
    <n v="1112"/>
    <d v="2023-02-28T00:00:00"/>
    <x v="0"/>
    <x v="1"/>
    <d v="1899-12-30T09:38:25"/>
    <x v="170"/>
    <s v="March"/>
    <d v="1899-12-30T04:26:01"/>
    <x v="159"/>
    <x v="5"/>
    <n v="1112"/>
    <n v="9"/>
  </r>
  <r>
    <x v="571"/>
    <x v="58"/>
    <n v="25"/>
    <x v="40"/>
    <x v="5"/>
    <x v="0"/>
    <n v="1202"/>
    <d v="2023-06-04T00:00:00"/>
    <x v="11"/>
    <x v="4"/>
    <d v="1899-12-30T15:48:37"/>
    <x v="31"/>
    <s v="June"/>
    <d v="1899-12-30T10:11:48"/>
    <x v="132"/>
    <x v="0"/>
    <n v="6010"/>
    <n v="6"/>
  </r>
  <r>
    <x v="572"/>
    <x v="5"/>
    <n v="3"/>
    <x v="52"/>
    <x v="2"/>
    <x v="0"/>
    <n v="1534"/>
    <d v="2023-02-08T00:00:00"/>
    <x v="0"/>
    <x v="5"/>
    <d v="1899-12-30T02:52:06"/>
    <x v="16"/>
    <s v="February"/>
    <d v="1899-12-30T02:57:06"/>
    <x v="204"/>
    <x v="3"/>
    <n v="7670"/>
    <n v="6"/>
  </r>
  <r>
    <x v="573"/>
    <x v="25"/>
    <n v="29"/>
    <x v="66"/>
    <x v="2"/>
    <x v="3"/>
    <n v="1252"/>
    <d v="2023-03-02T00:00:00"/>
    <x v="5"/>
    <x v="6"/>
    <d v="1899-12-30T23:57:06"/>
    <x v="44"/>
    <s v="March"/>
    <d v="1899-12-30T21:45:12"/>
    <x v="47"/>
    <x v="5"/>
    <n v="3756"/>
    <n v="4"/>
  </r>
  <r>
    <x v="574"/>
    <x v="89"/>
    <n v="49"/>
    <x v="32"/>
    <x v="2"/>
    <x v="1"/>
    <n v="903"/>
    <d v="2023-02-06T00:00:00"/>
    <x v="0"/>
    <x v="2"/>
    <d v="1899-12-30T13:24:32"/>
    <x v="90"/>
    <s v="February"/>
    <d v="1899-12-30T14:55:08"/>
    <x v="14"/>
    <x v="3"/>
    <n v="1806"/>
    <n v="3"/>
  </r>
  <r>
    <x v="575"/>
    <x v="45"/>
    <n v="53"/>
    <x v="65"/>
    <x v="1"/>
    <x v="2"/>
    <n v="1672"/>
    <d v="2023-08-20T00:00:00"/>
    <x v="3"/>
    <x v="4"/>
    <d v="1899-12-30T07:04:37"/>
    <x v="4"/>
    <s v="August"/>
    <d v="1899-12-30T08:01:59"/>
    <x v="75"/>
    <x v="4"/>
    <n v="6688"/>
    <n v="6"/>
  </r>
  <r>
    <x v="576"/>
    <x v="54"/>
    <n v="20"/>
    <x v="11"/>
    <x v="2"/>
    <x v="2"/>
    <n v="697"/>
    <d v="2023-10-28T00:00:00"/>
    <x v="10"/>
    <x v="3"/>
    <d v="1899-12-30T14:51:26"/>
    <x v="30"/>
    <s v="November"/>
    <d v="1899-12-30T18:50:45"/>
    <x v="240"/>
    <x v="0"/>
    <n v="2788"/>
    <n v="8"/>
  </r>
  <r>
    <x v="577"/>
    <x v="54"/>
    <n v="18"/>
    <x v="53"/>
    <x v="5"/>
    <x v="2"/>
    <n v="781"/>
    <d v="2023-07-31T00:00:00"/>
    <x v="2"/>
    <x v="2"/>
    <d v="1899-12-30T18:27:40"/>
    <x v="232"/>
    <s v="August"/>
    <d v="1899-12-30T16:43:25"/>
    <x v="79"/>
    <x v="2"/>
    <n v="3124"/>
    <n v="6"/>
  </r>
  <r>
    <x v="578"/>
    <x v="74"/>
    <n v="29"/>
    <x v="66"/>
    <x v="2"/>
    <x v="1"/>
    <n v="1252"/>
    <d v="2023-03-07T00:00:00"/>
    <x v="5"/>
    <x v="1"/>
    <d v="1899-12-30T21:38:40"/>
    <x v="27"/>
    <s v="March"/>
    <d v="1899-12-30T10:45:06"/>
    <x v="212"/>
    <x v="5"/>
    <n v="2504"/>
    <n v="7"/>
  </r>
  <r>
    <x v="579"/>
    <x v="83"/>
    <n v="24"/>
    <x v="54"/>
    <x v="6"/>
    <x v="2"/>
    <n v="535"/>
    <d v="2023-06-16T00:00:00"/>
    <x v="11"/>
    <x v="0"/>
    <d v="1899-12-30T22:03:12"/>
    <x v="233"/>
    <s v="June"/>
    <d v="1899-12-30T12:25:42"/>
    <x v="159"/>
    <x v="2"/>
    <n v="2140"/>
    <n v="4"/>
  </r>
  <r>
    <x v="580"/>
    <x v="63"/>
    <n v="18"/>
    <x v="53"/>
    <x v="5"/>
    <x v="1"/>
    <n v="781"/>
    <d v="2023-07-02T00:00:00"/>
    <x v="2"/>
    <x v="4"/>
    <d v="1899-12-30T02:08:23"/>
    <x v="226"/>
    <s v="July"/>
    <d v="1899-12-30T14:56:59"/>
    <x v="65"/>
    <x v="2"/>
    <n v="1562"/>
    <n v="9"/>
  </r>
  <r>
    <x v="581"/>
    <x v="1"/>
    <n v="3"/>
    <x v="52"/>
    <x v="2"/>
    <x v="2"/>
    <n v="1534"/>
    <d v="2023-02-04T00:00:00"/>
    <x v="0"/>
    <x v="3"/>
    <d v="1899-12-30T18:30:31"/>
    <x v="234"/>
    <s v="February"/>
    <d v="1899-12-30T19:16:41"/>
    <x v="82"/>
    <x v="3"/>
    <n v="6136"/>
    <n v="1"/>
  </r>
  <r>
    <x v="582"/>
    <x v="98"/>
    <n v="56"/>
    <x v="8"/>
    <x v="0"/>
    <x v="2"/>
    <n v="1272"/>
    <d v="2023-09-18T00:00:00"/>
    <x v="7"/>
    <x v="2"/>
    <d v="1899-12-30T16:47:25"/>
    <x v="67"/>
    <s v="September"/>
    <d v="1899-12-30T19:58:33"/>
    <x v="206"/>
    <x v="0"/>
    <n v="5088"/>
    <n v="4"/>
  </r>
  <r>
    <x v="583"/>
    <x v="85"/>
    <n v="34"/>
    <x v="41"/>
    <x v="4"/>
    <x v="1"/>
    <n v="1335"/>
    <d v="2023-08-23T00:00:00"/>
    <x v="3"/>
    <x v="5"/>
    <d v="1899-12-30T07:39:30"/>
    <x v="42"/>
    <s v="August"/>
    <d v="1899-12-30T16:10:28"/>
    <x v="231"/>
    <x v="4"/>
    <n v="2670"/>
    <n v="4"/>
  </r>
  <r>
    <x v="584"/>
    <x v="14"/>
    <n v="63"/>
    <x v="67"/>
    <x v="1"/>
    <x v="0"/>
    <n v="1348"/>
    <d v="2023-04-26T00:00:00"/>
    <x v="9"/>
    <x v="5"/>
    <d v="1899-12-30T18:32:41"/>
    <x v="235"/>
    <s v="May"/>
    <d v="1899-12-30T01:52:06"/>
    <x v="249"/>
    <x v="6"/>
    <n v="6740"/>
    <n v="5"/>
  </r>
  <r>
    <x v="585"/>
    <x v="81"/>
    <n v="64"/>
    <x v="61"/>
    <x v="4"/>
    <x v="0"/>
    <n v="1878"/>
    <d v="2023-08-27T00:00:00"/>
    <x v="3"/>
    <x v="4"/>
    <d v="1899-12-30T21:04:38"/>
    <x v="126"/>
    <s v="September"/>
    <d v="1899-12-30T16:30:39"/>
    <x v="2"/>
    <x v="4"/>
    <n v="9390"/>
    <n v="8"/>
  </r>
  <r>
    <x v="586"/>
    <x v="21"/>
    <n v="43"/>
    <x v="6"/>
    <x v="0"/>
    <x v="4"/>
    <n v="750"/>
    <d v="2023-11-02T00:00:00"/>
    <x v="1"/>
    <x v="6"/>
    <d v="1899-12-30T00:51:24"/>
    <x v="95"/>
    <s v="November"/>
    <d v="1899-12-30T10:41:06"/>
    <x v="211"/>
    <x v="1"/>
    <n v="750"/>
    <n v="1"/>
  </r>
  <r>
    <x v="587"/>
    <x v="15"/>
    <n v="49"/>
    <x v="32"/>
    <x v="2"/>
    <x v="0"/>
    <n v="903"/>
    <d v="2023-02-04T00:00:00"/>
    <x v="0"/>
    <x v="3"/>
    <d v="1899-12-30T06:37:00"/>
    <x v="234"/>
    <s v="February"/>
    <d v="1899-12-30T21:21:57"/>
    <x v="91"/>
    <x v="3"/>
    <n v="4515"/>
    <n v="1"/>
  </r>
  <r>
    <x v="588"/>
    <x v="83"/>
    <n v="40"/>
    <x v="46"/>
    <x v="1"/>
    <x v="3"/>
    <n v="1923"/>
    <d v="2023-12-09T00:00:00"/>
    <x v="6"/>
    <x v="3"/>
    <d v="1899-12-30T21:23:17"/>
    <x v="200"/>
    <s v="December"/>
    <d v="1899-12-30T01:21:34"/>
    <x v="130"/>
    <x v="0"/>
    <n v="5769"/>
    <n v="10"/>
  </r>
  <r>
    <x v="589"/>
    <x v="34"/>
    <n v="23"/>
    <x v="13"/>
    <x v="1"/>
    <x v="1"/>
    <n v="1098"/>
    <d v="2023-01-19T00:00:00"/>
    <x v="8"/>
    <x v="6"/>
    <d v="1899-12-30T21:36:21"/>
    <x v="103"/>
    <s v="January"/>
    <d v="1899-12-30T05:53:50"/>
    <x v="21"/>
    <x v="0"/>
    <n v="2196"/>
    <n v="4"/>
  </r>
  <r>
    <x v="590"/>
    <x v="97"/>
    <n v="31"/>
    <x v="43"/>
    <x v="2"/>
    <x v="3"/>
    <n v="1804"/>
    <d v="2023-07-06T00:00:00"/>
    <x v="2"/>
    <x v="6"/>
    <d v="1899-12-30T12:56:00"/>
    <x v="52"/>
    <s v="July"/>
    <d v="1899-12-30T00:00:51"/>
    <x v="166"/>
    <x v="6"/>
    <n v="5412"/>
    <n v="8"/>
  </r>
  <r>
    <x v="591"/>
    <x v="78"/>
    <n v="47"/>
    <x v="49"/>
    <x v="2"/>
    <x v="0"/>
    <n v="1638"/>
    <d v="2023-03-07T00:00:00"/>
    <x v="5"/>
    <x v="1"/>
    <d v="1899-12-30T03:27:03"/>
    <x v="57"/>
    <s v="March"/>
    <d v="1899-12-30T21:41:23"/>
    <x v="267"/>
    <x v="5"/>
    <n v="8190"/>
    <n v="4"/>
  </r>
  <r>
    <x v="592"/>
    <x v="82"/>
    <n v="58"/>
    <x v="3"/>
    <x v="3"/>
    <x v="3"/>
    <n v="1492"/>
    <d v="2023-02-05T00:00:00"/>
    <x v="0"/>
    <x v="4"/>
    <d v="1899-12-30T17:30:40"/>
    <x v="17"/>
    <s v="February"/>
    <d v="1899-12-30T09:34:03"/>
    <x v="137"/>
    <x v="3"/>
    <n v="4476"/>
    <n v="7"/>
  </r>
  <r>
    <x v="593"/>
    <x v="58"/>
    <n v="20"/>
    <x v="11"/>
    <x v="2"/>
    <x v="1"/>
    <n v="697"/>
    <d v="2023-05-26T00:00:00"/>
    <x v="4"/>
    <x v="0"/>
    <d v="1899-12-30T21:26:03"/>
    <x v="158"/>
    <s v="June"/>
    <d v="1899-12-30T04:59:28"/>
    <x v="68"/>
    <x v="0"/>
    <n v="1394"/>
    <n v="6"/>
  </r>
  <r>
    <x v="594"/>
    <x v="73"/>
    <n v="51"/>
    <x v="38"/>
    <x v="4"/>
    <x v="2"/>
    <n v="1084"/>
    <d v="2023-11-08T00:00:00"/>
    <x v="1"/>
    <x v="5"/>
    <d v="1899-12-30T13:49:19"/>
    <x v="12"/>
    <s v="November"/>
    <d v="1899-12-30T04:06:31"/>
    <x v="105"/>
    <x v="6"/>
    <n v="4336"/>
    <n v="7"/>
  </r>
  <r>
    <x v="595"/>
    <x v="33"/>
    <n v="50"/>
    <x v="56"/>
    <x v="5"/>
    <x v="4"/>
    <n v="422"/>
    <d v="2023-03-05T00:00:00"/>
    <x v="5"/>
    <x v="4"/>
    <d v="1899-12-30T14:57:41"/>
    <x v="27"/>
    <s v="March"/>
    <d v="1899-12-30T17:58:44"/>
    <x v="108"/>
    <x v="5"/>
    <n v="422"/>
    <n v="9"/>
  </r>
  <r>
    <x v="596"/>
    <x v="45"/>
    <n v="16"/>
    <x v="9"/>
    <x v="1"/>
    <x v="4"/>
    <n v="1721"/>
    <d v="2023-03-01T00:00:00"/>
    <x v="5"/>
    <x v="5"/>
    <d v="1899-12-30T01:05:53"/>
    <x v="44"/>
    <s v="March"/>
    <d v="1899-12-30T02:49:44"/>
    <x v="250"/>
    <x v="5"/>
    <n v="1721"/>
    <n v="5"/>
  </r>
  <r>
    <x v="597"/>
    <x v="19"/>
    <n v="37"/>
    <x v="28"/>
    <x v="2"/>
    <x v="3"/>
    <n v="1428"/>
    <d v="2023-11-11T00:00:00"/>
    <x v="1"/>
    <x v="3"/>
    <d v="1899-12-30T02:51:23"/>
    <x v="39"/>
    <s v="November"/>
    <d v="1899-12-30T21:53:27"/>
    <x v="48"/>
    <x v="1"/>
    <n v="4284"/>
    <n v="7"/>
  </r>
  <r>
    <x v="598"/>
    <x v="84"/>
    <n v="34"/>
    <x v="41"/>
    <x v="4"/>
    <x v="4"/>
    <n v="1335"/>
    <d v="2023-08-21T00:00:00"/>
    <x v="3"/>
    <x v="2"/>
    <d v="1899-12-30T19:32:24"/>
    <x v="152"/>
    <s v="August"/>
    <d v="1899-12-30T12:13:52"/>
    <x v="162"/>
    <x v="4"/>
    <n v="1335"/>
    <n v="3"/>
  </r>
  <r>
    <x v="599"/>
    <x v="42"/>
    <n v="47"/>
    <x v="49"/>
    <x v="2"/>
    <x v="2"/>
    <n v="1638"/>
    <d v="2023-03-07T00:00:00"/>
    <x v="5"/>
    <x v="1"/>
    <d v="1899-12-30T21:24:39"/>
    <x v="170"/>
    <s v="March"/>
    <d v="1899-12-30T15:17:19"/>
    <x v="268"/>
    <x v="5"/>
    <n v="6552"/>
    <n v="2"/>
  </r>
  <r>
    <x v="600"/>
    <x v="69"/>
    <n v="1"/>
    <x v="48"/>
    <x v="4"/>
    <x v="2"/>
    <n v="1935"/>
    <d v="2023-03-14T00:00:00"/>
    <x v="5"/>
    <x v="1"/>
    <d v="1899-12-30T02:37:47"/>
    <x v="99"/>
    <s v="March"/>
    <d v="1899-12-30T03:37:12"/>
    <x v="141"/>
    <x v="6"/>
    <n v="7740"/>
    <n v="4"/>
  </r>
  <r>
    <x v="601"/>
    <x v="12"/>
    <n v="43"/>
    <x v="6"/>
    <x v="0"/>
    <x v="0"/>
    <n v="750"/>
    <d v="2023-11-02T00:00:00"/>
    <x v="1"/>
    <x v="6"/>
    <d v="1899-12-30T10:17:25"/>
    <x v="108"/>
    <s v="November"/>
    <d v="1899-12-30T06:02:00"/>
    <x v="241"/>
    <x v="1"/>
    <n v="3750"/>
    <n v="9"/>
  </r>
  <r>
    <x v="602"/>
    <x v="90"/>
    <n v="8"/>
    <x v="24"/>
    <x v="1"/>
    <x v="3"/>
    <n v="252"/>
    <d v="2023-05-29T00:00:00"/>
    <x v="4"/>
    <x v="2"/>
    <d v="1899-12-30T05:23:57"/>
    <x v="236"/>
    <s v="June"/>
    <d v="1899-12-30T15:14:45"/>
    <x v="133"/>
    <x v="0"/>
    <n v="756"/>
    <n v="9"/>
  </r>
  <r>
    <x v="603"/>
    <x v="13"/>
    <n v="39"/>
    <x v="47"/>
    <x v="6"/>
    <x v="3"/>
    <n v="387"/>
    <d v="2023-01-31T00:00:00"/>
    <x v="8"/>
    <x v="1"/>
    <d v="1899-12-30T19:54:56"/>
    <x v="202"/>
    <s v="February"/>
    <d v="1899-12-30T21:24:38"/>
    <x v="269"/>
    <x v="6"/>
    <n v="1161"/>
    <n v="3"/>
  </r>
  <r>
    <x v="604"/>
    <x v="81"/>
    <n v="45"/>
    <x v="5"/>
    <x v="0"/>
    <x v="1"/>
    <n v="722"/>
    <d v="2023-12-21T00:00:00"/>
    <x v="6"/>
    <x v="6"/>
    <d v="1899-12-30T22:21:06"/>
    <x v="237"/>
    <s v="December"/>
    <d v="1899-12-30T20:49:33"/>
    <x v="270"/>
    <x v="2"/>
    <n v="1444"/>
    <n v="4"/>
  </r>
  <r>
    <x v="605"/>
    <x v="26"/>
    <n v="3"/>
    <x v="52"/>
    <x v="2"/>
    <x v="0"/>
    <n v="1534"/>
    <d v="2023-02-08T00:00:00"/>
    <x v="0"/>
    <x v="5"/>
    <d v="1899-12-30T02:13:13"/>
    <x v="197"/>
    <s v="February"/>
    <d v="1899-12-30T07:31:32"/>
    <x v="38"/>
    <x v="3"/>
    <n v="7670"/>
    <n v="9"/>
  </r>
  <r>
    <x v="606"/>
    <x v="51"/>
    <n v="50"/>
    <x v="56"/>
    <x v="5"/>
    <x v="3"/>
    <n v="422"/>
    <d v="2023-03-03T00:00:00"/>
    <x v="5"/>
    <x v="0"/>
    <d v="1899-12-30T01:50:25"/>
    <x v="0"/>
    <s v="March"/>
    <d v="1899-12-30T09:52:56"/>
    <x v="224"/>
    <x v="5"/>
    <n v="1266"/>
    <n v="2"/>
  </r>
  <r>
    <x v="607"/>
    <x v="69"/>
    <n v="55"/>
    <x v="60"/>
    <x v="4"/>
    <x v="0"/>
    <n v="1904"/>
    <d v="2023-08-28T00:00:00"/>
    <x v="3"/>
    <x v="2"/>
    <d v="1899-12-30T20:30:15"/>
    <x v="141"/>
    <s v="September"/>
    <d v="1899-12-30T07:14:20"/>
    <x v="145"/>
    <x v="4"/>
    <n v="9520"/>
    <n v="4"/>
  </r>
  <r>
    <x v="608"/>
    <x v="11"/>
    <n v="25"/>
    <x v="40"/>
    <x v="5"/>
    <x v="0"/>
    <n v="1202"/>
    <d v="2023-10-27T00:00:00"/>
    <x v="10"/>
    <x v="0"/>
    <d v="1899-12-30T11:08:56"/>
    <x v="238"/>
    <s v="October"/>
    <d v="1899-12-30T23:46:55"/>
    <x v="240"/>
    <x v="0"/>
    <n v="6010"/>
    <n v="1"/>
  </r>
  <r>
    <x v="609"/>
    <x v="81"/>
    <n v="5"/>
    <x v="36"/>
    <x v="2"/>
    <x v="3"/>
    <n v="1444"/>
    <d v="2023-01-03T00:00:00"/>
    <x v="8"/>
    <x v="1"/>
    <d v="1899-12-30T17:25:41"/>
    <x v="239"/>
    <s v="January"/>
    <d v="1899-12-30T00:11:36"/>
    <x v="5"/>
    <x v="6"/>
    <n v="4332"/>
    <n v="2"/>
  </r>
  <r>
    <x v="610"/>
    <x v="15"/>
    <n v="28"/>
    <x v="4"/>
    <x v="1"/>
    <x v="1"/>
    <n v="1778"/>
    <d v="2023-08-22T00:00:00"/>
    <x v="3"/>
    <x v="1"/>
    <d v="1899-12-30T21:17:50"/>
    <x v="56"/>
    <s v="August"/>
    <d v="1899-12-30T03:27:30"/>
    <x v="82"/>
    <x v="4"/>
    <n v="3556"/>
    <n v="6"/>
  </r>
  <r>
    <x v="611"/>
    <x v="64"/>
    <n v="26"/>
    <x v="42"/>
    <x v="2"/>
    <x v="4"/>
    <n v="289"/>
    <d v="2023-03-02T00:00:00"/>
    <x v="5"/>
    <x v="6"/>
    <d v="1899-12-30T10:22:25"/>
    <x v="8"/>
    <s v="March"/>
    <d v="1899-12-30T12:39:50"/>
    <x v="64"/>
    <x v="5"/>
    <n v="289"/>
    <n v="6"/>
  </r>
  <r>
    <x v="612"/>
    <x v="23"/>
    <n v="4"/>
    <x v="44"/>
    <x v="1"/>
    <x v="0"/>
    <n v="1199"/>
    <d v="2023-11-10T00:00:00"/>
    <x v="1"/>
    <x v="0"/>
    <d v="1899-12-30T17:54:34"/>
    <x v="6"/>
    <s v="November"/>
    <d v="1899-12-30T19:18:27"/>
    <x v="71"/>
    <x v="1"/>
    <n v="5995"/>
    <n v="4"/>
  </r>
  <r>
    <x v="613"/>
    <x v="85"/>
    <n v="26"/>
    <x v="42"/>
    <x v="2"/>
    <x v="4"/>
    <n v="289"/>
    <d v="2023-03-03T00:00:00"/>
    <x v="5"/>
    <x v="0"/>
    <d v="1899-12-30T15:36:13"/>
    <x v="32"/>
    <s v="March"/>
    <d v="1899-12-30T18:51:41"/>
    <x v="271"/>
    <x v="5"/>
    <n v="289"/>
    <n v="4"/>
  </r>
  <r>
    <x v="614"/>
    <x v="37"/>
    <n v="28"/>
    <x v="4"/>
    <x v="1"/>
    <x v="3"/>
    <n v="1778"/>
    <d v="2023-08-25T00:00:00"/>
    <x v="3"/>
    <x v="0"/>
    <d v="1899-12-30T21:11:09"/>
    <x v="141"/>
    <s v="September"/>
    <d v="1899-12-30T06:10:16"/>
    <x v="113"/>
    <x v="4"/>
    <n v="5334"/>
    <n v="7"/>
  </r>
  <r>
    <x v="615"/>
    <x v="34"/>
    <n v="44"/>
    <x v="39"/>
    <x v="5"/>
    <x v="0"/>
    <n v="794"/>
    <d v="2023-11-08T00:00:00"/>
    <x v="1"/>
    <x v="5"/>
    <d v="1899-12-30T23:57:57"/>
    <x v="60"/>
    <s v="November"/>
    <d v="1899-12-30T19:20:59"/>
    <x v="148"/>
    <x v="1"/>
    <n v="3970"/>
    <n v="4"/>
  </r>
  <r>
    <x v="616"/>
    <x v="67"/>
    <n v="22"/>
    <x v="34"/>
    <x v="4"/>
    <x v="4"/>
    <n v="1639"/>
    <d v="2023-02-19T00:00:00"/>
    <x v="0"/>
    <x v="4"/>
    <d v="1899-12-30T02:53:42"/>
    <x v="37"/>
    <s v="February"/>
    <d v="1899-12-30T17:01:34"/>
    <x v="236"/>
    <x v="6"/>
    <n v="1639"/>
    <n v="9"/>
  </r>
  <r>
    <x v="617"/>
    <x v="95"/>
    <n v="60"/>
    <x v="12"/>
    <x v="1"/>
    <x v="2"/>
    <n v="827"/>
    <d v="2023-11-05T00:00:00"/>
    <x v="1"/>
    <x v="4"/>
    <d v="1899-12-30T16:09:13"/>
    <x v="12"/>
    <s v="November"/>
    <d v="1899-12-30T17:21:36"/>
    <x v="130"/>
    <x v="1"/>
    <n v="3308"/>
    <n v="10"/>
  </r>
  <r>
    <x v="618"/>
    <x v="22"/>
    <n v="35"/>
    <x v="31"/>
    <x v="2"/>
    <x v="4"/>
    <n v="1865"/>
    <d v="2023-03-06T00:00:00"/>
    <x v="5"/>
    <x v="2"/>
    <d v="1899-12-30T07:18:46"/>
    <x v="116"/>
    <s v="March"/>
    <d v="1899-12-30T03:17:33"/>
    <x v="134"/>
    <x v="5"/>
    <n v="1865"/>
    <n v="10"/>
  </r>
  <r>
    <x v="619"/>
    <x v="45"/>
    <n v="67"/>
    <x v="0"/>
    <x v="0"/>
    <x v="3"/>
    <n v="1374"/>
    <d v="2023-07-11T00:00:00"/>
    <x v="2"/>
    <x v="1"/>
    <d v="1899-12-30T22:23:01"/>
    <x v="240"/>
    <s v="July"/>
    <d v="1899-12-30T01:24:50"/>
    <x v="227"/>
    <x v="0"/>
    <n v="4122"/>
    <n v="7"/>
  </r>
  <r>
    <x v="620"/>
    <x v="71"/>
    <n v="64"/>
    <x v="61"/>
    <x v="4"/>
    <x v="3"/>
    <n v="1878"/>
    <d v="2023-08-20T00:00:00"/>
    <x v="3"/>
    <x v="4"/>
    <d v="1899-12-30T07:17:03"/>
    <x v="56"/>
    <s v="August"/>
    <d v="1899-12-30T01:32:49"/>
    <x v="51"/>
    <x v="4"/>
    <n v="5634"/>
    <n v="8"/>
  </r>
  <r>
    <x v="621"/>
    <x v="75"/>
    <n v="4"/>
    <x v="44"/>
    <x v="1"/>
    <x v="2"/>
    <n v="1199"/>
    <d v="2023-11-08T00:00:00"/>
    <x v="1"/>
    <x v="5"/>
    <d v="1899-12-30T14:13:32"/>
    <x v="148"/>
    <s v="November"/>
    <d v="1899-12-30T15:59:02"/>
    <x v="248"/>
    <x v="1"/>
    <n v="4796"/>
    <n v="1"/>
  </r>
  <r>
    <x v="622"/>
    <x v="41"/>
    <n v="37"/>
    <x v="28"/>
    <x v="2"/>
    <x v="1"/>
    <n v="1428"/>
    <d v="2023-11-08T00:00:00"/>
    <x v="1"/>
    <x v="5"/>
    <d v="1899-12-30T13:37:50"/>
    <x v="39"/>
    <s v="November"/>
    <d v="1899-12-30T14:25:39"/>
    <x v="130"/>
    <x v="1"/>
    <n v="2856"/>
    <n v="10"/>
  </r>
  <r>
    <x v="623"/>
    <x v="11"/>
    <n v="53"/>
    <x v="65"/>
    <x v="1"/>
    <x v="0"/>
    <n v="1672"/>
    <d v="2023-08-29T00:00:00"/>
    <x v="3"/>
    <x v="1"/>
    <d v="1899-12-30T09:19:59"/>
    <x v="141"/>
    <s v="September"/>
    <d v="1899-12-30T08:29:54"/>
    <x v="8"/>
    <x v="4"/>
    <n v="8360"/>
    <n v="3"/>
  </r>
  <r>
    <x v="624"/>
    <x v="85"/>
    <n v="63"/>
    <x v="67"/>
    <x v="1"/>
    <x v="0"/>
    <n v="1348"/>
    <d v="2023-02-23T00:00:00"/>
    <x v="0"/>
    <x v="6"/>
    <d v="1899-12-30T21:15:42"/>
    <x v="11"/>
    <s v="March"/>
    <d v="1899-12-30T02:46:06"/>
    <x v="9"/>
    <x v="6"/>
    <n v="6740"/>
    <n v="9"/>
  </r>
  <r>
    <x v="625"/>
    <x v="11"/>
    <n v="40"/>
    <x v="46"/>
    <x v="1"/>
    <x v="0"/>
    <n v="1923"/>
    <d v="2023-09-23T00:00:00"/>
    <x v="7"/>
    <x v="3"/>
    <d v="1899-12-30T15:12:58"/>
    <x v="241"/>
    <s v="September"/>
    <d v="1899-12-30T08:14:22"/>
    <x v="202"/>
    <x v="0"/>
    <n v="9615"/>
    <n v="4"/>
  </r>
  <r>
    <x v="626"/>
    <x v="11"/>
    <n v="51"/>
    <x v="38"/>
    <x v="4"/>
    <x v="2"/>
    <n v="1084"/>
    <d v="2023-02-05T00:00:00"/>
    <x v="0"/>
    <x v="4"/>
    <d v="1899-12-30T04:30:25"/>
    <x v="62"/>
    <s v="February"/>
    <d v="1899-12-30T23:38:12"/>
    <x v="5"/>
    <x v="6"/>
    <n v="4336"/>
    <n v="3"/>
  </r>
  <r>
    <x v="627"/>
    <x v="59"/>
    <n v="11"/>
    <x v="45"/>
    <x v="6"/>
    <x v="0"/>
    <n v="1096"/>
    <d v="2023-02-10T00:00:00"/>
    <x v="0"/>
    <x v="0"/>
    <d v="1899-12-30T21:50:27"/>
    <x v="43"/>
    <s v="February"/>
    <d v="1899-12-30T21:07:46"/>
    <x v="216"/>
    <x v="3"/>
    <n v="5480"/>
    <n v="3"/>
  </r>
  <r>
    <x v="628"/>
    <x v="57"/>
    <n v="28"/>
    <x v="4"/>
    <x v="1"/>
    <x v="0"/>
    <n v="1778"/>
    <d v="2023-08-27T00:00:00"/>
    <x v="3"/>
    <x v="4"/>
    <d v="1899-12-30T09:09:01"/>
    <x v="126"/>
    <s v="September"/>
    <d v="1899-12-30T15:31:23"/>
    <x v="262"/>
    <x v="4"/>
    <n v="8890"/>
    <n v="8"/>
  </r>
  <r>
    <x v="629"/>
    <x v="27"/>
    <n v="67"/>
    <x v="0"/>
    <x v="0"/>
    <x v="3"/>
    <n v="1374"/>
    <d v="2023-02-21T00:00:00"/>
    <x v="0"/>
    <x v="1"/>
    <d v="1899-12-30T21:37:47"/>
    <x v="81"/>
    <s v="March"/>
    <d v="1899-12-30T18:53:08"/>
    <x v="230"/>
    <x v="0"/>
    <n v="4122"/>
    <n v="8"/>
  </r>
  <r>
    <x v="630"/>
    <x v="8"/>
    <n v="32"/>
    <x v="16"/>
    <x v="4"/>
    <x v="2"/>
    <n v="1792"/>
    <d v="2023-04-13T00:00:00"/>
    <x v="9"/>
    <x v="6"/>
    <d v="1899-12-30T21:41:50"/>
    <x v="124"/>
    <s v="April"/>
    <d v="1899-12-30T03:45:03"/>
    <x v="119"/>
    <x v="2"/>
    <n v="7168"/>
    <n v="4"/>
  </r>
  <r>
    <x v="631"/>
    <x v="64"/>
    <n v="51"/>
    <x v="38"/>
    <x v="4"/>
    <x v="4"/>
    <n v="1084"/>
    <d v="2023-07-11T00:00:00"/>
    <x v="2"/>
    <x v="1"/>
    <d v="1899-12-30T22:35:01"/>
    <x v="227"/>
    <s v="July"/>
    <d v="1899-12-30T11:32:50"/>
    <x v="272"/>
    <x v="6"/>
    <n v="1084"/>
    <n v="1"/>
  </r>
  <r>
    <x v="632"/>
    <x v="36"/>
    <n v="52"/>
    <x v="15"/>
    <x v="0"/>
    <x v="0"/>
    <n v="236"/>
    <d v="2023-02-10T00:00:00"/>
    <x v="0"/>
    <x v="0"/>
    <d v="1899-12-30T14:44:42"/>
    <x v="28"/>
    <s v="February"/>
    <d v="1899-12-30T05:12:46"/>
    <x v="166"/>
    <x v="3"/>
    <n v="1180"/>
    <n v="5"/>
  </r>
  <r>
    <x v="633"/>
    <x v="56"/>
    <n v="57"/>
    <x v="57"/>
    <x v="2"/>
    <x v="3"/>
    <n v="1582"/>
    <d v="2023-05-07T00:00:00"/>
    <x v="4"/>
    <x v="4"/>
    <d v="1899-12-30T06:36:16"/>
    <x v="118"/>
    <s v="May"/>
    <d v="1899-12-30T13:43:49"/>
    <x v="98"/>
    <x v="2"/>
    <n v="4746"/>
    <n v="4"/>
  </r>
  <r>
    <x v="634"/>
    <x v="42"/>
    <n v="67"/>
    <x v="0"/>
    <x v="0"/>
    <x v="4"/>
    <n v="1374"/>
    <d v="2023-11-12T00:00:00"/>
    <x v="1"/>
    <x v="4"/>
    <d v="1899-12-30T18:37:11"/>
    <x v="120"/>
    <s v="November"/>
    <d v="1899-12-30T07:23:32"/>
    <x v="136"/>
    <x v="0"/>
    <n v="1374"/>
    <n v="10"/>
  </r>
  <r>
    <x v="635"/>
    <x v="30"/>
    <n v="53"/>
    <x v="65"/>
    <x v="1"/>
    <x v="1"/>
    <n v="1672"/>
    <d v="2023-08-25T00:00:00"/>
    <x v="3"/>
    <x v="0"/>
    <d v="1899-12-30T07:18:26"/>
    <x v="66"/>
    <s v="September"/>
    <d v="1899-12-30T03:33:45"/>
    <x v="22"/>
    <x v="4"/>
    <n v="3344"/>
    <n v="8"/>
  </r>
  <r>
    <x v="636"/>
    <x v="15"/>
    <n v="51"/>
    <x v="38"/>
    <x v="4"/>
    <x v="3"/>
    <n v="1084"/>
    <d v="2023-03-12T00:00:00"/>
    <x v="5"/>
    <x v="4"/>
    <d v="1899-12-30T19:29:26"/>
    <x v="242"/>
    <s v="March"/>
    <d v="1899-12-30T22:34:14"/>
    <x v="54"/>
    <x v="6"/>
    <n v="3252"/>
    <n v="8"/>
  </r>
  <r>
    <x v="637"/>
    <x v="58"/>
    <n v="39"/>
    <x v="47"/>
    <x v="6"/>
    <x v="4"/>
    <n v="387"/>
    <d v="2023-04-23T00:00:00"/>
    <x v="9"/>
    <x v="4"/>
    <d v="1899-12-30T02:13:33"/>
    <x v="96"/>
    <s v="April"/>
    <d v="1899-12-30T02:51:20"/>
    <x v="235"/>
    <x v="6"/>
    <n v="387"/>
    <n v="4"/>
  </r>
  <r>
    <x v="638"/>
    <x v="88"/>
    <n v="24"/>
    <x v="54"/>
    <x v="6"/>
    <x v="4"/>
    <n v="535"/>
    <d v="2023-05-26T00:00:00"/>
    <x v="4"/>
    <x v="0"/>
    <d v="1899-12-30T02:36:31"/>
    <x v="243"/>
    <s v="May"/>
    <d v="1899-12-30T03:18:25"/>
    <x v="273"/>
    <x v="2"/>
    <n v="535"/>
    <n v="5"/>
  </r>
  <r>
    <x v="639"/>
    <x v="85"/>
    <n v="59"/>
    <x v="58"/>
    <x v="3"/>
    <x v="3"/>
    <n v="811"/>
    <d v="2023-08-23T00:00:00"/>
    <x v="3"/>
    <x v="5"/>
    <d v="1899-12-30T06:16:51"/>
    <x v="53"/>
    <s v="August"/>
    <d v="1899-12-30T19:07:21"/>
    <x v="18"/>
    <x v="4"/>
    <n v="2433"/>
    <n v="8"/>
  </r>
  <r>
    <x v="640"/>
    <x v="23"/>
    <n v="15"/>
    <x v="51"/>
    <x v="0"/>
    <x v="2"/>
    <n v="1488"/>
    <d v="2023-05-18T00:00:00"/>
    <x v="4"/>
    <x v="6"/>
    <d v="1899-12-30T23:59:56"/>
    <x v="244"/>
    <s v="May"/>
    <d v="1899-12-30T19:14:55"/>
    <x v="214"/>
    <x v="0"/>
    <n v="5952"/>
    <n v="8"/>
  </r>
  <r>
    <x v="641"/>
    <x v="99"/>
    <n v="44"/>
    <x v="39"/>
    <x v="5"/>
    <x v="0"/>
    <n v="794"/>
    <d v="2023-11-02T00:00:00"/>
    <x v="1"/>
    <x v="6"/>
    <d v="1899-12-30T05:26:04"/>
    <x v="112"/>
    <s v="November"/>
    <d v="1899-12-30T00:29:51"/>
    <x v="47"/>
    <x v="1"/>
    <n v="3970"/>
    <n v="5"/>
  </r>
  <r>
    <x v="642"/>
    <x v="23"/>
    <n v="35"/>
    <x v="31"/>
    <x v="2"/>
    <x v="1"/>
    <n v="1865"/>
    <d v="2023-02-26T00:00:00"/>
    <x v="0"/>
    <x v="4"/>
    <d v="1899-12-30T13:10:24"/>
    <x v="44"/>
    <s v="March"/>
    <d v="1899-12-30T20:24:10"/>
    <x v="73"/>
    <x v="5"/>
    <n v="3730"/>
    <n v="8"/>
  </r>
  <r>
    <x v="643"/>
    <x v="49"/>
    <n v="67"/>
    <x v="0"/>
    <x v="0"/>
    <x v="4"/>
    <n v="1374"/>
    <d v="2023-09-01T00:00:00"/>
    <x v="7"/>
    <x v="0"/>
    <d v="1899-12-30T14:54:36"/>
    <x v="50"/>
    <s v="September"/>
    <d v="1899-12-30T11:21:18"/>
    <x v="217"/>
    <x v="0"/>
    <n v="1374"/>
    <n v="10"/>
  </r>
  <r>
    <x v="644"/>
    <x v="47"/>
    <n v="50"/>
    <x v="56"/>
    <x v="5"/>
    <x v="3"/>
    <n v="422"/>
    <d v="2023-02-27T00:00:00"/>
    <x v="0"/>
    <x v="2"/>
    <d v="1899-12-30T01:46:39"/>
    <x v="37"/>
    <s v="February"/>
    <d v="1899-12-30T02:07:11"/>
    <x v="50"/>
    <x v="5"/>
    <n v="1266"/>
    <n v="1"/>
  </r>
  <r>
    <x v="645"/>
    <x v="46"/>
    <n v="38"/>
    <x v="10"/>
    <x v="3"/>
    <x v="0"/>
    <n v="562"/>
    <d v="2023-05-13T00:00:00"/>
    <x v="4"/>
    <x v="3"/>
    <d v="1899-12-30T16:30:10"/>
    <x v="245"/>
    <s v="May"/>
    <d v="1899-12-30T09:16:58"/>
    <x v="259"/>
    <x v="2"/>
    <n v="2810"/>
    <n v="10"/>
  </r>
  <r>
    <x v="646"/>
    <x v="13"/>
    <n v="21"/>
    <x v="8"/>
    <x v="2"/>
    <x v="0"/>
    <n v="1561"/>
    <d v="2023-08-25T00:00:00"/>
    <x v="3"/>
    <x v="0"/>
    <d v="1899-12-30T17:00:25"/>
    <x v="4"/>
    <s v="August"/>
    <d v="1899-12-30T01:29:04"/>
    <x v="274"/>
    <x v="4"/>
    <n v="7805"/>
    <n v="1"/>
  </r>
  <r>
    <x v="647"/>
    <x v="5"/>
    <n v="41"/>
    <x v="1"/>
    <x v="1"/>
    <x v="3"/>
    <n v="1977"/>
    <d v="2023-11-05T00:00:00"/>
    <x v="1"/>
    <x v="4"/>
    <d v="1899-12-30T19:06:16"/>
    <x v="148"/>
    <s v="November"/>
    <d v="1899-12-30T08:25:00"/>
    <x v="58"/>
    <x v="1"/>
    <n v="5931"/>
    <n v="4"/>
  </r>
  <r>
    <x v="648"/>
    <x v="55"/>
    <n v="43"/>
    <x v="6"/>
    <x v="0"/>
    <x v="3"/>
    <n v="750"/>
    <d v="2023-11-02T00:00:00"/>
    <x v="1"/>
    <x v="6"/>
    <d v="1899-12-30T03:05:41"/>
    <x v="108"/>
    <s v="November"/>
    <d v="1899-12-30T08:55:15"/>
    <x v="162"/>
    <x v="1"/>
    <n v="2250"/>
    <n v="9"/>
  </r>
  <r>
    <x v="649"/>
    <x v="43"/>
    <n v="32"/>
    <x v="16"/>
    <x v="4"/>
    <x v="3"/>
    <n v="1792"/>
    <d v="2023-02-23T00:00:00"/>
    <x v="0"/>
    <x v="6"/>
    <d v="1899-12-30T01:54:43"/>
    <x v="149"/>
    <s v="March"/>
    <d v="1899-12-30T03:09:36"/>
    <x v="3"/>
    <x v="2"/>
    <n v="5376"/>
    <n v="7"/>
  </r>
  <r>
    <x v="650"/>
    <x v="48"/>
    <n v="11"/>
    <x v="45"/>
    <x v="6"/>
    <x v="2"/>
    <n v="1096"/>
    <d v="2023-02-13T00:00:00"/>
    <x v="0"/>
    <x v="2"/>
    <d v="1899-12-30T02:16:28"/>
    <x v="223"/>
    <s v="February"/>
    <d v="1899-12-30T11:55:54"/>
    <x v="55"/>
    <x v="3"/>
    <n v="4384"/>
    <n v="6"/>
  </r>
  <r>
    <x v="651"/>
    <x v="57"/>
    <n v="21"/>
    <x v="8"/>
    <x v="2"/>
    <x v="1"/>
    <n v="1561"/>
    <d v="2023-08-28T00:00:00"/>
    <x v="3"/>
    <x v="2"/>
    <d v="1899-12-30T19:41:09"/>
    <x v="104"/>
    <s v="September"/>
    <d v="1899-12-30T00:01:31"/>
    <x v="148"/>
    <x v="4"/>
    <n v="3122"/>
    <n v="6"/>
  </r>
  <r>
    <x v="652"/>
    <x v="89"/>
    <n v="17"/>
    <x v="25"/>
    <x v="4"/>
    <x v="2"/>
    <n v="1899"/>
    <d v="2023-11-29T00:00:00"/>
    <x v="1"/>
    <x v="5"/>
    <d v="1899-12-30T13:38:07"/>
    <x v="246"/>
    <s v="December"/>
    <d v="1899-12-30T05:52:11"/>
    <x v="102"/>
    <x v="0"/>
    <n v="7596"/>
    <n v="2"/>
  </r>
  <r>
    <x v="653"/>
    <x v="1"/>
    <n v="64"/>
    <x v="61"/>
    <x v="4"/>
    <x v="1"/>
    <n v="1878"/>
    <d v="2023-08-29T00:00:00"/>
    <x v="3"/>
    <x v="1"/>
    <d v="1899-12-30T04:53:15"/>
    <x v="66"/>
    <s v="September"/>
    <d v="1899-12-30T00:41:13"/>
    <x v="95"/>
    <x v="4"/>
    <n v="3756"/>
    <n v="4"/>
  </r>
  <r>
    <x v="654"/>
    <x v="46"/>
    <n v="17"/>
    <x v="25"/>
    <x v="4"/>
    <x v="4"/>
    <n v="1899"/>
    <d v="2023-11-08T00:00:00"/>
    <x v="1"/>
    <x v="5"/>
    <d v="1899-12-30T21:19:04"/>
    <x v="166"/>
    <s v="November"/>
    <d v="1899-12-30T18:57:37"/>
    <x v="122"/>
    <x v="0"/>
    <n v="1899"/>
    <n v="9"/>
  </r>
  <r>
    <x v="655"/>
    <x v="57"/>
    <n v="68"/>
    <x v="63"/>
    <x v="4"/>
    <x v="1"/>
    <n v="597"/>
    <d v="2023-02-05T00:00:00"/>
    <x v="0"/>
    <x v="4"/>
    <d v="1899-12-30T18:34:41"/>
    <x v="138"/>
    <s v="February"/>
    <d v="1899-12-30T04:46:00"/>
    <x v="253"/>
    <x v="3"/>
    <n v="1194"/>
    <n v="1"/>
  </r>
  <r>
    <x v="656"/>
    <x v="28"/>
    <n v="13"/>
    <x v="64"/>
    <x v="6"/>
    <x v="3"/>
    <n v="1141"/>
    <d v="2023-03-03T00:00:00"/>
    <x v="5"/>
    <x v="0"/>
    <d v="1899-12-30T09:37:53"/>
    <x v="8"/>
    <s v="March"/>
    <d v="1899-12-30T14:48:35"/>
    <x v="93"/>
    <x v="5"/>
    <n v="3423"/>
    <n v="5"/>
  </r>
  <r>
    <x v="657"/>
    <x v="59"/>
    <n v="21"/>
    <x v="8"/>
    <x v="2"/>
    <x v="3"/>
    <n v="1561"/>
    <d v="2023-08-22T00:00:00"/>
    <x v="3"/>
    <x v="1"/>
    <d v="1899-12-30T20:54:56"/>
    <x v="53"/>
    <s v="August"/>
    <d v="1899-12-30T08:54:06"/>
    <x v="144"/>
    <x v="4"/>
    <n v="4683"/>
    <n v="9"/>
  </r>
  <r>
    <x v="658"/>
    <x v="66"/>
    <n v="19"/>
    <x v="27"/>
    <x v="6"/>
    <x v="0"/>
    <n v="1234"/>
    <d v="2023-02-05T00:00:00"/>
    <x v="0"/>
    <x v="4"/>
    <d v="1899-12-30T17:44:56"/>
    <x v="17"/>
    <s v="February"/>
    <d v="1899-12-30T22:37:43"/>
    <x v="275"/>
    <x v="3"/>
    <n v="6170"/>
    <n v="7"/>
  </r>
  <r>
    <x v="659"/>
    <x v="55"/>
    <n v="58"/>
    <x v="3"/>
    <x v="3"/>
    <x v="3"/>
    <n v="1492"/>
    <d v="2023-02-11T00:00:00"/>
    <x v="0"/>
    <x v="3"/>
    <d v="1899-12-30T06:08:46"/>
    <x v="80"/>
    <s v="February"/>
    <d v="1899-12-30T20:48:35"/>
    <x v="52"/>
    <x v="3"/>
    <n v="4476"/>
    <n v="10"/>
  </r>
  <r>
    <x v="660"/>
    <x v="21"/>
    <n v="22"/>
    <x v="34"/>
    <x v="4"/>
    <x v="1"/>
    <n v="1639"/>
    <d v="2023-01-14T00:00:00"/>
    <x v="8"/>
    <x v="3"/>
    <d v="1899-12-30T23:51:27"/>
    <x v="228"/>
    <s v="January"/>
    <d v="1899-12-30T09:50:46"/>
    <x v="3"/>
    <x v="6"/>
    <n v="3278"/>
    <n v="5"/>
  </r>
  <r>
    <x v="661"/>
    <x v="81"/>
    <n v="20"/>
    <x v="11"/>
    <x v="2"/>
    <x v="3"/>
    <n v="697"/>
    <d v="2023-02-09T00:00:00"/>
    <x v="0"/>
    <x v="6"/>
    <d v="1899-12-30T18:29:52"/>
    <x v="3"/>
    <s v="February"/>
    <d v="1899-12-30T08:27:53"/>
    <x v="240"/>
    <x v="0"/>
    <n v="2091"/>
    <n v="9"/>
  </r>
  <r>
    <x v="662"/>
    <x v="76"/>
    <n v="15"/>
    <x v="51"/>
    <x v="0"/>
    <x v="1"/>
    <n v="1488"/>
    <d v="2023-10-11T00:00:00"/>
    <x v="10"/>
    <x v="5"/>
    <d v="1899-12-30T14:47:08"/>
    <x v="247"/>
    <s v="October"/>
    <d v="1899-12-30T22:32:05"/>
    <x v="206"/>
    <x v="0"/>
    <n v="2976"/>
    <n v="1"/>
  </r>
  <r>
    <x v="663"/>
    <x v="40"/>
    <n v="24"/>
    <x v="54"/>
    <x v="6"/>
    <x v="1"/>
    <n v="535"/>
    <d v="2023-01-18T00:00:00"/>
    <x v="8"/>
    <x v="5"/>
    <d v="1899-12-30T11:54:34"/>
    <x v="187"/>
    <s v="January"/>
    <d v="1899-12-30T20:22:08"/>
    <x v="154"/>
    <x v="2"/>
    <n v="1070"/>
    <n v="10"/>
  </r>
  <r>
    <x v="664"/>
    <x v="58"/>
    <n v="62"/>
    <x v="14"/>
    <x v="2"/>
    <x v="0"/>
    <n v="1356"/>
    <d v="2023-03-05T00:00:00"/>
    <x v="5"/>
    <x v="4"/>
    <d v="1899-12-30T14:23:22"/>
    <x v="137"/>
    <s v="March"/>
    <d v="1899-12-30T15:54:03"/>
    <x v="203"/>
    <x v="5"/>
    <n v="6780"/>
    <n v="10"/>
  </r>
  <r>
    <x v="665"/>
    <x v="57"/>
    <n v="26"/>
    <x v="42"/>
    <x v="2"/>
    <x v="0"/>
    <n v="289"/>
    <d v="2023-03-02T00:00:00"/>
    <x v="5"/>
    <x v="6"/>
    <d v="1899-12-30T09:41:06"/>
    <x v="8"/>
    <s v="March"/>
    <d v="1899-12-30T19:28:15"/>
    <x v="176"/>
    <x v="5"/>
    <n v="1445"/>
    <n v="6"/>
  </r>
  <r>
    <x v="666"/>
    <x v="91"/>
    <n v="44"/>
    <x v="39"/>
    <x v="5"/>
    <x v="3"/>
    <n v="794"/>
    <d v="2023-11-04T00:00:00"/>
    <x v="1"/>
    <x v="3"/>
    <d v="1899-12-30T08:26:58"/>
    <x v="112"/>
    <s v="November"/>
    <d v="1899-12-30T10:30:59"/>
    <x v="181"/>
    <x v="1"/>
    <n v="2382"/>
    <n v="3"/>
  </r>
  <r>
    <x v="667"/>
    <x v="6"/>
    <n v="55"/>
    <x v="60"/>
    <x v="4"/>
    <x v="1"/>
    <n v="1904"/>
    <d v="2023-08-21T00:00:00"/>
    <x v="3"/>
    <x v="2"/>
    <d v="1899-12-30T10:09:53"/>
    <x v="13"/>
    <s v="August"/>
    <d v="1899-12-30T16:32:49"/>
    <x v="276"/>
    <x v="4"/>
    <n v="3808"/>
    <n v="9"/>
  </r>
  <r>
    <x v="668"/>
    <x v="65"/>
    <n v="68"/>
    <x v="63"/>
    <x v="4"/>
    <x v="0"/>
    <n v="597"/>
    <d v="2023-02-10T00:00:00"/>
    <x v="0"/>
    <x v="0"/>
    <d v="1899-12-30T07:11:50"/>
    <x v="197"/>
    <s v="February"/>
    <d v="1899-12-30T09:56:42"/>
    <x v="20"/>
    <x v="3"/>
    <n v="2985"/>
    <n v="7"/>
  </r>
  <r>
    <x v="669"/>
    <x v="50"/>
    <n v="23"/>
    <x v="13"/>
    <x v="1"/>
    <x v="0"/>
    <n v="1098"/>
    <d v="2023-06-01T00:00:00"/>
    <x v="11"/>
    <x v="6"/>
    <d v="1899-12-30T05:47:59"/>
    <x v="31"/>
    <s v="June"/>
    <d v="1899-12-30T05:09:00"/>
    <x v="277"/>
    <x v="0"/>
    <n v="5490"/>
    <n v="9"/>
  </r>
  <r>
    <x v="670"/>
    <x v="35"/>
    <n v="31"/>
    <x v="43"/>
    <x v="2"/>
    <x v="2"/>
    <n v="1804"/>
    <d v="2023-12-03T00:00:00"/>
    <x v="6"/>
    <x v="4"/>
    <d v="1899-12-30T06:54:18"/>
    <x v="105"/>
    <s v="December"/>
    <d v="1899-12-30T23:16:19"/>
    <x v="10"/>
    <x v="6"/>
    <n v="7216"/>
    <n v="4"/>
  </r>
  <r>
    <x v="671"/>
    <x v="77"/>
    <n v="44"/>
    <x v="39"/>
    <x v="5"/>
    <x v="0"/>
    <n v="794"/>
    <d v="2023-11-07T00:00:00"/>
    <x v="1"/>
    <x v="1"/>
    <d v="1899-12-30T14:06:15"/>
    <x v="148"/>
    <s v="November"/>
    <d v="1899-12-30T06:46:37"/>
    <x v="229"/>
    <x v="1"/>
    <n v="3970"/>
    <n v="2"/>
  </r>
  <r>
    <x v="672"/>
    <x v="54"/>
    <n v="33"/>
    <x v="59"/>
    <x v="2"/>
    <x v="3"/>
    <n v="314"/>
    <d v="2023-02-04T00:00:00"/>
    <x v="0"/>
    <x v="3"/>
    <d v="1899-12-30T05:54:49"/>
    <x v="85"/>
    <s v="February"/>
    <d v="1899-12-30T04:25:38"/>
    <x v="256"/>
    <x v="3"/>
    <n v="942"/>
    <n v="3"/>
  </r>
  <r>
    <x v="673"/>
    <x v="10"/>
    <n v="68"/>
    <x v="63"/>
    <x v="4"/>
    <x v="1"/>
    <n v="597"/>
    <d v="2023-02-07T00:00:00"/>
    <x v="0"/>
    <x v="1"/>
    <d v="1899-12-30T09:41:25"/>
    <x v="33"/>
    <s v="February"/>
    <d v="1899-12-30T23:40:25"/>
    <x v="139"/>
    <x v="3"/>
    <n v="1194"/>
    <n v="9"/>
  </r>
  <r>
    <x v="674"/>
    <x v="91"/>
    <n v="13"/>
    <x v="64"/>
    <x v="6"/>
    <x v="2"/>
    <n v="1141"/>
    <d v="2023-02-28T00:00:00"/>
    <x v="0"/>
    <x v="1"/>
    <d v="1899-12-30T08:04:46"/>
    <x v="170"/>
    <s v="March"/>
    <d v="1899-12-30T23:52:12"/>
    <x v="278"/>
    <x v="5"/>
    <n v="4564"/>
    <n v="9"/>
  </r>
  <r>
    <x v="675"/>
    <x v="56"/>
    <n v="46"/>
    <x v="62"/>
    <x v="3"/>
    <x v="2"/>
    <n v="758"/>
    <d v="2023-02-18T00:00:00"/>
    <x v="0"/>
    <x v="3"/>
    <d v="1899-12-30T12:42:24"/>
    <x v="14"/>
    <s v="February"/>
    <d v="1899-12-30T20:52:32"/>
    <x v="66"/>
    <x v="0"/>
    <n v="3032"/>
    <n v="2"/>
  </r>
  <r>
    <x v="676"/>
    <x v="41"/>
    <n v="37"/>
    <x v="28"/>
    <x v="2"/>
    <x v="0"/>
    <n v="1428"/>
    <d v="2023-11-04T00:00:00"/>
    <x v="1"/>
    <x v="3"/>
    <d v="1899-12-30T07:54:01"/>
    <x v="6"/>
    <s v="November"/>
    <d v="1899-12-30T05:32:35"/>
    <x v="55"/>
    <x v="1"/>
    <n v="7140"/>
    <n v="10"/>
  </r>
  <r>
    <x v="677"/>
    <x v="37"/>
    <n v="31"/>
    <x v="43"/>
    <x v="2"/>
    <x v="0"/>
    <n v="1804"/>
    <d v="2023-09-10T00:00:00"/>
    <x v="7"/>
    <x v="4"/>
    <d v="1899-12-30T14:23:59"/>
    <x v="213"/>
    <s v="September"/>
    <d v="1899-12-30T10:13:07"/>
    <x v="122"/>
    <x v="6"/>
    <n v="9020"/>
    <n v="10"/>
  </r>
  <r>
    <x v="678"/>
    <x v="1"/>
    <n v="56"/>
    <x v="8"/>
    <x v="0"/>
    <x v="1"/>
    <n v="1272"/>
    <d v="2023-10-05T00:00:00"/>
    <x v="10"/>
    <x v="6"/>
    <d v="1899-12-30T17:29:19"/>
    <x v="248"/>
    <s v="October"/>
    <d v="1899-12-30T12:58:06"/>
    <x v="21"/>
    <x v="0"/>
    <n v="2544"/>
    <n v="9"/>
  </r>
  <r>
    <x v="679"/>
    <x v="21"/>
    <n v="56"/>
    <x v="8"/>
    <x v="0"/>
    <x v="4"/>
    <n v="1272"/>
    <d v="2023-12-02T00:00:00"/>
    <x v="6"/>
    <x v="3"/>
    <d v="1899-12-30T22:20:31"/>
    <x v="212"/>
    <s v="December"/>
    <d v="1899-12-30T02:33:10"/>
    <x v="74"/>
    <x v="0"/>
    <n v="1272"/>
    <n v="6"/>
  </r>
  <r>
    <x v="680"/>
    <x v="88"/>
    <n v="23"/>
    <x v="13"/>
    <x v="1"/>
    <x v="0"/>
    <n v="1098"/>
    <d v="2023-01-29T00:00:00"/>
    <x v="8"/>
    <x v="4"/>
    <d v="1899-12-30T10:08:06"/>
    <x v="234"/>
    <s v="February"/>
    <d v="1899-12-30T12:01:28"/>
    <x v="213"/>
    <x v="0"/>
    <n v="5490"/>
    <n v="7"/>
  </r>
  <r>
    <x v="681"/>
    <x v="19"/>
    <n v="50"/>
    <x v="56"/>
    <x v="5"/>
    <x v="0"/>
    <n v="422"/>
    <d v="2023-02-26T00:00:00"/>
    <x v="0"/>
    <x v="4"/>
    <d v="1899-12-30T07:31:16"/>
    <x v="0"/>
    <s v="March"/>
    <d v="1899-12-30T11:32:33"/>
    <x v="61"/>
    <x v="5"/>
    <n v="2110"/>
    <n v="7"/>
  </r>
  <r>
    <x v="682"/>
    <x v="11"/>
    <n v="27"/>
    <x v="7"/>
    <x v="3"/>
    <x v="3"/>
    <n v="548"/>
    <d v="2023-08-23T00:00:00"/>
    <x v="3"/>
    <x v="5"/>
    <d v="1899-12-30T21:26:58"/>
    <x v="13"/>
    <s v="August"/>
    <d v="1899-12-30T19:25:08"/>
    <x v="228"/>
    <x v="4"/>
    <n v="1644"/>
    <n v="7"/>
  </r>
  <r>
    <x v="683"/>
    <x v="2"/>
    <n v="70"/>
    <x v="35"/>
    <x v="1"/>
    <x v="3"/>
    <n v="866"/>
    <d v="2023-09-17T00:00:00"/>
    <x v="7"/>
    <x v="4"/>
    <d v="1899-12-30T01:33:50"/>
    <x v="119"/>
    <s v="September"/>
    <d v="1899-12-30T02:44:39"/>
    <x v="279"/>
    <x v="2"/>
    <n v="2598"/>
    <n v="8"/>
  </r>
  <r>
    <x v="684"/>
    <x v="19"/>
    <n v="22"/>
    <x v="34"/>
    <x v="4"/>
    <x v="4"/>
    <n v="1639"/>
    <d v="2023-09-01T00:00:00"/>
    <x v="7"/>
    <x v="0"/>
    <d v="1899-12-30T21:04:40"/>
    <x v="50"/>
    <s v="September"/>
    <d v="1899-12-30T08:30:45"/>
    <x v="280"/>
    <x v="6"/>
    <n v="1639"/>
    <n v="10"/>
  </r>
  <r>
    <x v="685"/>
    <x v="68"/>
    <n v="50"/>
    <x v="56"/>
    <x v="5"/>
    <x v="4"/>
    <n v="422"/>
    <d v="2023-03-01T00:00:00"/>
    <x v="5"/>
    <x v="5"/>
    <d v="1899-12-30T16:29:38"/>
    <x v="57"/>
    <s v="March"/>
    <d v="1899-12-30T21:37:59"/>
    <x v="0"/>
    <x v="5"/>
    <n v="422"/>
    <n v="10"/>
  </r>
  <r>
    <x v="686"/>
    <x v="88"/>
    <n v="8"/>
    <x v="24"/>
    <x v="1"/>
    <x v="0"/>
    <n v="252"/>
    <d v="2023-03-15T00:00:00"/>
    <x v="5"/>
    <x v="5"/>
    <d v="1899-12-30T17:57:15"/>
    <x v="40"/>
    <s v="March"/>
    <d v="1899-12-30T04:50:54"/>
    <x v="281"/>
    <x v="0"/>
    <n v="1260"/>
    <n v="4"/>
  </r>
  <r>
    <x v="687"/>
    <x v="46"/>
    <n v="54"/>
    <x v="30"/>
    <x v="3"/>
    <x v="1"/>
    <n v="1236"/>
    <d v="2023-01-28T00:00:00"/>
    <x v="8"/>
    <x v="3"/>
    <d v="1899-12-30T19:02:07"/>
    <x v="249"/>
    <s v="January"/>
    <d v="1899-12-30T13:51:22"/>
    <x v="130"/>
    <x v="0"/>
    <n v="2472"/>
    <n v="2"/>
  </r>
  <r>
    <x v="688"/>
    <x v="33"/>
    <n v="66"/>
    <x v="26"/>
    <x v="2"/>
    <x v="2"/>
    <n v="610"/>
    <d v="2023-03-02T00:00:00"/>
    <x v="5"/>
    <x v="6"/>
    <d v="1899-12-30T05:52:42"/>
    <x v="32"/>
    <s v="March"/>
    <d v="1899-12-30T11:00:27"/>
    <x v="275"/>
    <x v="5"/>
    <n v="2440"/>
    <n v="5"/>
  </r>
  <r>
    <x v="689"/>
    <x v="67"/>
    <n v="48"/>
    <x v="29"/>
    <x v="2"/>
    <x v="1"/>
    <n v="433"/>
    <d v="2023-11-02T00:00:00"/>
    <x v="1"/>
    <x v="6"/>
    <d v="1899-12-30T21:13:25"/>
    <x v="30"/>
    <s v="November"/>
    <d v="1899-12-30T21:32:48"/>
    <x v="282"/>
    <x v="1"/>
    <n v="866"/>
    <n v="3"/>
  </r>
  <r>
    <x v="690"/>
    <x v="97"/>
    <n v="48"/>
    <x v="29"/>
    <x v="2"/>
    <x v="0"/>
    <n v="433"/>
    <d v="2023-11-06T00:00:00"/>
    <x v="1"/>
    <x v="2"/>
    <d v="1899-12-30T05:22:43"/>
    <x v="47"/>
    <s v="November"/>
    <d v="1899-12-30T11:08:26"/>
    <x v="162"/>
    <x v="1"/>
    <n v="2165"/>
    <n v="4"/>
  </r>
  <r>
    <x v="691"/>
    <x v="65"/>
    <n v="15"/>
    <x v="51"/>
    <x v="0"/>
    <x v="1"/>
    <n v="1488"/>
    <d v="2023-08-11T00:00:00"/>
    <x v="3"/>
    <x v="0"/>
    <d v="1899-12-30T07:04:55"/>
    <x v="250"/>
    <s v="August"/>
    <d v="1899-12-30T06:44:37"/>
    <x v="108"/>
    <x v="0"/>
    <n v="2976"/>
    <n v="7"/>
  </r>
  <r>
    <x v="692"/>
    <x v="20"/>
    <n v="4"/>
    <x v="44"/>
    <x v="1"/>
    <x v="0"/>
    <n v="1199"/>
    <d v="2023-11-04T00:00:00"/>
    <x v="1"/>
    <x v="3"/>
    <d v="1899-12-30T23:48:55"/>
    <x v="112"/>
    <s v="November"/>
    <d v="1899-12-30T05:31:27"/>
    <x v="222"/>
    <x v="1"/>
    <n v="5995"/>
    <n v="3"/>
  </r>
  <r>
    <x v="693"/>
    <x v="21"/>
    <n v="23"/>
    <x v="13"/>
    <x v="1"/>
    <x v="1"/>
    <n v="1098"/>
    <d v="2023-04-15T00:00:00"/>
    <x v="9"/>
    <x v="3"/>
    <d v="1899-12-30T19:26:27"/>
    <x v="251"/>
    <s v="April"/>
    <d v="1899-12-30T16:58:51"/>
    <x v="47"/>
    <x v="0"/>
    <n v="2196"/>
    <n v="6"/>
  </r>
  <r>
    <x v="694"/>
    <x v="33"/>
    <n v="23"/>
    <x v="13"/>
    <x v="1"/>
    <x v="2"/>
    <n v="1098"/>
    <d v="2023-03-05T00:00:00"/>
    <x v="5"/>
    <x v="4"/>
    <d v="1899-12-30T16:36:52"/>
    <x v="27"/>
    <s v="March"/>
    <d v="1899-12-30T17:01:44"/>
    <x v="196"/>
    <x v="0"/>
    <n v="4392"/>
    <n v="9"/>
  </r>
  <r>
    <x v="695"/>
    <x v="33"/>
    <n v="13"/>
    <x v="64"/>
    <x v="6"/>
    <x v="3"/>
    <n v="1141"/>
    <d v="2023-03-07T00:00:00"/>
    <x v="5"/>
    <x v="1"/>
    <d v="1899-12-30T02:42:21"/>
    <x v="27"/>
    <s v="March"/>
    <d v="1899-12-30T15:08:45"/>
    <x v="283"/>
    <x v="5"/>
    <n v="3423"/>
    <n v="7"/>
  </r>
  <r>
    <x v="696"/>
    <x v="68"/>
    <n v="66"/>
    <x v="26"/>
    <x v="2"/>
    <x v="4"/>
    <n v="610"/>
    <d v="2023-03-03T00:00:00"/>
    <x v="5"/>
    <x v="0"/>
    <d v="1899-12-30T14:20:25"/>
    <x v="32"/>
    <s v="March"/>
    <d v="1899-12-30T15:14:20"/>
    <x v="86"/>
    <x v="5"/>
    <n v="610"/>
    <n v="4"/>
  </r>
  <r>
    <x v="697"/>
    <x v="58"/>
    <n v="64"/>
    <x v="61"/>
    <x v="4"/>
    <x v="3"/>
    <n v="1878"/>
    <d v="2023-08-29T00:00:00"/>
    <x v="3"/>
    <x v="1"/>
    <d v="1899-12-30T20:44:11"/>
    <x v="117"/>
    <s v="September"/>
    <d v="1899-12-30T15:00:13"/>
    <x v="85"/>
    <x v="4"/>
    <n v="5634"/>
    <n v="8"/>
  </r>
  <r>
    <x v="698"/>
    <x v="17"/>
    <n v="1"/>
    <x v="48"/>
    <x v="4"/>
    <x v="2"/>
    <n v="1935"/>
    <d v="2023-06-02T00:00:00"/>
    <x v="11"/>
    <x v="0"/>
    <d v="1899-12-30T12:14:44"/>
    <x v="252"/>
    <s v="June"/>
    <d v="1899-12-30T23:09:03"/>
    <x v="58"/>
    <x v="6"/>
    <n v="7740"/>
    <n v="7"/>
  </r>
  <r>
    <x v="699"/>
    <x v="34"/>
    <n v="6"/>
    <x v="20"/>
    <x v="3"/>
    <x v="4"/>
    <n v="1112"/>
    <d v="2023-03-04T00:00:00"/>
    <x v="5"/>
    <x v="3"/>
    <d v="1899-12-30T18:17:57"/>
    <x v="170"/>
    <s v="March"/>
    <d v="1899-12-30T13:43:07"/>
    <x v="71"/>
    <x v="5"/>
    <n v="1112"/>
    <n v="5"/>
  </r>
  <r>
    <x v="700"/>
    <x v="32"/>
    <n v="41"/>
    <x v="1"/>
    <x v="1"/>
    <x v="0"/>
    <n v="1977"/>
    <d v="2023-11-07T00:00:00"/>
    <x v="1"/>
    <x v="1"/>
    <d v="1899-12-30T10:57:34"/>
    <x v="108"/>
    <s v="November"/>
    <d v="1899-12-30T04:56:26"/>
    <x v="197"/>
    <x v="1"/>
    <n v="9885"/>
    <n v="4"/>
  </r>
  <r>
    <x v="701"/>
    <x v="30"/>
    <n v="60"/>
    <x v="12"/>
    <x v="1"/>
    <x v="4"/>
    <n v="827"/>
    <d v="2023-11-10T00:00:00"/>
    <x v="1"/>
    <x v="0"/>
    <d v="1899-12-30T08:44:24"/>
    <x v="39"/>
    <s v="November"/>
    <d v="1899-12-30T06:26:10"/>
    <x v="243"/>
    <x v="1"/>
    <n v="827"/>
    <n v="8"/>
  </r>
  <r>
    <x v="702"/>
    <x v="71"/>
    <n v="53"/>
    <x v="65"/>
    <x v="1"/>
    <x v="2"/>
    <n v="1672"/>
    <d v="2023-08-23T00:00:00"/>
    <x v="3"/>
    <x v="5"/>
    <d v="1899-12-30T16:19:39"/>
    <x v="141"/>
    <s v="September"/>
    <d v="1899-12-30T06:12:05"/>
    <x v="13"/>
    <x v="4"/>
    <n v="6688"/>
    <n v="9"/>
  </r>
  <r>
    <x v="703"/>
    <x v="59"/>
    <n v="55"/>
    <x v="60"/>
    <x v="4"/>
    <x v="2"/>
    <n v="1904"/>
    <d v="2023-08-29T00:00:00"/>
    <x v="3"/>
    <x v="1"/>
    <d v="1899-12-30T02:27:10"/>
    <x v="13"/>
    <s v="August"/>
    <d v="1899-12-30T13:36:34"/>
    <x v="245"/>
    <x v="4"/>
    <n v="7616"/>
    <n v="1"/>
  </r>
  <r>
    <x v="704"/>
    <x v="84"/>
    <n v="7"/>
    <x v="23"/>
    <x v="4"/>
    <x v="4"/>
    <n v="409"/>
    <d v="2023-03-05T00:00:00"/>
    <x v="5"/>
    <x v="4"/>
    <d v="1899-12-30T18:18:01"/>
    <x v="27"/>
    <s v="March"/>
    <d v="1899-12-30T17:57:09"/>
    <x v="250"/>
    <x v="5"/>
    <n v="409"/>
    <n v="9"/>
  </r>
  <r>
    <x v="705"/>
    <x v="22"/>
    <n v="67"/>
    <x v="0"/>
    <x v="0"/>
    <x v="1"/>
    <n v="1374"/>
    <d v="2023-04-26T00:00:00"/>
    <x v="9"/>
    <x v="5"/>
    <d v="1899-12-30T05:35:11"/>
    <x v="253"/>
    <s v="May"/>
    <d v="1899-12-30T13:13:10"/>
    <x v="17"/>
    <x v="0"/>
    <n v="2748"/>
    <n v="8"/>
  </r>
  <r>
    <x v="706"/>
    <x v="39"/>
    <n v="70"/>
    <x v="35"/>
    <x v="1"/>
    <x v="2"/>
    <n v="866"/>
    <d v="2023-02-03T00:00:00"/>
    <x v="0"/>
    <x v="0"/>
    <d v="1899-12-30T06:17:26"/>
    <x v="17"/>
    <s v="February"/>
    <d v="1899-12-30T01:04:19"/>
    <x v="185"/>
    <x v="2"/>
    <n v="3464"/>
    <n v="9"/>
  </r>
  <r>
    <x v="707"/>
    <x v="97"/>
    <n v="62"/>
    <x v="14"/>
    <x v="2"/>
    <x v="3"/>
    <n v="1356"/>
    <d v="2023-03-03T00:00:00"/>
    <x v="5"/>
    <x v="0"/>
    <d v="1899-12-30T10:59:15"/>
    <x v="21"/>
    <s v="March"/>
    <d v="1899-12-30T05:05:35"/>
    <x v="85"/>
    <x v="5"/>
    <n v="4068"/>
    <n v="9"/>
  </r>
  <r>
    <x v="708"/>
    <x v="82"/>
    <n v="53"/>
    <x v="65"/>
    <x v="1"/>
    <x v="0"/>
    <n v="1672"/>
    <d v="2023-08-29T00:00:00"/>
    <x v="3"/>
    <x v="1"/>
    <d v="1899-12-30T04:38:05"/>
    <x v="41"/>
    <s v="September"/>
    <d v="1899-12-30T17:29:15"/>
    <x v="103"/>
    <x v="4"/>
    <n v="8360"/>
    <n v="9"/>
  </r>
  <r>
    <x v="709"/>
    <x v="72"/>
    <n v="54"/>
    <x v="30"/>
    <x v="3"/>
    <x v="0"/>
    <n v="1236"/>
    <d v="2023-05-22T00:00:00"/>
    <x v="4"/>
    <x v="2"/>
    <d v="1899-12-30T01:33:03"/>
    <x v="205"/>
    <s v="May"/>
    <d v="1899-12-30T01:43:52"/>
    <x v="122"/>
    <x v="0"/>
    <n v="6180"/>
    <n v="7"/>
  </r>
  <r>
    <x v="710"/>
    <x v="83"/>
    <n v="68"/>
    <x v="63"/>
    <x v="4"/>
    <x v="3"/>
    <n v="597"/>
    <d v="2023-02-04T00:00:00"/>
    <x v="0"/>
    <x v="3"/>
    <d v="1899-12-30T17:15:28"/>
    <x v="138"/>
    <s v="February"/>
    <d v="1899-12-30T14:50:53"/>
    <x v="108"/>
    <x v="3"/>
    <n v="1791"/>
    <n v="2"/>
  </r>
  <r>
    <x v="711"/>
    <x v="50"/>
    <n v="65"/>
    <x v="35"/>
    <x v="0"/>
    <x v="0"/>
    <n v="1895"/>
    <d v="2023-07-11T00:00:00"/>
    <x v="2"/>
    <x v="1"/>
    <d v="1899-12-30T13:00:12"/>
    <x v="185"/>
    <s v="July"/>
    <d v="1899-12-30T06:34:57"/>
    <x v="240"/>
    <x v="6"/>
    <n v="9475"/>
    <n v="2"/>
  </r>
  <r>
    <x v="712"/>
    <x v="62"/>
    <n v="37"/>
    <x v="28"/>
    <x v="2"/>
    <x v="3"/>
    <n v="1428"/>
    <d v="2023-11-08T00:00:00"/>
    <x v="1"/>
    <x v="5"/>
    <d v="1899-12-30T23:24:22"/>
    <x v="12"/>
    <s v="November"/>
    <d v="1899-12-30T22:51:21"/>
    <x v="108"/>
    <x v="1"/>
    <n v="4284"/>
    <n v="7"/>
  </r>
  <r>
    <x v="713"/>
    <x v="55"/>
    <n v="63"/>
    <x v="67"/>
    <x v="1"/>
    <x v="1"/>
    <n v="1348"/>
    <d v="2023-06-01T00:00:00"/>
    <x v="11"/>
    <x v="6"/>
    <d v="1899-12-30T19:28:09"/>
    <x v="72"/>
    <s v="June"/>
    <d v="1899-12-30T07:54:01"/>
    <x v="284"/>
    <x v="6"/>
    <n v="2696"/>
    <n v="2"/>
  </r>
  <r>
    <x v="714"/>
    <x v="13"/>
    <n v="38"/>
    <x v="10"/>
    <x v="3"/>
    <x v="2"/>
    <n v="562"/>
    <d v="2023-04-14T00:00:00"/>
    <x v="9"/>
    <x v="0"/>
    <d v="1899-12-30T05:16:43"/>
    <x v="251"/>
    <s v="April"/>
    <d v="1899-12-30T16:39:31"/>
    <x v="19"/>
    <x v="2"/>
    <n v="2248"/>
    <n v="7"/>
  </r>
  <r>
    <x v="715"/>
    <x v="89"/>
    <n v="40"/>
    <x v="46"/>
    <x v="1"/>
    <x v="3"/>
    <n v="1923"/>
    <d v="2023-08-19T00:00:00"/>
    <x v="3"/>
    <x v="3"/>
    <d v="1899-12-30T23:18:12"/>
    <x v="4"/>
    <s v="August"/>
    <d v="1899-12-30T01:39:58"/>
    <x v="90"/>
    <x v="0"/>
    <n v="5769"/>
    <n v="7"/>
  </r>
  <r>
    <x v="716"/>
    <x v="35"/>
    <n v="67"/>
    <x v="0"/>
    <x v="0"/>
    <x v="0"/>
    <n v="1374"/>
    <d v="2023-06-25T00:00:00"/>
    <x v="11"/>
    <x v="4"/>
    <d v="1899-12-30T06:18:32"/>
    <x v="48"/>
    <s v="June"/>
    <d v="1899-12-30T23:20:48"/>
    <x v="285"/>
    <x v="0"/>
    <n v="6870"/>
    <n v="1"/>
  </r>
  <r>
    <x v="717"/>
    <x v="51"/>
    <n v="49"/>
    <x v="32"/>
    <x v="2"/>
    <x v="4"/>
    <n v="903"/>
    <d v="2023-02-09T00:00:00"/>
    <x v="0"/>
    <x v="6"/>
    <d v="1899-12-30T05:13:35"/>
    <x v="43"/>
    <s v="February"/>
    <d v="1899-12-30T06:22:05"/>
    <x v="286"/>
    <x v="3"/>
    <n v="903"/>
    <n v="4"/>
  </r>
  <r>
    <x v="718"/>
    <x v="74"/>
    <n v="57"/>
    <x v="57"/>
    <x v="2"/>
    <x v="3"/>
    <n v="1582"/>
    <d v="2023-07-12T00:00:00"/>
    <x v="2"/>
    <x v="5"/>
    <d v="1899-12-30T07:44:51"/>
    <x v="2"/>
    <s v="July"/>
    <d v="1899-12-30T01:51:24"/>
    <x v="148"/>
    <x v="2"/>
    <n v="4746"/>
    <n v="7"/>
  </r>
  <r>
    <x v="719"/>
    <x v="41"/>
    <n v="22"/>
    <x v="34"/>
    <x v="4"/>
    <x v="0"/>
    <n v="1639"/>
    <d v="2023-12-15T00:00:00"/>
    <x v="6"/>
    <x v="0"/>
    <d v="1899-12-30T14:42:41"/>
    <x v="254"/>
    <s v="December"/>
    <d v="1899-12-30T06:07:08"/>
    <x v="34"/>
    <x v="6"/>
    <n v="8195"/>
    <n v="5"/>
  </r>
  <r>
    <x v="720"/>
    <x v="73"/>
    <n v="3"/>
    <x v="52"/>
    <x v="2"/>
    <x v="0"/>
    <n v="1534"/>
    <d v="2023-02-07T00:00:00"/>
    <x v="0"/>
    <x v="1"/>
    <d v="1899-12-30T03:28:21"/>
    <x v="197"/>
    <s v="February"/>
    <d v="1899-12-30T18:28:02"/>
    <x v="287"/>
    <x v="3"/>
    <n v="7670"/>
    <n v="10"/>
  </r>
  <r>
    <x v="721"/>
    <x v="8"/>
    <n v="13"/>
    <x v="64"/>
    <x v="6"/>
    <x v="0"/>
    <n v="1141"/>
    <d v="2023-03-02T00:00:00"/>
    <x v="5"/>
    <x v="6"/>
    <d v="1899-12-30T17:30:25"/>
    <x v="8"/>
    <s v="March"/>
    <d v="1899-12-30T08:06:58"/>
    <x v="288"/>
    <x v="5"/>
    <n v="5705"/>
    <n v="6"/>
  </r>
  <r>
    <x v="722"/>
    <x v="41"/>
    <n v="14"/>
    <x v="2"/>
    <x v="2"/>
    <x v="3"/>
    <n v="1915"/>
    <d v="2023-02-04T00:00:00"/>
    <x v="0"/>
    <x v="3"/>
    <d v="1899-12-30T18:00:57"/>
    <x v="234"/>
    <s v="February"/>
    <d v="1899-12-30T00:57:28"/>
    <x v="264"/>
    <x v="2"/>
    <n v="5745"/>
    <n v="1"/>
  </r>
  <r>
    <x v="723"/>
    <x v="35"/>
    <n v="51"/>
    <x v="38"/>
    <x v="4"/>
    <x v="4"/>
    <n v="1084"/>
    <d v="2023-04-08T00:00:00"/>
    <x v="9"/>
    <x v="3"/>
    <d v="1899-12-30T23:02:18"/>
    <x v="255"/>
    <s v="April"/>
    <d v="1899-12-30T08:00:19"/>
    <x v="67"/>
    <x v="6"/>
    <n v="1084"/>
    <n v="8"/>
  </r>
  <r>
    <x v="724"/>
    <x v="65"/>
    <n v="35"/>
    <x v="31"/>
    <x v="2"/>
    <x v="3"/>
    <n v="1865"/>
    <d v="2023-03-06T00:00:00"/>
    <x v="5"/>
    <x v="2"/>
    <d v="1899-12-30T23:23:18"/>
    <x v="57"/>
    <s v="March"/>
    <d v="1899-12-30T20:03:47"/>
    <x v="91"/>
    <x v="5"/>
    <n v="5595"/>
    <n v="5"/>
  </r>
  <r>
    <x v="725"/>
    <x v="8"/>
    <n v="34"/>
    <x v="41"/>
    <x v="4"/>
    <x v="1"/>
    <n v="1335"/>
    <d v="2023-08-21T00:00:00"/>
    <x v="3"/>
    <x v="2"/>
    <d v="1899-12-30T19:10:31"/>
    <x v="53"/>
    <s v="August"/>
    <d v="1899-12-30T18:54:28"/>
    <x v="223"/>
    <x v="4"/>
    <n v="2670"/>
    <n v="10"/>
  </r>
  <r>
    <x v="726"/>
    <x v="59"/>
    <n v="12"/>
    <x v="17"/>
    <x v="5"/>
    <x v="0"/>
    <n v="672"/>
    <d v="2023-11-18T00:00:00"/>
    <x v="1"/>
    <x v="3"/>
    <d v="1899-12-30T01:37:03"/>
    <x v="120"/>
    <s v="November"/>
    <d v="1899-12-30T16:22:32"/>
    <x v="65"/>
    <x v="0"/>
    <n v="3360"/>
    <n v="4"/>
  </r>
  <r>
    <x v="727"/>
    <x v="95"/>
    <n v="52"/>
    <x v="15"/>
    <x v="0"/>
    <x v="1"/>
    <n v="236"/>
    <d v="2023-02-08T00:00:00"/>
    <x v="0"/>
    <x v="5"/>
    <d v="1899-12-30T13:45:46"/>
    <x v="68"/>
    <s v="February"/>
    <d v="1899-12-30T16:07:16"/>
    <x v="211"/>
    <x v="3"/>
    <n v="472"/>
    <n v="3"/>
  </r>
  <r>
    <x v="728"/>
    <x v="69"/>
    <n v="17"/>
    <x v="25"/>
    <x v="4"/>
    <x v="4"/>
    <n v="1899"/>
    <d v="2023-02-23T00:00:00"/>
    <x v="0"/>
    <x v="6"/>
    <d v="1899-12-30T18:19:53"/>
    <x v="110"/>
    <s v="February"/>
    <d v="1899-12-30T11:51:19"/>
    <x v="25"/>
    <x v="0"/>
    <n v="1899"/>
    <n v="2"/>
  </r>
  <r>
    <x v="729"/>
    <x v="7"/>
    <n v="59"/>
    <x v="58"/>
    <x v="3"/>
    <x v="4"/>
    <n v="811"/>
    <d v="2023-08-22T00:00:00"/>
    <x v="3"/>
    <x v="1"/>
    <d v="1899-12-30T02:04:03"/>
    <x v="175"/>
    <s v="August"/>
    <d v="1899-12-30T22:39:30"/>
    <x v="262"/>
    <x v="4"/>
    <n v="811"/>
    <n v="3"/>
  </r>
  <r>
    <x v="730"/>
    <x v="67"/>
    <n v="59"/>
    <x v="58"/>
    <x v="3"/>
    <x v="0"/>
    <n v="811"/>
    <d v="2023-08-25T00:00:00"/>
    <x v="3"/>
    <x v="0"/>
    <d v="1899-12-30T12:01:20"/>
    <x v="66"/>
    <s v="September"/>
    <d v="1899-12-30T11:02:31"/>
    <x v="26"/>
    <x v="4"/>
    <n v="4055"/>
    <n v="8"/>
  </r>
  <r>
    <x v="731"/>
    <x v="72"/>
    <n v="1"/>
    <x v="48"/>
    <x v="4"/>
    <x v="1"/>
    <n v="1935"/>
    <d v="2023-10-16T00:00:00"/>
    <x v="10"/>
    <x v="2"/>
    <d v="1899-12-30T16:47:12"/>
    <x v="256"/>
    <s v="October"/>
    <d v="1899-12-30T18:56:15"/>
    <x v="252"/>
    <x v="6"/>
    <n v="3870"/>
    <n v="5"/>
  </r>
  <r>
    <x v="732"/>
    <x v="58"/>
    <n v="32"/>
    <x v="16"/>
    <x v="4"/>
    <x v="3"/>
    <n v="1792"/>
    <d v="2023-04-01T00:00:00"/>
    <x v="9"/>
    <x v="3"/>
    <d v="1899-12-30T00:51:37"/>
    <x v="257"/>
    <s v="April"/>
    <d v="1899-12-30T02:26:43"/>
    <x v="20"/>
    <x v="2"/>
    <n v="5376"/>
    <n v="2"/>
  </r>
  <r>
    <x v="733"/>
    <x v="54"/>
    <n v="49"/>
    <x v="32"/>
    <x v="2"/>
    <x v="3"/>
    <n v="903"/>
    <d v="2023-02-11T00:00:00"/>
    <x v="0"/>
    <x v="3"/>
    <d v="1899-12-30T11:44:37"/>
    <x v="16"/>
    <s v="February"/>
    <d v="1899-12-30T09:06:06"/>
    <x v="7"/>
    <x v="3"/>
    <n v="2709"/>
    <n v="3"/>
  </r>
  <r>
    <x v="734"/>
    <x v="0"/>
    <n v="56"/>
    <x v="8"/>
    <x v="0"/>
    <x v="4"/>
    <n v="1272"/>
    <d v="2023-02-02T00:00:00"/>
    <x v="0"/>
    <x v="6"/>
    <d v="1899-12-30T07:22:26"/>
    <x v="258"/>
    <s v="February"/>
    <d v="1899-12-30T05:57:58"/>
    <x v="27"/>
    <x v="0"/>
    <n v="1272"/>
    <n v="2"/>
  </r>
  <r>
    <x v="735"/>
    <x v="54"/>
    <n v="70"/>
    <x v="35"/>
    <x v="1"/>
    <x v="0"/>
    <n v="866"/>
    <d v="2023-05-02T00:00:00"/>
    <x v="4"/>
    <x v="1"/>
    <d v="1899-12-30T03:47:04"/>
    <x v="118"/>
    <s v="May"/>
    <d v="1899-12-30T04:38:44"/>
    <x v="222"/>
    <x v="2"/>
    <n v="4330"/>
    <n v="9"/>
  </r>
  <r>
    <x v="736"/>
    <x v="81"/>
    <n v="46"/>
    <x v="62"/>
    <x v="3"/>
    <x v="0"/>
    <n v="758"/>
    <d v="2023-09-14T00:00:00"/>
    <x v="7"/>
    <x v="6"/>
    <d v="1899-12-30T07:35:50"/>
    <x v="259"/>
    <s v="September"/>
    <d v="1899-12-30T13:37:05"/>
    <x v="102"/>
    <x v="0"/>
    <n v="3790"/>
    <n v="3"/>
  </r>
  <r>
    <x v="737"/>
    <x v="88"/>
    <n v="16"/>
    <x v="9"/>
    <x v="1"/>
    <x v="0"/>
    <n v="1721"/>
    <d v="2023-03-03T00:00:00"/>
    <x v="5"/>
    <x v="0"/>
    <d v="1899-12-30T16:23:38"/>
    <x v="170"/>
    <s v="March"/>
    <d v="1899-12-30T01:36:32"/>
    <x v="212"/>
    <x v="5"/>
    <n v="8605"/>
    <n v="6"/>
  </r>
  <r>
    <x v="738"/>
    <x v="76"/>
    <n v="24"/>
    <x v="54"/>
    <x v="6"/>
    <x v="0"/>
    <n v="535"/>
    <d v="2023-01-30T00:00:00"/>
    <x v="8"/>
    <x v="2"/>
    <d v="1899-12-30T09:43:50"/>
    <x v="202"/>
    <s v="February"/>
    <d v="1899-12-30T10:33:33"/>
    <x v="59"/>
    <x v="2"/>
    <n v="2675"/>
    <n v="4"/>
  </r>
  <r>
    <x v="739"/>
    <x v="84"/>
    <n v="56"/>
    <x v="8"/>
    <x v="0"/>
    <x v="2"/>
    <n v="1272"/>
    <d v="2023-11-07T00:00:00"/>
    <x v="1"/>
    <x v="1"/>
    <d v="1899-12-30T16:11:58"/>
    <x v="60"/>
    <s v="November"/>
    <d v="1899-12-30T10:07:51"/>
    <x v="275"/>
    <x v="0"/>
    <n v="5088"/>
    <n v="5"/>
  </r>
  <r>
    <x v="740"/>
    <x v="16"/>
    <n v="53"/>
    <x v="65"/>
    <x v="1"/>
    <x v="0"/>
    <n v="1672"/>
    <d v="2023-08-23T00:00:00"/>
    <x v="3"/>
    <x v="5"/>
    <d v="1899-12-30T12:47:09"/>
    <x v="141"/>
    <s v="September"/>
    <d v="1899-12-30T21:37:19"/>
    <x v="177"/>
    <x v="4"/>
    <n v="8360"/>
    <n v="9"/>
  </r>
  <r>
    <x v="741"/>
    <x v="85"/>
    <n v="53"/>
    <x v="65"/>
    <x v="1"/>
    <x v="0"/>
    <n v="1672"/>
    <d v="2023-08-24T00:00:00"/>
    <x v="3"/>
    <x v="6"/>
    <d v="1899-12-30T19:50:07"/>
    <x v="4"/>
    <s v="August"/>
    <d v="1899-12-30T15:58:06"/>
    <x v="211"/>
    <x v="4"/>
    <n v="8360"/>
    <n v="2"/>
  </r>
  <r>
    <x v="742"/>
    <x v="41"/>
    <n v="4"/>
    <x v="44"/>
    <x v="1"/>
    <x v="1"/>
    <n v="1199"/>
    <d v="2023-11-09T00:00:00"/>
    <x v="1"/>
    <x v="6"/>
    <d v="1899-12-30T13:28:07"/>
    <x v="1"/>
    <s v="November"/>
    <d v="1899-12-30T01:16:24"/>
    <x v="108"/>
    <x v="1"/>
    <n v="2398"/>
    <n v="4"/>
  </r>
  <r>
    <x v="743"/>
    <x v="40"/>
    <n v="45"/>
    <x v="5"/>
    <x v="0"/>
    <x v="2"/>
    <n v="722"/>
    <d v="2023-10-13T00:00:00"/>
    <x v="10"/>
    <x v="0"/>
    <d v="1899-12-30T17:53:21"/>
    <x v="248"/>
    <s v="October"/>
    <d v="1899-12-30T08:02:05"/>
    <x v="168"/>
    <x v="2"/>
    <n v="2888"/>
    <n v="1"/>
  </r>
  <r>
    <x v="744"/>
    <x v="91"/>
    <n v="44"/>
    <x v="39"/>
    <x v="5"/>
    <x v="4"/>
    <n v="794"/>
    <d v="2023-11-07T00:00:00"/>
    <x v="1"/>
    <x v="1"/>
    <d v="1899-12-30T09:12:26"/>
    <x v="148"/>
    <s v="November"/>
    <d v="1899-12-30T00:30:04"/>
    <x v="103"/>
    <x v="1"/>
    <n v="794"/>
    <n v="2"/>
  </r>
  <r>
    <x v="745"/>
    <x v="70"/>
    <n v="35"/>
    <x v="31"/>
    <x v="2"/>
    <x v="1"/>
    <n v="1865"/>
    <d v="2023-03-02T00:00:00"/>
    <x v="5"/>
    <x v="6"/>
    <d v="1899-12-30T05:23:29"/>
    <x v="44"/>
    <s v="March"/>
    <d v="1899-12-30T06:24:41"/>
    <x v="217"/>
    <x v="5"/>
    <n v="3730"/>
    <n v="4"/>
  </r>
  <r>
    <x v="746"/>
    <x v="6"/>
    <n v="6"/>
    <x v="20"/>
    <x v="3"/>
    <x v="2"/>
    <n v="1112"/>
    <d v="2023-03-06T00:00:00"/>
    <x v="5"/>
    <x v="2"/>
    <d v="1899-12-30T03:43:24"/>
    <x v="57"/>
    <s v="March"/>
    <d v="1899-12-30T16:38:35"/>
    <x v="105"/>
    <x v="5"/>
    <n v="4448"/>
    <n v="5"/>
  </r>
  <r>
    <x v="747"/>
    <x v="90"/>
    <n v="26"/>
    <x v="42"/>
    <x v="2"/>
    <x v="4"/>
    <n v="289"/>
    <d v="2023-03-06T00:00:00"/>
    <x v="5"/>
    <x v="2"/>
    <d v="1899-12-30T11:13:52"/>
    <x v="32"/>
    <s v="March"/>
    <d v="1899-12-30T20:26:40"/>
    <x v="19"/>
    <x v="5"/>
    <n v="289"/>
    <n v="1"/>
  </r>
  <r>
    <x v="748"/>
    <x v="9"/>
    <n v="12"/>
    <x v="17"/>
    <x v="5"/>
    <x v="1"/>
    <n v="672"/>
    <d v="2023-06-19T00:00:00"/>
    <x v="11"/>
    <x v="2"/>
    <d v="1899-12-30T13:13:17"/>
    <x v="159"/>
    <s v="June"/>
    <d v="1899-12-30T03:37:13"/>
    <x v="6"/>
    <x v="0"/>
    <n v="1344"/>
    <n v="5"/>
  </r>
  <r>
    <x v="749"/>
    <x v="73"/>
    <n v="19"/>
    <x v="27"/>
    <x v="6"/>
    <x v="3"/>
    <n v="1234"/>
    <d v="2023-02-08T00:00:00"/>
    <x v="0"/>
    <x v="5"/>
    <d v="1899-12-30T09:22:41"/>
    <x v="16"/>
    <s v="February"/>
    <d v="1899-12-30T22:24:42"/>
    <x v="227"/>
    <x v="3"/>
    <n v="3702"/>
    <n v="6"/>
  </r>
  <r>
    <x v="750"/>
    <x v="75"/>
    <n v="23"/>
    <x v="13"/>
    <x v="1"/>
    <x v="0"/>
    <n v="1098"/>
    <d v="2023-04-10T00:00:00"/>
    <x v="9"/>
    <x v="2"/>
    <d v="1899-12-30T07:12:34"/>
    <x v="172"/>
    <s v="April"/>
    <d v="1899-12-30T01:52:34"/>
    <x v="11"/>
    <x v="0"/>
    <n v="5490"/>
    <n v="5"/>
  </r>
  <r>
    <x v="751"/>
    <x v="96"/>
    <n v="3"/>
    <x v="52"/>
    <x v="2"/>
    <x v="0"/>
    <n v="1534"/>
    <d v="2023-02-10T00:00:00"/>
    <x v="0"/>
    <x v="0"/>
    <d v="1899-12-30T11:38:01"/>
    <x v="17"/>
    <s v="February"/>
    <d v="1899-12-30T10:35:58"/>
    <x v="62"/>
    <x v="3"/>
    <n v="7670"/>
    <n v="2"/>
  </r>
  <r>
    <x v="752"/>
    <x v="41"/>
    <n v="60"/>
    <x v="12"/>
    <x v="1"/>
    <x v="4"/>
    <n v="827"/>
    <d v="2023-11-06T00:00:00"/>
    <x v="1"/>
    <x v="2"/>
    <d v="1899-12-30T06:55:38"/>
    <x v="60"/>
    <s v="November"/>
    <d v="1899-12-30T04:49:01"/>
    <x v="200"/>
    <x v="1"/>
    <n v="827"/>
    <n v="6"/>
  </r>
  <r>
    <x v="753"/>
    <x v="67"/>
    <n v="51"/>
    <x v="38"/>
    <x v="4"/>
    <x v="1"/>
    <n v="1084"/>
    <d v="2023-11-01T00:00:00"/>
    <x v="1"/>
    <x v="5"/>
    <d v="1899-12-30T20:40:33"/>
    <x v="74"/>
    <s v="November"/>
    <d v="1899-12-30T22:13:13"/>
    <x v="250"/>
    <x v="6"/>
    <n v="2168"/>
    <n v="7"/>
  </r>
  <r>
    <x v="754"/>
    <x v="0"/>
    <n v="6"/>
    <x v="20"/>
    <x v="3"/>
    <x v="0"/>
    <n v="1112"/>
    <d v="2023-02-27T00:00:00"/>
    <x v="0"/>
    <x v="2"/>
    <d v="1899-12-30T16:33:26"/>
    <x v="44"/>
    <s v="March"/>
    <d v="1899-12-30T02:16:52"/>
    <x v="75"/>
    <x v="5"/>
    <n v="5560"/>
    <n v="7"/>
  </r>
  <r>
    <x v="755"/>
    <x v="96"/>
    <n v="51"/>
    <x v="38"/>
    <x v="4"/>
    <x v="2"/>
    <n v="1084"/>
    <d v="2023-07-29T00:00:00"/>
    <x v="2"/>
    <x v="3"/>
    <d v="1899-12-30T18:25:27"/>
    <x v="19"/>
    <s v="August"/>
    <d v="1899-12-30T09:56:02"/>
    <x v="241"/>
    <x v="6"/>
    <n v="4336"/>
    <n v="5"/>
  </r>
  <r>
    <x v="756"/>
    <x v="86"/>
    <n v="2"/>
    <x v="50"/>
    <x v="5"/>
    <x v="3"/>
    <n v="441"/>
    <d v="2023-02-12T00:00:00"/>
    <x v="0"/>
    <x v="4"/>
    <d v="1899-12-30T10:23:53"/>
    <x v="14"/>
    <s v="February"/>
    <d v="1899-12-30T04:40:28"/>
    <x v="64"/>
    <x v="3"/>
    <n v="1323"/>
    <n v="8"/>
  </r>
  <r>
    <x v="757"/>
    <x v="87"/>
    <n v="40"/>
    <x v="46"/>
    <x v="1"/>
    <x v="0"/>
    <n v="1923"/>
    <d v="2023-10-16T00:00:00"/>
    <x v="10"/>
    <x v="2"/>
    <d v="1899-12-30T09:12:26"/>
    <x v="115"/>
    <s v="October"/>
    <d v="1899-12-30T03:46:58"/>
    <x v="276"/>
    <x v="0"/>
    <n v="9615"/>
    <n v="4"/>
  </r>
  <r>
    <x v="758"/>
    <x v="75"/>
    <n v="48"/>
    <x v="29"/>
    <x v="2"/>
    <x v="0"/>
    <n v="433"/>
    <d v="2023-11-02T00:00:00"/>
    <x v="1"/>
    <x v="6"/>
    <d v="1899-12-30T06:12:14"/>
    <x v="108"/>
    <s v="November"/>
    <d v="1899-12-30T06:06:56"/>
    <x v="18"/>
    <x v="1"/>
    <n v="2165"/>
    <n v="9"/>
  </r>
  <r>
    <x v="759"/>
    <x v="87"/>
    <n v="18"/>
    <x v="53"/>
    <x v="5"/>
    <x v="4"/>
    <n v="781"/>
    <d v="2023-09-19T00:00:00"/>
    <x v="7"/>
    <x v="1"/>
    <d v="1899-12-30T02:28:05"/>
    <x v="260"/>
    <s v="September"/>
    <d v="1899-12-30T13:29:38"/>
    <x v="222"/>
    <x v="2"/>
    <n v="781"/>
    <n v="2"/>
  </r>
  <r>
    <x v="760"/>
    <x v="54"/>
    <n v="24"/>
    <x v="54"/>
    <x v="6"/>
    <x v="0"/>
    <n v="535"/>
    <d v="2023-04-18T00:00:00"/>
    <x v="9"/>
    <x v="1"/>
    <d v="1899-12-30T03:25:13"/>
    <x v="25"/>
    <s v="April"/>
    <d v="1899-12-30T11:53:46"/>
    <x v="8"/>
    <x v="2"/>
    <n v="2675"/>
    <n v="7"/>
  </r>
  <r>
    <x v="761"/>
    <x v="25"/>
    <n v="50"/>
    <x v="56"/>
    <x v="5"/>
    <x v="4"/>
    <n v="422"/>
    <d v="2023-02-26T00:00:00"/>
    <x v="0"/>
    <x v="4"/>
    <d v="1899-12-30T10:11:19"/>
    <x v="81"/>
    <s v="March"/>
    <d v="1899-12-30T03:56:20"/>
    <x v="184"/>
    <x v="5"/>
    <n v="422"/>
    <n v="3"/>
  </r>
  <r>
    <x v="762"/>
    <x v="71"/>
    <n v="29"/>
    <x v="66"/>
    <x v="2"/>
    <x v="2"/>
    <n v="1252"/>
    <d v="2023-03-02T00:00:00"/>
    <x v="5"/>
    <x v="6"/>
    <d v="1899-12-30T15:22:09"/>
    <x v="11"/>
    <s v="March"/>
    <d v="1899-12-30T04:30:07"/>
    <x v="138"/>
    <x v="5"/>
    <n v="5008"/>
    <n v="2"/>
  </r>
  <r>
    <x v="763"/>
    <x v="61"/>
    <n v="65"/>
    <x v="35"/>
    <x v="0"/>
    <x v="3"/>
    <n v="1895"/>
    <d v="2023-08-01T00:00:00"/>
    <x v="3"/>
    <x v="1"/>
    <d v="1899-12-30T19:59:36"/>
    <x v="65"/>
    <s v="August"/>
    <d v="1899-12-30T09:24:36"/>
    <x v="59"/>
    <x v="6"/>
    <n v="5685"/>
    <n v="4"/>
  </r>
  <r>
    <x v="764"/>
    <x v="28"/>
    <n v="41"/>
    <x v="1"/>
    <x v="1"/>
    <x v="1"/>
    <n v="1977"/>
    <d v="2023-11-03T00:00:00"/>
    <x v="1"/>
    <x v="0"/>
    <d v="1899-12-30T02:37:40"/>
    <x v="78"/>
    <s v="November"/>
    <d v="1899-12-30T03:52:27"/>
    <x v="8"/>
    <x v="1"/>
    <n v="3954"/>
    <n v="3"/>
  </r>
  <r>
    <x v="765"/>
    <x v="43"/>
    <n v="1"/>
    <x v="48"/>
    <x v="4"/>
    <x v="2"/>
    <n v="1935"/>
    <d v="2023-07-02T00:00:00"/>
    <x v="2"/>
    <x v="4"/>
    <d v="1899-12-30T16:28:53"/>
    <x v="261"/>
    <s v="July"/>
    <d v="1899-12-30T00:19:44"/>
    <x v="46"/>
    <x v="6"/>
    <n v="7740"/>
    <n v="5"/>
  </r>
  <r>
    <x v="766"/>
    <x v="43"/>
    <n v="13"/>
    <x v="64"/>
    <x v="6"/>
    <x v="1"/>
    <n v="1141"/>
    <d v="2023-03-03T00:00:00"/>
    <x v="5"/>
    <x v="0"/>
    <d v="1899-12-30T02:21:13"/>
    <x v="11"/>
    <s v="March"/>
    <d v="1899-12-30T00:14:53"/>
    <x v="78"/>
    <x v="5"/>
    <n v="2282"/>
    <n v="1"/>
  </r>
  <r>
    <x v="767"/>
    <x v="72"/>
    <n v="1"/>
    <x v="48"/>
    <x v="4"/>
    <x v="4"/>
    <n v="1935"/>
    <d v="2023-11-11T00:00:00"/>
    <x v="1"/>
    <x v="3"/>
    <d v="1899-12-30T18:37:41"/>
    <x v="38"/>
    <s v="November"/>
    <d v="1899-12-30T12:19:42"/>
    <x v="96"/>
    <x v="6"/>
    <n v="1935"/>
    <n v="5"/>
  </r>
  <r>
    <x v="768"/>
    <x v="2"/>
    <n v="28"/>
    <x v="4"/>
    <x v="1"/>
    <x v="1"/>
    <n v="1778"/>
    <d v="2023-08-25T00:00:00"/>
    <x v="3"/>
    <x v="0"/>
    <d v="1899-12-30T09:37:39"/>
    <x v="66"/>
    <s v="September"/>
    <d v="1899-12-30T20:10:20"/>
    <x v="216"/>
    <x v="4"/>
    <n v="3556"/>
    <n v="8"/>
  </r>
  <r>
    <x v="769"/>
    <x v="32"/>
    <n v="25"/>
    <x v="40"/>
    <x v="5"/>
    <x v="3"/>
    <n v="1202"/>
    <d v="2023-05-29T00:00:00"/>
    <x v="4"/>
    <x v="2"/>
    <d v="1899-12-30T00:20:57"/>
    <x v="236"/>
    <s v="June"/>
    <d v="1899-12-30T09:39:12"/>
    <x v="67"/>
    <x v="0"/>
    <n v="3606"/>
    <n v="9"/>
  </r>
  <r>
    <x v="770"/>
    <x v="15"/>
    <n v="9"/>
    <x v="21"/>
    <x v="2"/>
    <x v="1"/>
    <n v="1605"/>
    <d v="2023-08-26T00:00:00"/>
    <x v="3"/>
    <x v="3"/>
    <d v="1899-12-30T17:00:07"/>
    <x v="141"/>
    <s v="September"/>
    <d v="1899-12-30T10:54:16"/>
    <x v="16"/>
    <x v="4"/>
    <n v="3210"/>
    <n v="6"/>
  </r>
  <r>
    <x v="771"/>
    <x v="79"/>
    <n v="35"/>
    <x v="31"/>
    <x v="2"/>
    <x v="0"/>
    <n v="1865"/>
    <d v="2023-03-01T00:00:00"/>
    <x v="5"/>
    <x v="5"/>
    <d v="1899-12-30T05:03:06"/>
    <x v="11"/>
    <s v="March"/>
    <d v="1899-12-30T08:20:05"/>
    <x v="289"/>
    <x v="5"/>
    <n v="9325"/>
    <n v="3"/>
  </r>
  <r>
    <x v="772"/>
    <x v="36"/>
    <n v="39"/>
    <x v="47"/>
    <x v="6"/>
    <x v="2"/>
    <n v="387"/>
    <d v="2023-01-07T00:00:00"/>
    <x v="8"/>
    <x v="3"/>
    <d v="1899-12-30T02:11:24"/>
    <x v="201"/>
    <s v="January"/>
    <d v="1899-12-30T23:47:54"/>
    <x v="127"/>
    <x v="6"/>
    <n v="1548"/>
    <n v="6"/>
  </r>
  <r>
    <x v="773"/>
    <x v="70"/>
    <n v="65"/>
    <x v="35"/>
    <x v="0"/>
    <x v="0"/>
    <n v="1895"/>
    <d v="2023-06-17T00:00:00"/>
    <x v="11"/>
    <x v="3"/>
    <d v="1899-12-30T21:28:21"/>
    <x v="206"/>
    <s v="June"/>
    <d v="1899-12-30T03:01:20"/>
    <x v="147"/>
    <x v="6"/>
    <n v="9475"/>
    <n v="10"/>
  </r>
  <r>
    <x v="774"/>
    <x v="43"/>
    <n v="45"/>
    <x v="5"/>
    <x v="0"/>
    <x v="4"/>
    <n v="722"/>
    <d v="2023-02-19T00:00:00"/>
    <x v="0"/>
    <x v="4"/>
    <d v="1899-12-30T03:48:10"/>
    <x v="133"/>
    <s v="February"/>
    <d v="1899-12-30T23:31:47"/>
    <x v="65"/>
    <x v="2"/>
    <n v="722"/>
    <n v="5"/>
  </r>
  <r>
    <x v="775"/>
    <x v="70"/>
    <n v="43"/>
    <x v="6"/>
    <x v="0"/>
    <x v="4"/>
    <n v="750"/>
    <d v="2023-11-09T00:00:00"/>
    <x v="1"/>
    <x v="6"/>
    <d v="1899-12-30T07:28:54"/>
    <x v="60"/>
    <s v="November"/>
    <d v="1899-12-30T21:39:04"/>
    <x v="181"/>
    <x v="1"/>
    <n v="750"/>
    <n v="3"/>
  </r>
  <r>
    <x v="776"/>
    <x v="82"/>
    <n v="70"/>
    <x v="35"/>
    <x v="1"/>
    <x v="3"/>
    <n v="866"/>
    <d v="2023-02-24T00:00:00"/>
    <x v="0"/>
    <x v="0"/>
    <d v="1899-12-30T15:33:57"/>
    <x v="51"/>
    <s v="February"/>
    <d v="1899-12-30T11:29:39"/>
    <x v="251"/>
    <x v="2"/>
    <n v="2598"/>
    <n v="3"/>
  </r>
  <r>
    <x v="777"/>
    <x v="47"/>
    <n v="61"/>
    <x v="33"/>
    <x v="5"/>
    <x v="2"/>
    <n v="810"/>
    <d v="2023-05-10T00:00:00"/>
    <x v="4"/>
    <x v="5"/>
    <d v="1899-12-30T03:58:40"/>
    <x v="5"/>
    <s v="May"/>
    <d v="1899-12-30T11:57:17"/>
    <x v="188"/>
    <x v="0"/>
    <n v="3240"/>
    <n v="3"/>
  </r>
  <r>
    <x v="778"/>
    <x v="91"/>
    <n v="3"/>
    <x v="52"/>
    <x v="2"/>
    <x v="4"/>
    <n v="1534"/>
    <d v="2023-02-06T00:00:00"/>
    <x v="0"/>
    <x v="2"/>
    <d v="1899-12-30T06:26:37"/>
    <x v="62"/>
    <s v="February"/>
    <d v="1899-12-30T02:51:51"/>
    <x v="158"/>
    <x v="3"/>
    <n v="1534"/>
    <n v="2"/>
  </r>
  <r>
    <x v="779"/>
    <x v="71"/>
    <n v="33"/>
    <x v="59"/>
    <x v="2"/>
    <x v="1"/>
    <n v="314"/>
    <d v="2023-02-10T00:00:00"/>
    <x v="0"/>
    <x v="0"/>
    <d v="1899-12-30T11:30:51"/>
    <x v="43"/>
    <s v="February"/>
    <d v="1899-12-30T04:28:25"/>
    <x v="207"/>
    <x v="3"/>
    <n v="628"/>
    <n v="3"/>
  </r>
  <r>
    <x v="780"/>
    <x v="75"/>
    <n v="40"/>
    <x v="46"/>
    <x v="1"/>
    <x v="1"/>
    <n v="1923"/>
    <d v="2023-09-27T00:00:00"/>
    <x v="7"/>
    <x v="5"/>
    <d v="1899-12-30T15:26:58"/>
    <x v="26"/>
    <s v="October"/>
    <d v="1899-12-30T19:39:28"/>
    <x v="195"/>
    <x v="0"/>
    <n v="3846"/>
    <n v="8"/>
  </r>
  <r>
    <x v="781"/>
    <x v="72"/>
    <n v="22"/>
    <x v="34"/>
    <x v="4"/>
    <x v="2"/>
    <n v="1639"/>
    <d v="2023-04-18T00:00:00"/>
    <x v="9"/>
    <x v="1"/>
    <d v="1899-12-30T05:41:20"/>
    <x v="262"/>
    <s v="April"/>
    <d v="1899-12-30T19:25:29"/>
    <x v="218"/>
    <x v="6"/>
    <n v="6556"/>
    <n v="8"/>
  </r>
  <r>
    <x v="782"/>
    <x v="11"/>
    <n v="55"/>
    <x v="60"/>
    <x v="4"/>
    <x v="0"/>
    <n v="1904"/>
    <d v="2023-08-28T00:00:00"/>
    <x v="3"/>
    <x v="2"/>
    <d v="1899-12-30T04:31:27"/>
    <x v="7"/>
    <s v="August"/>
    <d v="1899-12-30T05:10:51"/>
    <x v="290"/>
    <x v="4"/>
    <n v="9520"/>
    <n v="1"/>
  </r>
  <r>
    <x v="783"/>
    <x v="12"/>
    <n v="56"/>
    <x v="8"/>
    <x v="0"/>
    <x v="1"/>
    <n v="1272"/>
    <d v="2023-06-02T00:00:00"/>
    <x v="11"/>
    <x v="0"/>
    <d v="1899-12-30T08:25:52"/>
    <x v="236"/>
    <s v="June"/>
    <d v="1899-12-30T06:16:19"/>
    <x v="163"/>
    <x v="0"/>
    <n v="2544"/>
    <n v="5"/>
  </r>
  <r>
    <x v="784"/>
    <x v="91"/>
    <n v="47"/>
    <x v="49"/>
    <x v="2"/>
    <x v="0"/>
    <n v="1638"/>
    <d v="2023-02-26T00:00:00"/>
    <x v="0"/>
    <x v="4"/>
    <d v="1899-12-30T17:41:34"/>
    <x v="81"/>
    <s v="March"/>
    <d v="1899-12-30T13:09:23"/>
    <x v="118"/>
    <x v="5"/>
    <n v="8190"/>
    <n v="3"/>
  </r>
  <r>
    <x v="785"/>
    <x v="92"/>
    <n v="47"/>
    <x v="49"/>
    <x v="2"/>
    <x v="4"/>
    <n v="1638"/>
    <d v="2023-03-05T00:00:00"/>
    <x v="5"/>
    <x v="4"/>
    <d v="1899-12-30T22:47:05"/>
    <x v="32"/>
    <s v="March"/>
    <d v="1899-12-30T07:16:53"/>
    <x v="94"/>
    <x v="5"/>
    <n v="1638"/>
    <n v="2"/>
  </r>
  <r>
    <x v="786"/>
    <x v="13"/>
    <n v="9"/>
    <x v="21"/>
    <x v="2"/>
    <x v="4"/>
    <n v="1605"/>
    <d v="2023-08-25T00:00:00"/>
    <x v="3"/>
    <x v="0"/>
    <d v="1899-12-30T21:42:12"/>
    <x v="42"/>
    <s v="August"/>
    <d v="1899-12-30T14:10:59"/>
    <x v="246"/>
    <x v="4"/>
    <n v="1605"/>
    <n v="2"/>
  </r>
  <r>
    <x v="787"/>
    <x v="9"/>
    <n v="53"/>
    <x v="65"/>
    <x v="1"/>
    <x v="3"/>
    <n v="1672"/>
    <d v="2023-08-24T00:00:00"/>
    <x v="3"/>
    <x v="6"/>
    <d v="1899-12-30T04:58:58"/>
    <x v="42"/>
    <s v="August"/>
    <d v="1899-12-30T08:56:52"/>
    <x v="158"/>
    <x v="4"/>
    <n v="5016"/>
    <n v="3"/>
  </r>
  <r>
    <x v="788"/>
    <x v="66"/>
    <n v="58"/>
    <x v="3"/>
    <x v="3"/>
    <x v="2"/>
    <n v="1492"/>
    <d v="2023-02-08T00:00:00"/>
    <x v="0"/>
    <x v="5"/>
    <d v="1899-12-30T18:19:36"/>
    <x v="28"/>
    <s v="February"/>
    <d v="1899-12-30T08:00:31"/>
    <x v="62"/>
    <x v="3"/>
    <n v="5968"/>
    <n v="7"/>
  </r>
  <r>
    <x v="789"/>
    <x v="33"/>
    <n v="26"/>
    <x v="42"/>
    <x v="2"/>
    <x v="1"/>
    <n v="289"/>
    <d v="2023-02-28T00:00:00"/>
    <x v="0"/>
    <x v="1"/>
    <d v="1899-12-30T06:03:29"/>
    <x v="8"/>
    <s v="March"/>
    <d v="1899-12-30T04:20:38"/>
    <x v="139"/>
    <x v="5"/>
    <n v="578"/>
    <n v="8"/>
  </r>
  <r>
    <x v="790"/>
    <x v="83"/>
    <n v="51"/>
    <x v="38"/>
    <x v="4"/>
    <x v="1"/>
    <n v="1084"/>
    <d v="2023-05-06T00:00:00"/>
    <x v="4"/>
    <x v="3"/>
    <d v="1899-12-30T02:29:51"/>
    <x v="191"/>
    <s v="May"/>
    <d v="1899-12-30T06:53:48"/>
    <x v="249"/>
    <x v="6"/>
    <n v="2168"/>
    <n v="3"/>
  </r>
  <r>
    <x v="791"/>
    <x v="46"/>
    <n v="43"/>
    <x v="6"/>
    <x v="0"/>
    <x v="1"/>
    <n v="750"/>
    <d v="2023-11-09T00:00:00"/>
    <x v="1"/>
    <x v="6"/>
    <d v="1899-12-30T07:00:56"/>
    <x v="47"/>
    <s v="November"/>
    <d v="1899-12-30T05:14:12"/>
    <x v="57"/>
    <x v="1"/>
    <n v="1500"/>
    <n v="1"/>
  </r>
  <r>
    <x v="792"/>
    <x v="42"/>
    <n v="58"/>
    <x v="3"/>
    <x v="3"/>
    <x v="0"/>
    <n v="1492"/>
    <d v="2023-02-05T00:00:00"/>
    <x v="0"/>
    <x v="4"/>
    <d v="1899-12-30T17:37:16"/>
    <x v="28"/>
    <s v="February"/>
    <d v="1899-12-30T01:28:17"/>
    <x v="238"/>
    <x v="3"/>
    <n v="7460"/>
    <n v="10"/>
  </r>
  <r>
    <x v="793"/>
    <x v="90"/>
    <n v="13"/>
    <x v="64"/>
    <x v="6"/>
    <x v="2"/>
    <n v="1141"/>
    <d v="2023-03-04T00:00:00"/>
    <x v="5"/>
    <x v="3"/>
    <d v="1899-12-30T17:11:58"/>
    <x v="170"/>
    <s v="March"/>
    <d v="1899-12-30T14:51:06"/>
    <x v="218"/>
    <x v="5"/>
    <n v="4564"/>
    <n v="5"/>
  </r>
  <r>
    <x v="794"/>
    <x v="71"/>
    <n v="7"/>
    <x v="23"/>
    <x v="4"/>
    <x v="4"/>
    <n v="409"/>
    <d v="2023-03-03T00:00:00"/>
    <x v="5"/>
    <x v="0"/>
    <d v="1899-12-30T17:58:36"/>
    <x v="32"/>
    <s v="March"/>
    <d v="1899-12-30T22:17:46"/>
    <x v="129"/>
    <x v="5"/>
    <n v="409"/>
    <n v="4"/>
  </r>
  <r>
    <x v="795"/>
    <x v="97"/>
    <n v="61"/>
    <x v="33"/>
    <x v="5"/>
    <x v="2"/>
    <n v="810"/>
    <d v="2023-05-05T00:00:00"/>
    <x v="4"/>
    <x v="0"/>
    <d v="1899-12-30T07:53:26"/>
    <x v="231"/>
    <s v="May"/>
    <d v="1899-12-30T08:08:25"/>
    <x v="4"/>
    <x v="0"/>
    <n v="3240"/>
    <n v="9"/>
  </r>
  <r>
    <x v="796"/>
    <x v="26"/>
    <n v="13"/>
    <x v="64"/>
    <x v="6"/>
    <x v="1"/>
    <n v="1141"/>
    <d v="2023-03-03T00:00:00"/>
    <x v="5"/>
    <x v="0"/>
    <d v="1899-12-30T20:57:50"/>
    <x v="101"/>
    <s v="March"/>
    <d v="1899-12-30T04:29:03"/>
    <x v="133"/>
    <x v="5"/>
    <n v="2282"/>
    <n v="7"/>
  </r>
  <r>
    <x v="797"/>
    <x v="87"/>
    <n v="30"/>
    <x v="19"/>
    <x v="2"/>
    <x v="0"/>
    <n v="751"/>
    <d v="2023-12-17T00:00:00"/>
    <x v="6"/>
    <x v="4"/>
    <d v="1899-12-30T17:35:18"/>
    <x v="140"/>
    <s v="December"/>
    <d v="1899-12-30T01:52:09"/>
    <x v="291"/>
    <x v="0"/>
    <n v="3755"/>
    <n v="9"/>
  </r>
  <r>
    <x v="798"/>
    <x v="75"/>
    <n v="32"/>
    <x v="16"/>
    <x v="4"/>
    <x v="0"/>
    <n v="1792"/>
    <d v="2023-10-22T00:00:00"/>
    <x v="10"/>
    <x v="4"/>
    <d v="1899-12-30T01:50:09"/>
    <x v="75"/>
    <s v="November"/>
    <d v="1899-12-30T20:22:26"/>
    <x v="189"/>
    <x v="2"/>
    <n v="8960"/>
    <n v="10"/>
  </r>
  <r>
    <x v="799"/>
    <x v="38"/>
    <n v="24"/>
    <x v="54"/>
    <x v="6"/>
    <x v="0"/>
    <n v="535"/>
    <d v="2023-06-17T00:00:00"/>
    <x v="11"/>
    <x v="3"/>
    <d v="1899-12-30T21:50:22"/>
    <x v="77"/>
    <s v="June"/>
    <d v="1899-12-30T07:12:59"/>
    <x v="289"/>
    <x v="2"/>
    <n v="2675"/>
    <n v="4"/>
  </r>
  <r>
    <x v="800"/>
    <x v="44"/>
    <n v="35"/>
    <x v="31"/>
    <x v="2"/>
    <x v="4"/>
    <n v="1865"/>
    <d v="2023-03-07T00:00:00"/>
    <x v="5"/>
    <x v="1"/>
    <d v="1899-12-30T19:15:48"/>
    <x v="137"/>
    <s v="March"/>
    <d v="1899-12-30T06:35:12"/>
    <x v="292"/>
    <x v="5"/>
    <n v="1865"/>
    <n v="8"/>
  </r>
  <r>
    <x v="801"/>
    <x v="7"/>
    <n v="45"/>
    <x v="5"/>
    <x v="0"/>
    <x v="3"/>
    <n v="722"/>
    <d v="2023-03-23T00:00:00"/>
    <x v="5"/>
    <x v="6"/>
    <d v="1899-12-30T12:37:23"/>
    <x v="125"/>
    <s v="March"/>
    <d v="1899-12-30T06:19:00"/>
    <x v="244"/>
    <x v="2"/>
    <n v="2166"/>
    <n v="3"/>
  </r>
  <r>
    <x v="802"/>
    <x v="5"/>
    <n v="26"/>
    <x v="42"/>
    <x v="2"/>
    <x v="4"/>
    <n v="289"/>
    <d v="2023-03-03T00:00:00"/>
    <x v="5"/>
    <x v="0"/>
    <d v="1899-12-30T12:03:48"/>
    <x v="101"/>
    <s v="March"/>
    <d v="1899-12-30T02:50:05"/>
    <x v="38"/>
    <x v="5"/>
    <n v="289"/>
    <n v="7"/>
  </r>
  <r>
    <x v="803"/>
    <x v="6"/>
    <n v="3"/>
    <x v="52"/>
    <x v="2"/>
    <x v="3"/>
    <n v="1534"/>
    <d v="2023-02-05T00:00:00"/>
    <x v="0"/>
    <x v="4"/>
    <d v="1899-12-30T05:37:18"/>
    <x v="85"/>
    <s v="February"/>
    <d v="1899-12-30T01:58:08"/>
    <x v="135"/>
    <x v="3"/>
    <n v="4602"/>
    <n v="2"/>
  </r>
  <r>
    <x v="804"/>
    <x v="51"/>
    <n v="24"/>
    <x v="54"/>
    <x v="6"/>
    <x v="3"/>
    <n v="535"/>
    <d v="2023-06-11T00:00:00"/>
    <x v="11"/>
    <x v="4"/>
    <d v="1899-12-30T14:39:08"/>
    <x v="190"/>
    <s v="June"/>
    <d v="1899-12-30T18:07:19"/>
    <x v="149"/>
    <x v="2"/>
    <n v="1605"/>
    <n v="3"/>
  </r>
  <r>
    <x v="805"/>
    <x v="24"/>
    <n v="29"/>
    <x v="66"/>
    <x v="2"/>
    <x v="1"/>
    <n v="1252"/>
    <d v="2023-02-28T00:00:00"/>
    <x v="0"/>
    <x v="1"/>
    <d v="1899-12-30T13:01:22"/>
    <x v="8"/>
    <s v="March"/>
    <d v="1899-12-30T06:38:58"/>
    <x v="95"/>
    <x v="5"/>
    <n v="2504"/>
    <n v="8"/>
  </r>
  <r>
    <x v="806"/>
    <x v="34"/>
    <n v="40"/>
    <x v="46"/>
    <x v="1"/>
    <x v="2"/>
    <n v="1923"/>
    <d v="2023-11-29T00:00:00"/>
    <x v="1"/>
    <x v="5"/>
    <d v="1899-12-30T16:20:19"/>
    <x v="263"/>
    <s v="December"/>
    <d v="1899-12-30T03:09:57"/>
    <x v="277"/>
    <x v="0"/>
    <n v="7692"/>
    <n v="10"/>
  </r>
  <r>
    <x v="807"/>
    <x v="97"/>
    <n v="9"/>
    <x v="21"/>
    <x v="2"/>
    <x v="1"/>
    <n v="1605"/>
    <d v="2023-08-29T00:00:00"/>
    <x v="3"/>
    <x v="1"/>
    <d v="1899-12-30T15:36:39"/>
    <x v="13"/>
    <s v="August"/>
    <d v="1899-12-30T10:11:21"/>
    <x v="141"/>
    <x v="4"/>
    <n v="3210"/>
    <n v="1"/>
  </r>
  <r>
    <x v="808"/>
    <x v="52"/>
    <n v="35"/>
    <x v="31"/>
    <x v="2"/>
    <x v="4"/>
    <n v="1865"/>
    <d v="2023-03-07T00:00:00"/>
    <x v="5"/>
    <x v="1"/>
    <d v="1899-12-30T19:50:47"/>
    <x v="171"/>
    <s v="March"/>
    <d v="1899-12-30T01:51:34"/>
    <x v="20"/>
    <x v="5"/>
    <n v="1865"/>
    <n v="10"/>
  </r>
  <r>
    <x v="809"/>
    <x v="35"/>
    <n v="24"/>
    <x v="54"/>
    <x v="6"/>
    <x v="3"/>
    <n v="535"/>
    <d v="2023-12-15T00:00:00"/>
    <x v="6"/>
    <x v="0"/>
    <d v="1899-12-30T05:57:14"/>
    <x v="219"/>
    <s v="December"/>
    <d v="1899-12-30T12:05:52"/>
    <x v="31"/>
    <x v="2"/>
    <n v="1605"/>
    <n v="2"/>
  </r>
  <r>
    <x v="810"/>
    <x v="37"/>
    <n v="14"/>
    <x v="2"/>
    <x v="2"/>
    <x v="0"/>
    <n v="1915"/>
    <d v="2023-10-18T00:00:00"/>
    <x v="10"/>
    <x v="5"/>
    <d v="1899-12-30T12:04:11"/>
    <x v="167"/>
    <s v="October"/>
    <d v="1899-12-30T21:55:52"/>
    <x v="202"/>
    <x v="2"/>
    <n v="9575"/>
    <n v="7"/>
  </r>
  <r>
    <x v="811"/>
    <x v="44"/>
    <n v="40"/>
    <x v="46"/>
    <x v="1"/>
    <x v="1"/>
    <n v="1923"/>
    <d v="2023-12-12T00:00:00"/>
    <x v="6"/>
    <x v="1"/>
    <d v="1899-12-30T17:19:49"/>
    <x v="97"/>
    <s v="December"/>
    <d v="1899-12-30T01:28:32"/>
    <x v="216"/>
    <x v="0"/>
    <n v="3846"/>
    <n v="2"/>
  </r>
  <r>
    <x v="812"/>
    <x v="76"/>
    <n v="32"/>
    <x v="16"/>
    <x v="4"/>
    <x v="2"/>
    <n v="1792"/>
    <d v="2023-01-19T00:00:00"/>
    <x v="8"/>
    <x v="6"/>
    <d v="1899-12-30T08:53:43"/>
    <x v="103"/>
    <s v="January"/>
    <d v="1899-12-30T22:01:01"/>
    <x v="293"/>
    <x v="2"/>
    <n v="7168"/>
    <n v="4"/>
  </r>
  <r>
    <x v="813"/>
    <x v="76"/>
    <n v="47"/>
    <x v="49"/>
    <x v="2"/>
    <x v="0"/>
    <n v="1638"/>
    <d v="2023-03-05T00:00:00"/>
    <x v="5"/>
    <x v="4"/>
    <d v="1899-12-30T01:59:20"/>
    <x v="27"/>
    <s v="March"/>
    <d v="1899-12-30T04:41:16"/>
    <x v="116"/>
    <x v="5"/>
    <n v="8190"/>
    <n v="9"/>
  </r>
  <r>
    <x v="814"/>
    <x v="88"/>
    <n v="61"/>
    <x v="33"/>
    <x v="5"/>
    <x v="3"/>
    <n v="810"/>
    <d v="2023-09-29T00:00:00"/>
    <x v="7"/>
    <x v="0"/>
    <d v="1899-12-30T07:08:13"/>
    <x v="135"/>
    <s v="October"/>
    <d v="1899-12-30T14:46:18"/>
    <x v="159"/>
    <x v="0"/>
    <n v="2430"/>
    <n v="9"/>
  </r>
  <r>
    <x v="815"/>
    <x v="12"/>
    <n v="35"/>
    <x v="31"/>
    <x v="2"/>
    <x v="3"/>
    <n v="1865"/>
    <d v="2023-02-28T00:00:00"/>
    <x v="0"/>
    <x v="1"/>
    <d v="1899-12-30T19:44:25"/>
    <x v="101"/>
    <s v="March"/>
    <d v="1899-12-30T13:41:37"/>
    <x v="129"/>
    <x v="5"/>
    <n v="5595"/>
    <n v="10"/>
  </r>
  <r>
    <x v="816"/>
    <x v="31"/>
    <n v="21"/>
    <x v="8"/>
    <x v="2"/>
    <x v="1"/>
    <n v="1561"/>
    <d v="2023-08-28T00:00:00"/>
    <x v="3"/>
    <x v="2"/>
    <d v="1899-12-30T05:37:00"/>
    <x v="141"/>
    <s v="September"/>
    <d v="1899-12-30T22:05:03"/>
    <x v="161"/>
    <x v="4"/>
    <n v="3122"/>
    <n v="4"/>
  </r>
  <r>
    <x v="817"/>
    <x v="84"/>
    <n v="8"/>
    <x v="24"/>
    <x v="1"/>
    <x v="2"/>
    <n v="252"/>
    <d v="2023-03-02T00:00:00"/>
    <x v="5"/>
    <x v="6"/>
    <d v="1899-12-30T07:51:06"/>
    <x v="170"/>
    <s v="March"/>
    <d v="1899-12-30T09:07:41"/>
    <x v="60"/>
    <x v="0"/>
    <n v="1008"/>
    <n v="7"/>
  </r>
  <r>
    <x v="818"/>
    <x v="91"/>
    <n v="55"/>
    <x v="60"/>
    <x v="4"/>
    <x v="0"/>
    <n v="1904"/>
    <d v="2023-08-22T00:00:00"/>
    <x v="3"/>
    <x v="1"/>
    <d v="1899-12-30T13:05:23"/>
    <x v="152"/>
    <s v="August"/>
    <d v="1899-12-30T01:32:28"/>
    <x v="49"/>
    <x v="4"/>
    <n v="9520"/>
    <n v="2"/>
  </r>
  <r>
    <x v="819"/>
    <x v="47"/>
    <n v="64"/>
    <x v="61"/>
    <x v="4"/>
    <x v="3"/>
    <n v="1878"/>
    <d v="2023-08-22T00:00:00"/>
    <x v="3"/>
    <x v="1"/>
    <d v="1899-12-30T05:51:43"/>
    <x v="4"/>
    <s v="August"/>
    <d v="1899-12-30T04:52:23"/>
    <x v="294"/>
    <x v="4"/>
    <n v="5634"/>
    <n v="4"/>
  </r>
  <r>
    <x v="820"/>
    <x v="49"/>
    <n v="32"/>
    <x v="16"/>
    <x v="4"/>
    <x v="2"/>
    <n v="1792"/>
    <d v="2023-02-27T00:00:00"/>
    <x v="0"/>
    <x v="2"/>
    <d v="1899-12-30T20:15:31"/>
    <x v="32"/>
    <s v="March"/>
    <d v="1899-12-30T22:46:00"/>
    <x v="149"/>
    <x v="2"/>
    <n v="7168"/>
    <n v="8"/>
  </r>
  <r>
    <x v="821"/>
    <x v="64"/>
    <n v="41"/>
    <x v="1"/>
    <x v="1"/>
    <x v="0"/>
    <n v="1977"/>
    <d v="2023-11-09T00:00:00"/>
    <x v="1"/>
    <x v="6"/>
    <d v="1899-12-30T03:23:06"/>
    <x v="60"/>
    <s v="November"/>
    <d v="1899-12-30T04:15:17"/>
    <x v="33"/>
    <x v="1"/>
    <n v="9885"/>
    <n v="3"/>
  </r>
  <r>
    <x v="822"/>
    <x v="72"/>
    <n v="64"/>
    <x v="61"/>
    <x v="4"/>
    <x v="3"/>
    <n v="1878"/>
    <d v="2023-08-27T00:00:00"/>
    <x v="3"/>
    <x v="4"/>
    <d v="1899-12-30T15:23:25"/>
    <x v="141"/>
    <s v="September"/>
    <d v="1899-12-30T14:52:40"/>
    <x v="232"/>
    <x v="4"/>
    <n v="5634"/>
    <n v="5"/>
  </r>
  <r>
    <x v="823"/>
    <x v="7"/>
    <n v="46"/>
    <x v="62"/>
    <x v="3"/>
    <x v="2"/>
    <n v="758"/>
    <d v="2023-05-06T00:00:00"/>
    <x v="4"/>
    <x v="3"/>
    <d v="1899-12-30T07:56:11"/>
    <x v="264"/>
    <s v="May"/>
    <d v="1899-12-30T15:23:52"/>
    <x v="191"/>
    <x v="0"/>
    <n v="3032"/>
    <n v="1"/>
  </r>
  <r>
    <x v="824"/>
    <x v="8"/>
    <n v="25"/>
    <x v="40"/>
    <x v="5"/>
    <x v="0"/>
    <n v="1202"/>
    <d v="2023-06-30T00:00:00"/>
    <x v="11"/>
    <x v="0"/>
    <d v="1899-12-30T10:50:24"/>
    <x v="265"/>
    <s v="July"/>
    <d v="1899-12-30T18:08:04"/>
    <x v="138"/>
    <x v="0"/>
    <n v="6010"/>
    <n v="1"/>
  </r>
  <r>
    <x v="825"/>
    <x v="43"/>
    <n v="16"/>
    <x v="9"/>
    <x v="1"/>
    <x v="0"/>
    <n v="1721"/>
    <d v="2023-03-02T00:00:00"/>
    <x v="5"/>
    <x v="6"/>
    <d v="1899-12-30T20:02:07"/>
    <x v="8"/>
    <s v="March"/>
    <d v="1899-12-30T06:16:18"/>
    <x v="209"/>
    <x v="5"/>
    <n v="8605"/>
    <n v="6"/>
  </r>
  <r>
    <x v="826"/>
    <x v="93"/>
    <n v="9"/>
    <x v="21"/>
    <x v="2"/>
    <x v="4"/>
    <n v="1605"/>
    <d v="2023-08-29T00:00:00"/>
    <x v="3"/>
    <x v="1"/>
    <d v="1899-12-30T22:10:46"/>
    <x v="13"/>
    <s v="August"/>
    <d v="1899-12-30T00:51:55"/>
    <x v="228"/>
    <x v="4"/>
    <n v="1605"/>
    <n v="1"/>
  </r>
  <r>
    <x v="827"/>
    <x v="8"/>
    <n v="8"/>
    <x v="24"/>
    <x v="1"/>
    <x v="3"/>
    <n v="252"/>
    <d v="2023-10-24T00:00:00"/>
    <x v="10"/>
    <x v="1"/>
    <d v="1899-12-30T16:47:01"/>
    <x v="75"/>
    <s v="November"/>
    <d v="1899-12-30T22:18:58"/>
    <x v="71"/>
    <x v="0"/>
    <n v="756"/>
    <n v="8"/>
  </r>
  <r>
    <x v="828"/>
    <x v="37"/>
    <n v="42"/>
    <x v="18"/>
    <x v="1"/>
    <x v="2"/>
    <n v="1744"/>
    <d v="2023-12-19T00:00:00"/>
    <x v="6"/>
    <x v="1"/>
    <d v="1899-12-30T18:35:41"/>
    <x v="140"/>
    <s v="December"/>
    <d v="1899-12-30T10:18:04"/>
    <x v="290"/>
    <x v="6"/>
    <n v="6976"/>
    <n v="7"/>
  </r>
  <r>
    <x v="829"/>
    <x v="78"/>
    <n v="46"/>
    <x v="62"/>
    <x v="3"/>
    <x v="1"/>
    <n v="758"/>
    <d v="2023-01-12T00:00:00"/>
    <x v="8"/>
    <x v="6"/>
    <d v="1899-12-30T19:18:53"/>
    <x v="24"/>
    <s v="January"/>
    <d v="1899-12-30T05:04:21"/>
    <x v="33"/>
    <x v="0"/>
    <n v="1516"/>
    <n v="3"/>
  </r>
  <r>
    <x v="830"/>
    <x v="90"/>
    <n v="56"/>
    <x v="8"/>
    <x v="0"/>
    <x v="0"/>
    <n v="1272"/>
    <d v="2023-05-24T00:00:00"/>
    <x v="4"/>
    <x v="5"/>
    <d v="1899-12-30T18:41:33"/>
    <x v="72"/>
    <s v="June"/>
    <d v="1899-12-30T19:06:17"/>
    <x v="242"/>
    <x v="0"/>
    <n v="6360"/>
    <n v="10"/>
  </r>
  <r>
    <x v="831"/>
    <x v="68"/>
    <n v="65"/>
    <x v="35"/>
    <x v="0"/>
    <x v="2"/>
    <n v="1895"/>
    <d v="2023-02-01T00:00:00"/>
    <x v="0"/>
    <x v="5"/>
    <d v="1899-12-30T18:56:24"/>
    <x v="145"/>
    <s v="February"/>
    <d v="1899-12-30T02:19:29"/>
    <x v="145"/>
    <x v="6"/>
    <n v="7580"/>
    <n v="9"/>
  </r>
  <r>
    <x v="832"/>
    <x v="97"/>
    <n v="26"/>
    <x v="42"/>
    <x v="2"/>
    <x v="3"/>
    <n v="289"/>
    <d v="2023-03-05T00:00:00"/>
    <x v="5"/>
    <x v="4"/>
    <d v="1899-12-30T00:40:48"/>
    <x v="82"/>
    <s v="March"/>
    <d v="1899-12-30T01:40:17"/>
    <x v="76"/>
    <x v="5"/>
    <n v="867"/>
    <n v="8"/>
  </r>
  <r>
    <x v="833"/>
    <x v="2"/>
    <n v="60"/>
    <x v="12"/>
    <x v="1"/>
    <x v="0"/>
    <n v="827"/>
    <d v="2023-11-03T00:00:00"/>
    <x v="1"/>
    <x v="0"/>
    <d v="1899-12-30T18:35:20"/>
    <x v="60"/>
    <s v="November"/>
    <d v="1899-12-30T14:01:49"/>
    <x v="60"/>
    <x v="1"/>
    <n v="4135"/>
    <n v="9"/>
  </r>
  <r>
    <x v="834"/>
    <x v="85"/>
    <n v="32"/>
    <x v="16"/>
    <x v="4"/>
    <x v="1"/>
    <n v="1792"/>
    <d v="2023-07-05T00:00:00"/>
    <x v="2"/>
    <x v="5"/>
    <d v="1899-12-30T17:35:53"/>
    <x v="221"/>
    <s v="July"/>
    <d v="1899-12-30T23:34:11"/>
    <x v="263"/>
    <x v="2"/>
    <n v="3584"/>
    <n v="1"/>
  </r>
  <r>
    <x v="835"/>
    <x v="37"/>
    <n v="44"/>
    <x v="39"/>
    <x v="5"/>
    <x v="0"/>
    <n v="794"/>
    <d v="2023-11-08T00:00:00"/>
    <x v="1"/>
    <x v="5"/>
    <d v="1899-12-30T02:36:05"/>
    <x v="108"/>
    <s v="November"/>
    <d v="1899-12-30T03:11:27"/>
    <x v="279"/>
    <x v="1"/>
    <n v="3970"/>
    <n v="3"/>
  </r>
  <r>
    <x v="836"/>
    <x v="39"/>
    <n v="14"/>
    <x v="2"/>
    <x v="2"/>
    <x v="0"/>
    <n v="1915"/>
    <d v="2023-12-19T00:00:00"/>
    <x v="6"/>
    <x v="1"/>
    <d v="1899-12-30T12:57:12"/>
    <x v="229"/>
    <s v="December"/>
    <d v="1899-12-30T00:00:36"/>
    <x v="188"/>
    <x v="2"/>
    <n v="9575"/>
    <n v="2"/>
  </r>
  <r>
    <x v="837"/>
    <x v="92"/>
    <n v="19"/>
    <x v="27"/>
    <x v="6"/>
    <x v="3"/>
    <n v="1234"/>
    <d v="2023-02-09T00:00:00"/>
    <x v="0"/>
    <x v="6"/>
    <d v="1899-12-30T10:18:01"/>
    <x v="197"/>
    <s v="February"/>
    <d v="1899-12-30T06:09:40"/>
    <x v="5"/>
    <x v="3"/>
    <n v="3702"/>
    <n v="8"/>
  </r>
  <r>
    <x v="838"/>
    <x v="16"/>
    <n v="51"/>
    <x v="38"/>
    <x v="4"/>
    <x v="2"/>
    <n v="1084"/>
    <d v="2023-11-02T00:00:00"/>
    <x v="1"/>
    <x v="6"/>
    <d v="1899-12-30T03:51:23"/>
    <x v="60"/>
    <s v="November"/>
    <d v="1899-12-30T01:49:51"/>
    <x v="295"/>
    <x v="6"/>
    <n v="4336"/>
    <n v="10"/>
  </r>
  <r>
    <x v="839"/>
    <x v="36"/>
    <n v="67"/>
    <x v="0"/>
    <x v="0"/>
    <x v="1"/>
    <n v="1374"/>
    <d v="2023-01-13T00:00:00"/>
    <x v="8"/>
    <x v="0"/>
    <d v="1899-12-30T19:19:35"/>
    <x v="194"/>
    <s v="January"/>
    <d v="1899-12-30T11:50:30"/>
    <x v="185"/>
    <x v="0"/>
    <n v="2748"/>
    <n v="3"/>
  </r>
  <r>
    <x v="840"/>
    <x v="20"/>
    <n v="26"/>
    <x v="42"/>
    <x v="2"/>
    <x v="0"/>
    <n v="289"/>
    <d v="2023-03-07T00:00:00"/>
    <x v="5"/>
    <x v="1"/>
    <d v="1899-12-30T06:16:00"/>
    <x v="21"/>
    <s v="March"/>
    <d v="1899-12-30T23:16:39"/>
    <x v="163"/>
    <x v="5"/>
    <n v="1445"/>
    <n v="5"/>
  </r>
  <r>
    <x v="841"/>
    <x v="79"/>
    <n v="46"/>
    <x v="62"/>
    <x v="3"/>
    <x v="1"/>
    <n v="758"/>
    <d v="2023-12-29T00:00:00"/>
    <x v="6"/>
    <x v="0"/>
    <d v="1899-12-30T17:11:33"/>
    <x v="69"/>
    <s v="January"/>
    <d v="1899-12-30T02:27:46"/>
    <x v="153"/>
    <x v="0"/>
    <n v="1516"/>
    <n v="3"/>
  </r>
  <r>
    <x v="842"/>
    <x v="78"/>
    <n v="68"/>
    <x v="63"/>
    <x v="4"/>
    <x v="4"/>
    <n v="597"/>
    <d v="2023-02-11T00:00:00"/>
    <x v="0"/>
    <x v="3"/>
    <d v="1899-12-30T21:46:03"/>
    <x v="17"/>
    <s v="February"/>
    <d v="1899-12-30T19:27:09"/>
    <x v="207"/>
    <x v="3"/>
    <n v="597"/>
    <n v="1"/>
  </r>
  <r>
    <x v="843"/>
    <x v="30"/>
    <n v="51"/>
    <x v="38"/>
    <x v="4"/>
    <x v="4"/>
    <n v="1084"/>
    <d v="2023-10-09T00:00:00"/>
    <x v="10"/>
    <x v="2"/>
    <d v="1899-12-30T19:12:55"/>
    <x v="266"/>
    <s v="October"/>
    <d v="1899-12-30T09:48:27"/>
    <x v="106"/>
    <x v="6"/>
    <n v="1084"/>
    <n v="1"/>
  </r>
  <r>
    <x v="844"/>
    <x v="57"/>
    <n v="57"/>
    <x v="57"/>
    <x v="2"/>
    <x v="0"/>
    <n v="1582"/>
    <d v="2023-10-17T00:00:00"/>
    <x v="10"/>
    <x v="1"/>
    <d v="1899-12-30T18:51:16"/>
    <x v="167"/>
    <s v="October"/>
    <d v="1899-12-30T02:55:03"/>
    <x v="46"/>
    <x v="2"/>
    <n v="7910"/>
    <n v="8"/>
  </r>
  <r>
    <x v="845"/>
    <x v="13"/>
    <n v="15"/>
    <x v="51"/>
    <x v="0"/>
    <x v="2"/>
    <n v="1488"/>
    <d v="2023-11-28T00:00:00"/>
    <x v="1"/>
    <x v="1"/>
    <d v="1899-12-30T02:47:39"/>
    <x v="267"/>
    <s v="December"/>
    <d v="1899-12-30T06:56:03"/>
    <x v="163"/>
    <x v="0"/>
    <n v="5952"/>
    <n v="4"/>
  </r>
  <r>
    <x v="846"/>
    <x v="6"/>
    <n v="44"/>
    <x v="39"/>
    <x v="5"/>
    <x v="2"/>
    <n v="794"/>
    <d v="2023-11-07T00:00:00"/>
    <x v="1"/>
    <x v="1"/>
    <d v="1899-12-30T18:10:17"/>
    <x v="60"/>
    <s v="November"/>
    <d v="1899-12-30T10:21:36"/>
    <x v="149"/>
    <x v="1"/>
    <n v="3176"/>
    <n v="5"/>
  </r>
  <r>
    <x v="847"/>
    <x v="94"/>
    <n v="6"/>
    <x v="20"/>
    <x v="3"/>
    <x v="4"/>
    <n v="1112"/>
    <d v="2023-03-06T00:00:00"/>
    <x v="5"/>
    <x v="2"/>
    <d v="1899-12-30T16:52:57"/>
    <x v="101"/>
    <s v="March"/>
    <d v="1899-12-30T22:26:48"/>
    <x v="268"/>
    <x v="5"/>
    <n v="1112"/>
    <n v="4"/>
  </r>
  <r>
    <x v="848"/>
    <x v="14"/>
    <n v="57"/>
    <x v="57"/>
    <x v="2"/>
    <x v="4"/>
    <n v="1582"/>
    <d v="2023-03-12T00:00:00"/>
    <x v="5"/>
    <x v="4"/>
    <d v="1899-12-30T01:16:48"/>
    <x v="27"/>
    <s v="March"/>
    <d v="1899-12-30T00:50:03"/>
    <x v="22"/>
    <x v="2"/>
    <n v="1582"/>
    <n v="2"/>
  </r>
  <r>
    <x v="849"/>
    <x v="74"/>
    <n v="21"/>
    <x v="8"/>
    <x v="2"/>
    <x v="2"/>
    <n v="1561"/>
    <d v="2023-08-23T00:00:00"/>
    <x v="3"/>
    <x v="5"/>
    <d v="1899-12-30T23:15:17"/>
    <x v="175"/>
    <s v="August"/>
    <d v="1899-12-30T10:31:01"/>
    <x v="54"/>
    <x v="4"/>
    <n v="6244"/>
    <n v="2"/>
  </r>
  <r>
    <x v="850"/>
    <x v="69"/>
    <n v="13"/>
    <x v="64"/>
    <x v="6"/>
    <x v="3"/>
    <n v="1141"/>
    <d v="2023-03-06T00:00:00"/>
    <x v="5"/>
    <x v="2"/>
    <d v="1899-12-30T11:31:57"/>
    <x v="101"/>
    <s v="March"/>
    <d v="1899-12-30T18:17:54"/>
    <x v="296"/>
    <x v="5"/>
    <n v="3423"/>
    <n v="4"/>
  </r>
  <r>
    <x v="851"/>
    <x v="65"/>
    <n v="44"/>
    <x v="39"/>
    <x v="5"/>
    <x v="1"/>
    <n v="794"/>
    <d v="2023-11-11T00:00:00"/>
    <x v="1"/>
    <x v="3"/>
    <d v="1899-12-30T09:41:46"/>
    <x v="6"/>
    <s v="November"/>
    <d v="1899-12-30T14:15:30"/>
    <x v="85"/>
    <x v="1"/>
    <n v="1588"/>
    <n v="3"/>
  </r>
  <r>
    <x v="852"/>
    <x v="49"/>
    <n v="51"/>
    <x v="38"/>
    <x v="4"/>
    <x v="3"/>
    <n v="1084"/>
    <d v="2023-09-17T00:00:00"/>
    <x v="7"/>
    <x v="4"/>
    <d v="1899-12-30T21:14:53"/>
    <x v="179"/>
    <s v="September"/>
    <d v="1899-12-30T14:27:28"/>
    <x v="56"/>
    <x v="6"/>
    <n v="3252"/>
    <n v="6"/>
  </r>
  <r>
    <x v="853"/>
    <x v="82"/>
    <n v="62"/>
    <x v="14"/>
    <x v="2"/>
    <x v="3"/>
    <n v="1356"/>
    <d v="2023-02-27T00:00:00"/>
    <x v="0"/>
    <x v="2"/>
    <d v="1899-12-30T02:00:33"/>
    <x v="149"/>
    <s v="March"/>
    <d v="1899-12-30T02:51:29"/>
    <x v="293"/>
    <x v="5"/>
    <n v="4068"/>
    <n v="3"/>
  </r>
  <r>
    <x v="854"/>
    <x v="47"/>
    <n v="57"/>
    <x v="57"/>
    <x v="2"/>
    <x v="0"/>
    <n v="1582"/>
    <d v="2023-08-07T00:00:00"/>
    <x v="3"/>
    <x v="2"/>
    <d v="1899-12-30T23:50:11"/>
    <x v="268"/>
    <s v="August"/>
    <d v="1899-12-30T20:15:43"/>
    <x v="113"/>
    <x v="2"/>
    <n v="7910"/>
    <n v="10"/>
  </r>
  <r>
    <x v="855"/>
    <x v="43"/>
    <n v="21"/>
    <x v="8"/>
    <x v="2"/>
    <x v="1"/>
    <n v="1561"/>
    <d v="2023-08-27T00:00:00"/>
    <x v="3"/>
    <x v="4"/>
    <d v="1899-12-30T17:40:11"/>
    <x v="66"/>
    <s v="September"/>
    <d v="1899-12-30T16:16:50"/>
    <x v="66"/>
    <x v="4"/>
    <n v="3122"/>
    <n v="6"/>
  </r>
  <r>
    <x v="856"/>
    <x v="55"/>
    <n v="63"/>
    <x v="67"/>
    <x v="1"/>
    <x v="4"/>
    <n v="1348"/>
    <d v="2023-02-09T00:00:00"/>
    <x v="0"/>
    <x v="6"/>
    <d v="1899-12-30T09:22:18"/>
    <x v="3"/>
    <s v="February"/>
    <d v="1899-12-30T14:00:44"/>
    <x v="149"/>
    <x v="6"/>
    <n v="1348"/>
    <n v="9"/>
  </r>
  <r>
    <x v="857"/>
    <x v="33"/>
    <n v="44"/>
    <x v="39"/>
    <x v="5"/>
    <x v="2"/>
    <n v="794"/>
    <d v="2023-11-08T00:00:00"/>
    <x v="1"/>
    <x v="5"/>
    <d v="1899-12-30T01:51:48"/>
    <x v="148"/>
    <s v="November"/>
    <d v="1899-12-30T16:01:24"/>
    <x v="229"/>
    <x v="1"/>
    <n v="3176"/>
    <n v="1"/>
  </r>
  <r>
    <x v="858"/>
    <x v="26"/>
    <n v="43"/>
    <x v="6"/>
    <x v="0"/>
    <x v="4"/>
    <n v="750"/>
    <d v="2023-11-10T00:00:00"/>
    <x v="1"/>
    <x v="0"/>
    <d v="1899-12-30T07:06:21"/>
    <x v="12"/>
    <s v="November"/>
    <d v="1899-12-30T01:46:27"/>
    <x v="68"/>
    <x v="1"/>
    <n v="750"/>
    <n v="5"/>
  </r>
  <r>
    <x v="859"/>
    <x v="25"/>
    <n v="14"/>
    <x v="2"/>
    <x v="2"/>
    <x v="4"/>
    <n v="1915"/>
    <d v="2023-01-10T00:00:00"/>
    <x v="8"/>
    <x v="1"/>
    <d v="1899-12-30T19:29:59"/>
    <x v="201"/>
    <s v="January"/>
    <d v="1899-12-30T13:30:30"/>
    <x v="272"/>
    <x v="2"/>
    <n v="1915"/>
    <n v="3"/>
  </r>
  <r>
    <x v="860"/>
    <x v="69"/>
    <n v="32"/>
    <x v="16"/>
    <x v="4"/>
    <x v="4"/>
    <n v="1792"/>
    <d v="2023-02-09T00:00:00"/>
    <x v="0"/>
    <x v="6"/>
    <d v="1899-12-30T08:19:31"/>
    <x v="16"/>
    <s v="February"/>
    <d v="1899-12-30T02:37:34"/>
    <x v="121"/>
    <x v="2"/>
    <n v="1792"/>
    <n v="5"/>
  </r>
  <r>
    <x v="861"/>
    <x v="77"/>
    <n v="6"/>
    <x v="20"/>
    <x v="3"/>
    <x v="2"/>
    <n v="1112"/>
    <d v="2023-03-07T00:00:00"/>
    <x v="5"/>
    <x v="1"/>
    <d v="1899-12-30T05:51:14"/>
    <x v="137"/>
    <s v="March"/>
    <d v="1899-12-30T08:23:47"/>
    <x v="218"/>
    <x v="5"/>
    <n v="4448"/>
    <n v="8"/>
  </r>
  <r>
    <x v="862"/>
    <x v="9"/>
    <n v="20"/>
    <x v="11"/>
    <x v="2"/>
    <x v="3"/>
    <n v="697"/>
    <d v="2023-06-05T00:00:00"/>
    <x v="11"/>
    <x v="2"/>
    <d v="1899-12-30T09:28:04"/>
    <x v="49"/>
    <s v="June"/>
    <d v="1899-12-30T03:13:05"/>
    <x v="258"/>
    <x v="0"/>
    <n v="2091"/>
    <n v="10"/>
  </r>
  <r>
    <x v="863"/>
    <x v="47"/>
    <n v="11"/>
    <x v="45"/>
    <x v="6"/>
    <x v="4"/>
    <n v="1096"/>
    <d v="2023-02-11T00:00:00"/>
    <x v="0"/>
    <x v="3"/>
    <d v="1899-12-30T19:34:22"/>
    <x v="28"/>
    <s v="February"/>
    <d v="1899-12-30T08:05:38"/>
    <x v="130"/>
    <x v="3"/>
    <n v="1096"/>
    <n v="4"/>
  </r>
  <r>
    <x v="864"/>
    <x v="57"/>
    <n v="19"/>
    <x v="27"/>
    <x v="6"/>
    <x v="4"/>
    <n v="1234"/>
    <d v="2023-02-12T00:00:00"/>
    <x v="0"/>
    <x v="4"/>
    <d v="1899-12-30T18:09:14"/>
    <x v="43"/>
    <s v="February"/>
    <d v="1899-12-30T06:38:00"/>
    <x v="116"/>
    <x v="3"/>
    <n v="1234"/>
    <n v="1"/>
  </r>
  <r>
    <x v="865"/>
    <x v="99"/>
    <n v="15"/>
    <x v="51"/>
    <x v="0"/>
    <x v="0"/>
    <n v="1488"/>
    <d v="2023-08-10T00:00:00"/>
    <x v="3"/>
    <x v="6"/>
    <d v="1899-12-30T20:06:37"/>
    <x v="269"/>
    <s v="August"/>
    <d v="1899-12-30T08:02:41"/>
    <x v="125"/>
    <x v="0"/>
    <n v="7440"/>
    <n v="1"/>
  </r>
  <r>
    <x v="866"/>
    <x v="38"/>
    <n v="48"/>
    <x v="29"/>
    <x v="2"/>
    <x v="4"/>
    <n v="433"/>
    <d v="2023-11-02T00:00:00"/>
    <x v="1"/>
    <x v="6"/>
    <d v="1899-12-30T12:22:06"/>
    <x v="29"/>
    <s v="November"/>
    <d v="1899-12-30T05:08:47"/>
    <x v="154"/>
    <x v="1"/>
    <n v="433"/>
    <n v="2"/>
  </r>
  <r>
    <x v="867"/>
    <x v="9"/>
    <n v="32"/>
    <x v="16"/>
    <x v="4"/>
    <x v="4"/>
    <n v="1792"/>
    <d v="2023-08-22T00:00:00"/>
    <x v="3"/>
    <x v="1"/>
    <d v="1899-12-30T01:01:17"/>
    <x v="13"/>
    <s v="August"/>
    <d v="1899-12-30T10:09:12"/>
    <x v="65"/>
    <x v="2"/>
    <n v="1792"/>
    <n v="8"/>
  </r>
  <r>
    <x v="868"/>
    <x v="57"/>
    <n v="3"/>
    <x v="52"/>
    <x v="2"/>
    <x v="0"/>
    <n v="1534"/>
    <d v="2023-02-06T00:00:00"/>
    <x v="0"/>
    <x v="2"/>
    <d v="1899-12-30T10:03:19"/>
    <x v="68"/>
    <s v="February"/>
    <d v="1899-12-30T23:16:28"/>
    <x v="240"/>
    <x v="3"/>
    <n v="7670"/>
    <n v="5"/>
  </r>
  <r>
    <x v="869"/>
    <x v="21"/>
    <n v="43"/>
    <x v="6"/>
    <x v="0"/>
    <x v="0"/>
    <n v="750"/>
    <d v="2023-11-05T00:00:00"/>
    <x v="1"/>
    <x v="4"/>
    <d v="1899-12-30T15:13:46"/>
    <x v="112"/>
    <s v="November"/>
    <d v="1899-12-30T06:49:39"/>
    <x v="67"/>
    <x v="1"/>
    <n v="3750"/>
    <n v="2"/>
  </r>
  <r>
    <x v="870"/>
    <x v="52"/>
    <n v="15"/>
    <x v="51"/>
    <x v="0"/>
    <x v="4"/>
    <n v="1488"/>
    <d v="2023-06-11T00:00:00"/>
    <x v="11"/>
    <x v="4"/>
    <d v="1899-12-30T06:05:30"/>
    <x v="49"/>
    <s v="June"/>
    <d v="1899-12-30T20:56:56"/>
    <x v="220"/>
    <x v="0"/>
    <n v="1488"/>
    <n v="4"/>
  </r>
  <r>
    <x v="871"/>
    <x v="76"/>
    <n v="13"/>
    <x v="64"/>
    <x v="6"/>
    <x v="1"/>
    <n v="1141"/>
    <d v="2023-03-05T00:00:00"/>
    <x v="5"/>
    <x v="4"/>
    <d v="1899-12-30T20:27:57"/>
    <x v="101"/>
    <s v="March"/>
    <d v="1899-12-30T01:32:23"/>
    <x v="109"/>
    <x v="5"/>
    <n v="2282"/>
    <n v="5"/>
  </r>
  <r>
    <x v="872"/>
    <x v="80"/>
    <n v="64"/>
    <x v="61"/>
    <x v="4"/>
    <x v="2"/>
    <n v="1878"/>
    <d v="2023-08-26T00:00:00"/>
    <x v="3"/>
    <x v="3"/>
    <d v="1899-12-30T10:57:00"/>
    <x v="109"/>
    <s v="September"/>
    <d v="1899-12-30T15:45:27"/>
    <x v="27"/>
    <x v="4"/>
    <n v="7512"/>
    <n v="10"/>
  </r>
  <r>
    <x v="873"/>
    <x v="53"/>
    <n v="68"/>
    <x v="63"/>
    <x v="4"/>
    <x v="4"/>
    <n v="597"/>
    <d v="2023-02-11T00:00:00"/>
    <x v="0"/>
    <x v="3"/>
    <d v="1899-12-30T12:42:30"/>
    <x v="80"/>
    <s v="February"/>
    <d v="1899-12-30T17:35:44"/>
    <x v="114"/>
    <x v="3"/>
    <n v="597"/>
    <n v="10"/>
  </r>
  <r>
    <x v="874"/>
    <x v="17"/>
    <n v="13"/>
    <x v="64"/>
    <x v="6"/>
    <x v="4"/>
    <n v="1141"/>
    <d v="2023-03-05T00:00:00"/>
    <x v="5"/>
    <x v="4"/>
    <d v="1899-12-30T21:22:31"/>
    <x v="27"/>
    <s v="March"/>
    <d v="1899-12-30T19:57:46"/>
    <x v="80"/>
    <x v="5"/>
    <n v="1141"/>
    <n v="9"/>
  </r>
  <r>
    <x v="875"/>
    <x v="82"/>
    <n v="4"/>
    <x v="44"/>
    <x v="1"/>
    <x v="2"/>
    <n v="1199"/>
    <d v="2023-11-06T00:00:00"/>
    <x v="1"/>
    <x v="2"/>
    <d v="1899-12-30T09:38:36"/>
    <x v="6"/>
    <s v="November"/>
    <d v="1899-12-30T20:47:44"/>
    <x v="282"/>
    <x v="1"/>
    <n v="4796"/>
    <n v="8"/>
  </r>
  <r>
    <x v="876"/>
    <x v="20"/>
    <n v="46"/>
    <x v="62"/>
    <x v="3"/>
    <x v="0"/>
    <n v="758"/>
    <d v="2023-03-09T00:00:00"/>
    <x v="5"/>
    <x v="6"/>
    <d v="1899-12-30T23:16:16"/>
    <x v="99"/>
    <s v="March"/>
    <d v="1899-12-30T12:27:24"/>
    <x v="240"/>
    <x v="0"/>
    <n v="3790"/>
    <n v="9"/>
  </r>
  <r>
    <x v="877"/>
    <x v="50"/>
    <n v="4"/>
    <x v="44"/>
    <x v="1"/>
    <x v="1"/>
    <n v="1199"/>
    <d v="2023-11-10T00:00:00"/>
    <x v="1"/>
    <x v="0"/>
    <d v="1899-12-30T16:36:59"/>
    <x v="161"/>
    <s v="November"/>
    <d v="1899-12-30T16:45:34"/>
    <x v="296"/>
    <x v="1"/>
    <n v="2398"/>
    <n v="9"/>
  </r>
  <r>
    <x v="878"/>
    <x v="74"/>
    <n v="33"/>
    <x v="59"/>
    <x v="2"/>
    <x v="1"/>
    <n v="314"/>
    <d v="2023-02-07T00:00:00"/>
    <x v="0"/>
    <x v="1"/>
    <d v="1899-12-30T05:34:34"/>
    <x v="145"/>
    <s v="February"/>
    <d v="1899-12-30T11:27:38"/>
    <x v="91"/>
    <x v="3"/>
    <n v="628"/>
    <n v="3"/>
  </r>
  <r>
    <x v="879"/>
    <x v="8"/>
    <n v="34"/>
    <x v="41"/>
    <x v="4"/>
    <x v="0"/>
    <n v="1335"/>
    <d v="2023-08-29T00:00:00"/>
    <x v="3"/>
    <x v="1"/>
    <d v="1899-12-30T22:14:26"/>
    <x v="53"/>
    <s v="August"/>
    <d v="1899-12-30T04:54:50"/>
    <x v="80"/>
    <x v="4"/>
    <n v="6675"/>
    <n v="2"/>
  </r>
  <r>
    <x v="880"/>
    <x v="46"/>
    <n v="28"/>
    <x v="4"/>
    <x v="1"/>
    <x v="2"/>
    <n v="1778"/>
    <d v="2023-08-21T00:00:00"/>
    <x v="3"/>
    <x v="2"/>
    <d v="1899-12-30T15:17:42"/>
    <x v="56"/>
    <s v="August"/>
    <d v="1899-12-30T12:59:45"/>
    <x v="31"/>
    <x v="4"/>
    <n v="7112"/>
    <n v="7"/>
  </r>
  <r>
    <x v="881"/>
    <x v="85"/>
    <n v="64"/>
    <x v="61"/>
    <x v="4"/>
    <x v="1"/>
    <n v="1878"/>
    <d v="2023-08-29T00:00:00"/>
    <x v="3"/>
    <x v="1"/>
    <d v="1899-12-30T05:32:40"/>
    <x v="54"/>
    <s v="September"/>
    <d v="1899-12-30T16:14:53"/>
    <x v="144"/>
    <x v="4"/>
    <n v="3756"/>
    <n v="10"/>
  </r>
  <r>
    <x v="882"/>
    <x v="20"/>
    <n v="36"/>
    <x v="37"/>
    <x v="5"/>
    <x v="2"/>
    <n v="203"/>
    <d v="2023-07-16T00:00:00"/>
    <x v="2"/>
    <x v="4"/>
    <d v="1899-12-30T19:44:04"/>
    <x v="204"/>
    <s v="July"/>
    <d v="1899-12-30T21:03:02"/>
    <x v="76"/>
    <x v="2"/>
    <n v="812"/>
    <n v="1"/>
  </r>
  <r>
    <x v="883"/>
    <x v="22"/>
    <n v="10"/>
    <x v="22"/>
    <x v="3"/>
    <x v="3"/>
    <n v="259"/>
    <d v="2023-03-18T00:00:00"/>
    <x v="5"/>
    <x v="3"/>
    <d v="1899-12-30T22:15:44"/>
    <x v="113"/>
    <s v="March"/>
    <d v="1899-12-30T18:59:55"/>
    <x v="197"/>
    <x v="2"/>
    <n v="777"/>
    <n v="9"/>
  </r>
  <r>
    <x v="884"/>
    <x v="75"/>
    <n v="42"/>
    <x v="18"/>
    <x v="1"/>
    <x v="1"/>
    <n v="1744"/>
    <d v="2023-10-17T00:00:00"/>
    <x v="10"/>
    <x v="1"/>
    <d v="1899-12-30T19:52:58"/>
    <x v="256"/>
    <s v="October"/>
    <d v="1899-12-30T18:46:10"/>
    <x v="28"/>
    <x v="6"/>
    <n v="3488"/>
    <n v="4"/>
  </r>
  <r>
    <x v="885"/>
    <x v="41"/>
    <n v="53"/>
    <x v="65"/>
    <x v="1"/>
    <x v="3"/>
    <n v="1672"/>
    <d v="2023-08-21T00:00:00"/>
    <x v="3"/>
    <x v="2"/>
    <d v="1899-12-30T08:23:02"/>
    <x v="175"/>
    <s v="August"/>
    <d v="1899-12-30T19:52:35"/>
    <x v="6"/>
    <x v="4"/>
    <n v="5016"/>
    <n v="4"/>
  </r>
  <r>
    <x v="886"/>
    <x v="22"/>
    <n v="51"/>
    <x v="38"/>
    <x v="4"/>
    <x v="3"/>
    <n v="1084"/>
    <d v="2023-06-29T00:00:00"/>
    <x v="11"/>
    <x v="6"/>
    <d v="1899-12-30T17:20:29"/>
    <x v="155"/>
    <s v="June"/>
    <d v="1899-12-30T09:55:50"/>
    <x v="290"/>
    <x v="6"/>
    <n v="3252"/>
    <n v="1"/>
  </r>
  <r>
    <x v="887"/>
    <x v="38"/>
    <n v="69"/>
    <x v="55"/>
    <x v="3"/>
    <x v="3"/>
    <n v="998"/>
    <d v="2023-03-06T00:00:00"/>
    <x v="5"/>
    <x v="2"/>
    <d v="1899-12-30T11:34:43"/>
    <x v="57"/>
    <s v="March"/>
    <d v="1899-12-30T15:14:09"/>
    <x v="265"/>
    <x v="5"/>
    <n v="2994"/>
    <n v="5"/>
  </r>
  <r>
    <x v="888"/>
    <x v="49"/>
    <n v="36"/>
    <x v="37"/>
    <x v="5"/>
    <x v="3"/>
    <n v="203"/>
    <d v="2023-08-16T00:00:00"/>
    <x v="3"/>
    <x v="5"/>
    <d v="1899-12-30T23:06:44"/>
    <x v="250"/>
    <s v="August"/>
    <d v="1899-12-30T10:05:02"/>
    <x v="184"/>
    <x v="2"/>
    <n v="609"/>
    <n v="2"/>
  </r>
  <r>
    <x v="889"/>
    <x v="25"/>
    <n v="45"/>
    <x v="5"/>
    <x v="0"/>
    <x v="2"/>
    <n v="722"/>
    <d v="2023-03-23T00:00:00"/>
    <x v="5"/>
    <x v="6"/>
    <d v="1899-12-30T23:25:20"/>
    <x v="113"/>
    <s v="March"/>
    <d v="1899-12-30T11:38:15"/>
    <x v="233"/>
    <x v="2"/>
    <n v="2888"/>
    <n v="4"/>
  </r>
  <r>
    <x v="890"/>
    <x v="80"/>
    <n v="58"/>
    <x v="3"/>
    <x v="3"/>
    <x v="1"/>
    <n v="1492"/>
    <d v="2023-02-08T00:00:00"/>
    <x v="0"/>
    <x v="5"/>
    <d v="1899-12-30T14:56:43"/>
    <x v="33"/>
    <s v="February"/>
    <d v="1899-12-30T23:54:45"/>
    <x v="64"/>
    <x v="3"/>
    <n v="2984"/>
    <n v="8"/>
  </r>
  <r>
    <x v="891"/>
    <x v="98"/>
    <n v="11"/>
    <x v="45"/>
    <x v="6"/>
    <x v="2"/>
    <n v="1096"/>
    <d v="2023-02-06T00:00:00"/>
    <x v="0"/>
    <x v="2"/>
    <d v="1899-12-30T18:33:04"/>
    <x v="85"/>
    <s v="February"/>
    <d v="1899-12-30T01:26:54"/>
    <x v="60"/>
    <x v="3"/>
    <n v="4384"/>
    <n v="1"/>
  </r>
  <r>
    <x v="892"/>
    <x v="53"/>
    <n v="63"/>
    <x v="67"/>
    <x v="1"/>
    <x v="3"/>
    <n v="1348"/>
    <d v="2023-03-28T00:00:00"/>
    <x v="5"/>
    <x v="1"/>
    <d v="1899-12-30T15:40:42"/>
    <x v="270"/>
    <s v="April"/>
    <d v="1899-12-30T14:49:23"/>
    <x v="262"/>
    <x v="6"/>
    <n v="4044"/>
    <n v="10"/>
  </r>
  <r>
    <x v="893"/>
    <x v="74"/>
    <n v="54"/>
    <x v="30"/>
    <x v="3"/>
    <x v="2"/>
    <n v="1236"/>
    <d v="2023-10-14T00:00:00"/>
    <x v="10"/>
    <x v="3"/>
    <d v="1899-12-30T14:05:43"/>
    <x v="256"/>
    <s v="October"/>
    <d v="1899-12-30T23:10:21"/>
    <x v="170"/>
    <x v="0"/>
    <n v="4944"/>
    <n v="7"/>
  </r>
  <r>
    <x v="894"/>
    <x v="31"/>
    <n v="45"/>
    <x v="5"/>
    <x v="0"/>
    <x v="4"/>
    <n v="722"/>
    <d v="2023-03-28T00:00:00"/>
    <x v="5"/>
    <x v="1"/>
    <d v="1899-12-30T18:45:56"/>
    <x v="271"/>
    <s v="April"/>
    <d v="1899-12-30T02:53:40"/>
    <x v="124"/>
    <x v="2"/>
    <n v="722"/>
    <n v="9"/>
  </r>
  <r>
    <x v="895"/>
    <x v="55"/>
    <n v="46"/>
    <x v="62"/>
    <x v="3"/>
    <x v="4"/>
    <n v="758"/>
    <d v="2023-04-05T00:00:00"/>
    <x v="9"/>
    <x v="5"/>
    <d v="1899-12-30T04:13:55"/>
    <x v="272"/>
    <s v="April"/>
    <d v="1899-12-30T12:50:15"/>
    <x v="40"/>
    <x v="0"/>
    <n v="758"/>
    <n v="5"/>
  </r>
  <r>
    <x v="896"/>
    <x v="36"/>
    <n v="34"/>
    <x v="41"/>
    <x v="4"/>
    <x v="0"/>
    <n v="1335"/>
    <d v="2023-08-25T00:00:00"/>
    <x v="3"/>
    <x v="0"/>
    <d v="1899-12-30T07:53:21"/>
    <x v="141"/>
    <s v="September"/>
    <d v="1899-12-30T14:02:50"/>
    <x v="284"/>
    <x v="4"/>
    <n v="6675"/>
    <n v="7"/>
  </r>
  <r>
    <x v="897"/>
    <x v="21"/>
    <n v="52"/>
    <x v="15"/>
    <x v="0"/>
    <x v="4"/>
    <n v="236"/>
    <d v="2023-02-09T00:00:00"/>
    <x v="0"/>
    <x v="6"/>
    <d v="1899-12-30T06:18:52"/>
    <x v="43"/>
    <s v="February"/>
    <d v="1899-12-30T23:13:42"/>
    <x v="297"/>
    <x v="3"/>
    <n v="236"/>
    <n v="4"/>
  </r>
  <r>
    <x v="898"/>
    <x v="17"/>
    <n v="63"/>
    <x v="67"/>
    <x v="1"/>
    <x v="4"/>
    <n v="1348"/>
    <d v="2023-12-17T00:00:00"/>
    <x v="6"/>
    <x v="4"/>
    <d v="1899-12-30T21:29:55"/>
    <x v="273"/>
    <s v="December"/>
    <d v="1899-12-30T00:16:41"/>
    <x v="167"/>
    <x v="6"/>
    <n v="1348"/>
    <n v="7"/>
  </r>
  <r>
    <x v="899"/>
    <x v="80"/>
    <n v="57"/>
    <x v="57"/>
    <x v="2"/>
    <x v="3"/>
    <n v="1582"/>
    <d v="2023-04-07T00:00:00"/>
    <x v="9"/>
    <x v="0"/>
    <d v="1899-12-30T15:09:00"/>
    <x v="172"/>
    <s v="April"/>
    <d v="1899-12-30T08:30:53"/>
    <x v="247"/>
    <x v="2"/>
    <n v="4746"/>
    <n v="8"/>
  </r>
  <r>
    <x v="900"/>
    <x v="87"/>
    <n v="27"/>
    <x v="7"/>
    <x v="3"/>
    <x v="2"/>
    <n v="548"/>
    <d v="2023-08-22T00:00:00"/>
    <x v="3"/>
    <x v="1"/>
    <d v="1899-12-30T07:55:38"/>
    <x v="42"/>
    <s v="August"/>
    <d v="1899-12-30T01:32:30"/>
    <x v="135"/>
    <x v="4"/>
    <n v="2192"/>
    <n v="5"/>
  </r>
  <r>
    <x v="901"/>
    <x v="98"/>
    <n v="32"/>
    <x v="16"/>
    <x v="4"/>
    <x v="0"/>
    <n v="1792"/>
    <d v="2023-03-22T00:00:00"/>
    <x v="5"/>
    <x v="5"/>
    <d v="1899-12-30T13:29:55"/>
    <x v="274"/>
    <s v="March"/>
    <d v="1899-12-30T12:24:01"/>
    <x v="121"/>
    <x v="2"/>
    <n v="8960"/>
    <n v="2"/>
  </r>
  <r>
    <x v="902"/>
    <x v="31"/>
    <n v="63"/>
    <x v="67"/>
    <x v="1"/>
    <x v="1"/>
    <n v="1348"/>
    <d v="2023-09-15T00:00:00"/>
    <x v="7"/>
    <x v="0"/>
    <d v="1899-12-30T17:42:23"/>
    <x v="67"/>
    <s v="September"/>
    <d v="1899-12-30T19:28:38"/>
    <x v="251"/>
    <x v="6"/>
    <n v="2696"/>
    <n v="7"/>
  </r>
  <r>
    <x v="903"/>
    <x v="14"/>
    <n v="2"/>
    <x v="50"/>
    <x v="5"/>
    <x v="2"/>
    <n v="441"/>
    <d v="2023-02-12T00:00:00"/>
    <x v="0"/>
    <x v="4"/>
    <d v="1899-12-30T22:05:48"/>
    <x v="197"/>
    <s v="February"/>
    <d v="1899-12-30T01:05:37"/>
    <x v="235"/>
    <x v="3"/>
    <n v="1764"/>
    <n v="5"/>
  </r>
  <r>
    <x v="904"/>
    <x v="32"/>
    <n v="58"/>
    <x v="3"/>
    <x v="3"/>
    <x v="4"/>
    <n v="1492"/>
    <d v="2023-02-10T00:00:00"/>
    <x v="0"/>
    <x v="0"/>
    <d v="1899-12-30T19:31:35"/>
    <x v="33"/>
    <s v="February"/>
    <d v="1899-12-30T08:32:14"/>
    <x v="86"/>
    <x v="3"/>
    <n v="1492"/>
    <n v="6"/>
  </r>
  <r>
    <x v="905"/>
    <x v="60"/>
    <n v="49"/>
    <x v="32"/>
    <x v="2"/>
    <x v="3"/>
    <n v="903"/>
    <d v="2023-02-06T00:00:00"/>
    <x v="0"/>
    <x v="2"/>
    <d v="1899-12-30T01:16:20"/>
    <x v="33"/>
    <s v="February"/>
    <d v="1899-12-30T09:14:48"/>
    <x v="161"/>
    <x v="3"/>
    <n v="2709"/>
    <n v="10"/>
  </r>
  <r>
    <x v="906"/>
    <x v="33"/>
    <n v="30"/>
    <x v="19"/>
    <x v="2"/>
    <x v="1"/>
    <n v="751"/>
    <d v="2023-04-19T00:00:00"/>
    <x v="9"/>
    <x v="5"/>
    <d v="1899-12-30T21:36:41"/>
    <x v="25"/>
    <s v="April"/>
    <d v="1899-12-30T11:12:03"/>
    <x v="83"/>
    <x v="0"/>
    <n v="1502"/>
    <n v="6"/>
  </r>
  <r>
    <x v="907"/>
    <x v="18"/>
    <n v="28"/>
    <x v="4"/>
    <x v="1"/>
    <x v="0"/>
    <n v="1778"/>
    <d v="2023-08-22T00:00:00"/>
    <x v="3"/>
    <x v="1"/>
    <d v="1899-12-30T15:51:25"/>
    <x v="152"/>
    <s v="August"/>
    <d v="1899-12-30T22:50:08"/>
    <x v="85"/>
    <x v="4"/>
    <n v="8890"/>
    <n v="2"/>
  </r>
  <r>
    <x v="908"/>
    <x v="75"/>
    <n v="42"/>
    <x v="18"/>
    <x v="1"/>
    <x v="4"/>
    <n v="1744"/>
    <d v="2023-11-04T00:00:00"/>
    <x v="1"/>
    <x v="3"/>
    <d v="1899-12-30T07:43:51"/>
    <x v="74"/>
    <s v="November"/>
    <d v="1899-12-30T22:25:25"/>
    <x v="61"/>
    <x v="6"/>
    <n v="1744"/>
    <n v="4"/>
  </r>
  <r>
    <x v="909"/>
    <x v="31"/>
    <n v="55"/>
    <x v="60"/>
    <x v="4"/>
    <x v="2"/>
    <n v="1904"/>
    <d v="2023-08-26T00:00:00"/>
    <x v="3"/>
    <x v="3"/>
    <d v="1899-12-30T02:03:23"/>
    <x v="126"/>
    <s v="September"/>
    <d v="1899-12-30T17:03:10"/>
    <x v="132"/>
    <x v="4"/>
    <n v="7616"/>
    <n v="9"/>
  </r>
  <r>
    <x v="910"/>
    <x v="27"/>
    <n v="22"/>
    <x v="34"/>
    <x v="4"/>
    <x v="2"/>
    <n v="1639"/>
    <d v="2023-01-23T00:00:00"/>
    <x v="8"/>
    <x v="2"/>
    <d v="1899-12-30T05:18:52"/>
    <x v="187"/>
    <s v="January"/>
    <d v="1899-12-30T01:35:19"/>
    <x v="43"/>
    <x v="6"/>
    <n v="6556"/>
    <n v="5"/>
  </r>
  <r>
    <x v="911"/>
    <x v="52"/>
    <n v="9"/>
    <x v="21"/>
    <x v="2"/>
    <x v="2"/>
    <n v="1605"/>
    <d v="2023-08-29T00:00:00"/>
    <x v="3"/>
    <x v="1"/>
    <d v="1899-12-30T03:09:59"/>
    <x v="117"/>
    <s v="September"/>
    <d v="1899-12-30T11:36:14"/>
    <x v="222"/>
    <x v="4"/>
    <n v="6420"/>
    <n v="8"/>
  </r>
  <r>
    <x v="912"/>
    <x v="74"/>
    <n v="56"/>
    <x v="8"/>
    <x v="0"/>
    <x v="0"/>
    <n v="1272"/>
    <d v="2023-12-10T00:00:00"/>
    <x v="6"/>
    <x v="4"/>
    <d v="1899-12-30T18:39:24"/>
    <x v="199"/>
    <s v="December"/>
    <d v="1899-12-30T05:37:07"/>
    <x v="112"/>
    <x v="0"/>
    <n v="6360"/>
    <n v="2"/>
  </r>
  <r>
    <x v="913"/>
    <x v="66"/>
    <n v="33"/>
    <x v="59"/>
    <x v="2"/>
    <x v="2"/>
    <n v="314"/>
    <d v="2023-02-09T00:00:00"/>
    <x v="0"/>
    <x v="6"/>
    <d v="1899-12-30T14:52:18"/>
    <x v="16"/>
    <s v="February"/>
    <d v="1899-12-30T09:47:20"/>
    <x v="124"/>
    <x v="3"/>
    <n v="1256"/>
    <n v="5"/>
  </r>
  <r>
    <x v="914"/>
    <x v="38"/>
    <n v="35"/>
    <x v="31"/>
    <x v="2"/>
    <x v="4"/>
    <n v="1865"/>
    <d v="2023-03-06T00:00:00"/>
    <x v="5"/>
    <x v="2"/>
    <d v="1899-12-30T21:12:40"/>
    <x v="27"/>
    <s v="March"/>
    <d v="1899-12-30T05:32:37"/>
    <x v="236"/>
    <x v="5"/>
    <n v="1865"/>
    <n v="8"/>
  </r>
  <r>
    <x v="915"/>
    <x v="23"/>
    <n v="33"/>
    <x v="59"/>
    <x v="2"/>
    <x v="1"/>
    <n v="314"/>
    <d v="2023-02-06T00:00:00"/>
    <x v="0"/>
    <x v="2"/>
    <d v="1899-12-30T04:23:09"/>
    <x v="16"/>
    <s v="February"/>
    <d v="1899-12-30T21:19:24"/>
    <x v="54"/>
    <x v="3"/>
    <n v="628"/>
    <n v="8"/>
  </r>
  <r>
    <x v="916"/>
    <x v="91"/>
    <n v="12"/>
    <x v="17"/>
    <x v="5"/>
    <x v="3"/>
    <n v="672"/>
    <d v="2023-01-24T00:00:00"/>
    <x v="8"/>
    <x v="1"/>
    <d v="1899-12-30T05:56:54"/>
    <x v="275"/>
    <s v="January"/>
    <d v="1899-12-30T11:04:23"/>
    <x v="149"/>
    <x v="0"/>
    <n v="2016"/>
    <n v="5"/>
  </r>
  <r>
    <x v="917"/>
    <x v="67"/>
    <n v="19"/>
    <x v="27"/>
    <x v="6"/>
    <x v="1"/>
    <n v="1234"/>
    <d v="2023-02-12T00:00:00"/>
    <x v="0"/>
    <x v="4"/>
    <d v="1899-12-30T18:13:06"/>
    <x v="80"/>
    <s v="February"/>
    <d v="1899-12-30T22:02:06"/>
    <x v="278"/>
    <x v="3"/>
    <n v="2468"/>
    <n v="9"/>
  </r>
  <r>
    <x v="918"/>
    <x v="56"/>
    <n v="35"/>
    <x v="31"/>
    <x v="2"/>
    <x v="0"/>
    <n v="1865"/>
    <d v="2023-02-28T00:00:00"/>
    <x v="0"/>
    <x v="1"/>
    <d v="1899-12-30T08:27:53"/>
    <x v="11"/>
    <s v="March"/>
    <d v="1899-12-30T00:05:29"/>
    <x v="42"/>
    <x v="5"/>
    <n v="9325"/>
    <n v="4"/>
  </r>
  <r>
    <x v="919"/>
    <x v="68"/>
    <n v="45"/>
    <x v="5"/>
    <x v="0"/>
    <x v="4"/>
    <n v="722"/>
    <d v="2023-06-29T00:00:00"/>
    <x v="11"/>
    <x v="6"/>
    <d v="1899-12-30T20:23:05"/>
    <x v="114"/>
    <s v="July"/>
    <d v="1899-12-30T23:41:37"/>
    <x v="89"/>
    <x v="2"/>
    <n v="722"/>
    <n v="9"/>
  </r>
  <r>
    <x v="920"/>
    <x v="4"/>
    <n v="23"/>
    <x v="13"/>
    <x v="1"/>
    <x v="2"/>
    <n v="1098"/>
    <d v="2023-09-18T00:00:00"/>
    <x v="7"/>
    <x v="2"/>
    <d v="1899-12-30T13:52:40"/>
    <x v="179"/>
    <s v="September"/>
    <d v="1899-12-30T07:22:26"/>
    <x v="222"/>
    <x v="0"/>
    <n v="4392"/>
    <n v="5"/>
  </r>
  <r>
    <x v="921"/>
    <x v="6"/>
    <n v="23"/>
    <x v="13"/>
    <x v="1"/>
    <x v="4"/>
    <n v="1098"/>
    <d v="2023-12-14T00:00:00"/>
    <x v="6"/>
    <x v="6"/>
    <d v="1899-12-30T09:16:24"/>
    <x v="276"/>
    <s v="December"/>
    <d v="1899-12-30T08:03:37"/>
    <x v="77"/>
    <x v="0"/>
    <n v="1098"/>
    <n v="4"/>
  </r>
  <r>
    <x v="922"/>
    <x v="96"/>
    <n v="7"/>
    <x v="23"/>
    <x v="4"/>
    <x v="2"/>
    <n v="409"/>
    <d v="2023-02-27T00:00:00"/>
    <x v="0"/>
    <x v="2"/>
    <d v="1899-12-30T14:37:32"/>
    <x v="37"/>
    <s v="February"/>
    <d v="1899-12-30T22:01:37"/>
    <x v="51"/>
    <x v="5"/>
    <n v="1636"/>
    <n v="1"/>
  </r>
  <r>
    <x v="923"/>
    <x v="14"/>
    <n v="17"/>
    <x v="25"/>
    <x v="4"/>
    <x v="4"/>
    <n v="1899"/>
    <d v="2023-03-25T00:00:00"/>
    <x v="5"/>
    <x v="3"/>
    <d v="1899-12-30T09:47:09"/>
    <x v="211"/>
    <s v="April"/>
    <d v="1899-12-30T22:56:05"/>
    <x v="247"/>
    <x v="0"/>
    <n v="1899"/>
    <n v="10"/>
  </r>
  <r>
    <x v="924"/>
    <x v="3"/>
    <n v="31"/>
    <x v="43"/>
    <x v="2"/>
    <x v="4"/>
    <n v="1804"/>
    <d v="2023-01-08T00:00:00"/>
    <x v="8"/>
    <x v="4"/>
    <d v="1899-12-30T00:55:51"/>
    <x v="277"/>
    <s v="January"/>
    <d v="1899-12-30T06:39:07"/>
    <x v="67"/>
    <x v="6"/>
    <n v="1804"/>
    <n v="4"/>
  </r>
  <r>
    <x v="925"/>
    <x v="77"/>
    <n v="40"/>
    <x v="46"/>
    <x v="1"/>
    <x v="2"/>
    <n v="1923"/>
    <d v="2023-03-28T00:00:00"/>
    <x v="5"/>
    <x v="1"/>
    <d v="1899-12-30T23:01:58"/>
    <x v="193"/>
    <s v="March"/>
    <d v="1899-12-30T23:51:25"/>
    <x v="153"/>
    <x v="0"/>
    <n v="7692"/>
    <n v="3"/>
  </r>
  <r>
    <x v="926"/>
    <x v="60"/>
    <n v="43"/>
    <x v="6"/>
    <x v="0"/>
    <x v="2"/>
    <n v="750"/>
    <d v="2023-11-03T00:00:00"/>
    <x v="1"/>
    <x v="0"/>
    <d v="1899-12-30T06:38:15"/>
    <x v="108"/>
    <s v="November"/>
    <d v="1899-12-30T05:00:17"/>
    <x v="119"/>
    <x v="1"/>
    <n v="3000"/>
    <n v="8"/>
  </r>
  <r>
    <x v="927"/>
    <x v="3"/>
    <n v="23"/>
    <x v="13"/>
    <x v="1"/>
    <x v="3"/>
    <n v="1098"/>
    <d v="2023-11-19T00:00:00"/>
    <x v="1"/>
    <x v="4"/>
    <d v="1899-12-30T11:06:24"/>
    <x v="278"/>
    <s v="November"/>
    <d v="1899-12-30T10:16:12"/>
    <x v="298"/>
    <x v="0"/>
    <n v="3294"/>
    <n v="8"/>
  </r>
  <r>
    <x v="928"/>
    <x v="79"/>
    <n v="23"/>
    <x v="13"/>
    <x v="1"/>
    <x v="4"/>
    <n v="1098"/>
    <d v="2023-03-19T00:00:00"/>
    <x v="5"/>
    <x v="4"/>
    <d v="1899-12-30T07:00:52"/>
    <x v="125"/>
    <s v="March"/>
    <d v="1899-12-30T13:02:32"/>
    <x v="219"/>
    <x v="0"/>
    <n v="1098"/>
    <n v="7"/>
  </r>
  <r>
    <x v="929"/>
    <x v="67"/>
    <n v="61"/>
    <x v="33"/>
    <x v="5"/>
    <x v="3"/>
    <n v="810"/>
    <d v="2023-06-03T00:00:00"/>
    <x v="11"/>
    <x v="3"/>
    <d v="1899-12-30T15:52:31"/>
    <x v="236"/>
    <s v="June"/>
    <d v="1899-12-30T19:41:15"/>
    <x v="225"/>
    <x v="0"/>
    <n v="2430"/>
    <n v="4"/>
  </r>
  <r>
    <x v="930"/>
    <x v="55"/>
    <n v="14"/>
    <x v="2"/>
    <x v="2"/>
    <x v="4"/>
    <n v="1915"/>
    <d v="2023-04-17T00:00:00"/>
    <x v="9"/>
    <x v="2"/>
    <d v="1899-12-30T19:48:12"/>
    <x v="279"/>
    <s v="April"/>
    <d v="1899-12-30T10:25:35"/>
    <x v="77"/>
    <x v="2"/>
    <n v="1915"/>
    <n v="2"/>
  </r>
  <r>
    <x v="931"/>
    <x v="56"/>
    <n v="63"/>
    <x v="67"/>
    <x v="1"/>
    <x v="1"/>
    <n v="1348"/>
    <d v="2023-10-29T00:00:00"/>
    <x v="10"/>
    <x v="4"/>
    <d v="1899-12-30T16:32:30"/>
    <x v="216"/>
    <s v="November"/>
    <d v="1899-12-30T22:17:11"/>
    <x v="158"/>
    <x v="6"/>
    <n v="2696"/>
    <n v="4"/>
  </r>
  <r>
    <x v="932"/>
    <x v="56"/>
    <n v="51"/>
    <x v="38"/>
    <x v="4"/>
    <x v="3"/>
    <n v="1084"/>
    <d v="2023-11-14T00:00:00"/>
    <x v="1"/>
    <x v="1"/>
    <d v="1899-12-30T12:17:01"/>
    <x v="84"/>
    <s v="November"/>
    <d v="1899-12-30T02:50:02"/>
    <x v="195"/>
    <x v="6"/>
    <n v="3252"/>
    <n v="9"/>
  </r>
  <r>
    <x v="933"/>
    <x v="73"/>
    <n v="27"/>
    <x v="7"/>
    <x v="3"/>
    <x v="0"/>
    <n v="548"/>
    <d v="2023-08-22T00:00:00"/>
    <x v="3"/>
    <x v="1"/>
    <d v="1899-12-30T00:41:04"/>
    <x v="142"/>
    <s v="August"/>
    <d v="1899-12-30T08:38:52"/>
    <x v="45"/>
    <x v="4"/>
    <n v="2740"/>
    <n v="1"/>
  </r>
  <r>
    <x v="934"/>
    <x v="33"/>
    <n v="27"/>
    <x v="7"/>
    <x v="3"/>
    <x v="0"/>
    <n v="548"/>
    <d v="2023-08-20T00:00:00"/>
    <x v="3"/>
    <x v="4"/>
    <d v="1899-12-30T09:38:15"/>
    <x v="7"/>
    <s v="August"/>
    <d v="1899-12-30T17:18:37"/>
    <x v="237"/>
    <x v="4"/>
    <n v="2740"/>
    <n v="9"/>
  </r>
  <r>
    <x v="935"/>
    <x v="41"/>
    <n v="43"/>
    <x v="6"/>
    <x v="0"/>
    <x v="2"/>
    <n v="750"/>
    <d v="2023-11-02T00:00:00"/>
    <x v="1"/>
    <x v="6"/>
    <d v="1899-12-30T21:26:31"/>
    <x v="74"/>
    <s v="November"/>
    <d v="1899-12-30T10:03:32"/>
    <x v="0"/>
    <x v="1"/>
    <n v="3000"/>
    <n v="6"/>
  </r>
  <r>
    <x v="936"/>
    <x v="7"/>
    <n v="51"/>
    <x v="38"/>
    <x v="4"/>
    <x v="1"/>
    <n v="1084"/>
    <d v="2023-03-11T00:00:00"/>
    <x v="5"/>
    <x v="3"/>
    <d v="1899-12-30T03:57:43"/>
    <x v="137"/>
    <s v="March"/>
    <d v="1899-12-30T19:27:13"/>
    <x v="78"/>
    <x v="6"/>
    <n v="2168"/>
    <n v="4"/>
  </r>
  <r>
    <x v="937"/>
    <x v="94"/>
    <n v="59"/>
    <x v="58"/>
    <x v="3"/>
    <x v="3"/>
    <n v="811"/>
    <d v="2023-08-29T00:00:00"/>
    <x v="3"/>
    <x v="1"/>
    <d v="1899-12-30T18:12:49"/>
    <x v="54"/>
    <s v="September"/>
    <d v="1899-12-30T01:17:33"/>
    <x v="48"/>
    <x v="4"/>
    <n v="2433"/>
    <n v="10"/>
  </r>
  <r>
    <x v="938"/>
    <x v="75"/>
    <n v="9"/>
    <x v="21"/>
    <x v="2"/>
    <x v="2"/>
    <n v="1605"/>
    <d v="2023-08-20T00:00:00"/>
    <x v="3"/>
    <x v="4"/>
    <d v="1899-12-30T20:55:05"/>
    <x v="122"/>
    <s v="August"/>
    <d v="1899-12-30T04:36:14"/>
    <x v="137"/>
    <x v="4"/>
    <n v="6420"/>
    <n v="1"/>
  </r>
  <r>
    <x v="939"/>
    <x v="63"/>
    <n v="57"/>
    <x v="57"/>
    <x v="2"/>
    <x v="2"/>
    <n v="1582"/>
    <d v="2023-01-11T00:00:00"/>
    <x v="8"/>
    <x v="5"/>
    <d v="1899-12-30T23:38:25"/>
    <x v="277"/>
    <s v="January"/>
    <d v="1899-12-30T04:04:53"/>
    <x v="156"/>
    <x v="2"/>
    <n v="6328"/>
    <n v="1"/>
  </r>
  <r>
    <x v="940"/>
    <x v="44"/>
    <n v="18"/>
    <x v="53"/>
    <x v="5"/>
    <x v="2"/>
    <n v="781"/>
    <d v="2023-05-19T00:00:00"/>
    <x v="4"/>
    <x v="0"/>
    <d v="1899-12-30T09:16:07"/>
    <x v="176"/>
    <s v="May"/>
    <d v="1899-12-30T10:28:01"/>
    <x v="121"/>
    <x v="2"/>
    <n v="3124"/>
    <n v="3"/>
  </r>
  <r>
    <x v="941"/>
    <x v="11"/>
    <n v="51"/>
    <x v="38"/>
    <x v="4"/>
    <x v="4"/>
    <n v="1084"/>
    <d v="2023-12-23T00:00:00"/>
    <x v="6"/>
    <x v="3"/>
    <d v="1899-12-30T04:59:43"/>
    <x v="140"/>
    <s v="December"/>
    <d v="1899-12-30T15:56:22"/>
    <x v="166"/>
    <x v="6"/>
    <n v="1084"/>
    <n v="3"/>
  </r>
  <r>
    <x v="942"/>
    <x v="68"/>
    <n v="22"/>
    <x v="34"/>
    <x v="4"/>
    <x v="2"/>
    <n v="1639"/>
    <d v="2023-02-19T00:00:00"/>
    <x v="0"/>
    <x v="4"/>
    <d v="1899-12-30T14:27:09"/>
    <x v="180"/>
    <s v="February"/>
    <d v="1899-12-30T19:05:59"/>
    <x v="81"/>
    <x v="6"/>
    <n v="6556"/>
    <n v="3"/>
  </r>
  <r>
    <x v="943"/>
    <x v="11"/>
    <n v="67"/>
    <x v="0"/>
    <x v="0"/>
    <x v="2"/>
    <n v="1374"/>
    <d v="2023-11-17T00:00:00"/>
    <x v="1"/>
    <x v="0"/>
    <d v="1899-12-30T20:34:33"/>
    <x v="280"/>
    <s v="November"/>
    <d v="1899-12-30T16:40:40"/>
    <x v="52"/>
    <x v="0"/>
    <n v="5496"/>
    <n v="4"/>
  </r>
  <r>
    <x v="944"/>
    <x v="56"/>
    <n v="18"/>
    <x v="53"/>
    <x v="5"/>
    <x v="1"/>
    <n v="781"/>
    <d v="2023-07-30T00:00:00"/>
    <x v="2"/>
    <x v="4"/>
    <d v="1899-12-30T12:00:02"/>
    <x v="232"/>
    <s v="August"/>
    <d v="1899-12-30T12:44:49"/>
    <x v="188"/>
    <x v="2"/>
    <n v="1562"/>
    <n v="7"/>
  </r>
  <r>
    <x v="945"/>
    <x v="49"/>
    <n v="17"/>
    <x v="25"/>
    <x v="4"/>
    <x v="2"/>
    <n v="1899"/>
    <d v="2023-12-02T00:00:00"/>
    <x v="6"/>
    <x v="3"/>
    <d v="1899-12-30T11:07:29"/>
    <x v="263"/>
    <s v="December"/>
    <d v="1899-12-30T17:43:17"/>
    <x v="48"/>
    <x v="0"/>
    <n v="7596"/>
    <n v="7"/>
  </r>
  <r>
    <x v="946"/>
    <x v="60"/>
    <n v="38"/>
    <x v="10"/>
    <x v="3"/>
    <x v="3"/>
    <n v="562"/>
    <d v="2023-10-06T00:00:00"/>
    <x v="10"/>
    <x v="0"/>
    <d v="1899-12-30T19:16:19"/>
    <x v="135"/>
    <s v="October"/>
    <d v="1899-12-30T23:24:47"/>
    <x v="171"/>
    <x v="2"/>
    <n v="1686"/>
    <n v="2"/>
  </r>
  <r>
    <x v="947"/>
    <x v="59"/>
    <n v="26"/>
    <x v="42"/>
    <x v="2"/>
    <x v="3"/>
    <n v="289"/>
    <d v="2023-03-04T00:00:00"/>
    <x v="5"/>
    <x v="3"/>
    <d v="1899-12-30T18:21:51"/>
    <x v="32"/>
    <s v="March"/>
    <d v="1899-12-30T13:11:26"/>
    <x v="157"/>
    <x v="5"/>
    <n v="867"/>
    <n v="3"/>
  </r>
  <r>
    <x v="948"/>
    <x v="37"/>
    <n v="6"/>
    <x v="20"/>
    <x v="3"/>
    <x v="2"/>
    <n v="1112"/>
    <d v="2023-02-27T00:00:00"/>
    <x v="0"/>
    <x v="2"/>
    <d v="1899-12-30T20:55:01"/>
    <x v="44"/>
    <s v="March"/>
    <d v="1899-12-30T09:35:17"/>
    <x v="147"/>
    <x v="5"/>
    <n v="4448"/>
    <n v="7"/>
  </r>
  <r>
    <x v="949"/>
    <x v="38"/>
    <n v="39"/>
    <x v="47"/>
    <x v="6"/>
    <x v="3"/>
    <n v="387"/>
    <d v="2023-10-16T00:00:00"/>
    <x v="10"/>
    <x v="2"/>
    <d v="1899-12-30T19:31:00"/>
    <x v="281"/>
    <s v="October"/>
    <d v="1899-12-30T21:09:20"/>
    <x v="201"/>
    <x v="6"/>
    <n v="1161"/>
    <n v="2"/>
  </r>
  <r>
    <x v="950"/>
    <x v="11"/>
    <n v="20"/>
    <x v="11"/>
    <x v="2"/>
    <x v="4"/>
    <n v="697"/>
    <d v="2023-11-23T00:00:00"/>
    <x v="1"/>
    <x v="6"/>
    <d v="1899-12-30T15:34:09"/>
    <x v="107"/>
    <s v="November"/>
    <d v="1899-12-30T19:03:34"/>
    <x v="252"/>
    <x v="0"/>
    <n v="697"/>
    <n v="2"/>
  </r>
  <r>
    <x v="951"/>
    <x v="80"/>
    <n v="49"/>
    <x v="32"/>
    <x v="2"/>
    <x v="2"/>
    <n v="903"/>
    <d v="2023-02-12T00:00:00"/>
    <x v="0"/>
    <x v="4"/>
    <d v="1899-12-30T02:48:07"/>
    <x v="180"/>
    <s v="February"/>
    <d v="1899-12-30T09:19:09"/>
    <x v="121"/>
    <x v="3"/>
    <n v="3612"/>
    <n v="10"/>
  </r>
  <r>
    <x v="952"/>
    <x v="89"/>
    <n v="40"/>
    <x v="46"/>
    <x v="1"/>
    <x v="4"/>
    <n v="1923"/>
    <d v="2023-09-03T00:00:00"/>
    <x v="7"/>
    <x v="4"/>
    <d v="1899-12-30T00:26:01"/>
    <x v="126"/>
    <s v="September"/>
    <d v="1899-12-30T07:33:50"/>
    <x v="68"/>
    <x v="0"/>
    <n v="1923"/>
    <n v="1"/>
  </r>
  <r>
    <x v="953"/>
    <x v="23"/>
    <n v="44"/>
    <x v="39"/>
    <x v="5"/>
    <x v="3"/>
    <n v="794"/>
    <d v="2023-11-02T00:00:00"/>
    <x v="1"/>
    <x v="6"/>
    <d v="1899-12-30T04:01:43"/>
    <x v="95"/>
    <s v="November"/>
    <d v="1899-12-30T18:21:01"/>
    <x v="192"/>
    <x v="1"/>
    <n v="2382"/>
    <n v="1"/>
  </r>
  <r>
    <x v="954"/>
    <x v="46"/>
    <n v="24"/>
    <x v="54"/>
    <x v="6"/>
    <x v="2"/>
    <n v="535"/>
    <d v="2023-06-03T00:00:00"/>
    <x v="11"/>
    <x v="3"/>
    <d v="1899-12-30T00:30:48"/>
    <x v="236"/>
    <s v="June"/>
    <d v="1899-12-30T09:07:26"/>
    <x v="296"/>
    <x v="2"/>
    <n v="2140"/>
    <n v="4"/>
  </r>
  <r>
    <x v="955"/>
    <x v="0"/>
    <n v="34"/>
    <x v="41"/>
    <x v="4"/>
    <x v="0"/>
    <n v="1335"/>
    <d v="2023-08-29T00:00:00"/>
    <x v="3"/>
    <x v="1"/>
    <d v="1899-12-30T04:52:24"/>
    <x v="104"/>
    <s v="September"/>
    <d v="1899-12-30T14:53:28"/>
    <x v="247"/>
    <x v="4"/>
    <n v="6675"/>
    <n v="5"/>
  </r>
  <r>
    <x v="956"/>
    <x v="56"/>
    <n v="23"/>
    <x v="13"/>
    <x v="1"/>
    <x v="4"/>
    <n v="1098"/>
    <d v="2023-12-15T00:00:00"/>
    <x v="6"/>
    <x v="0"/>
    <d v="1899-12-30T01:56:38"/>
    <x v="219"/>
    <s v="December"/>
    <d v="1899-12-30T21:07:55"/>
    <x v="66"/>
    <x v="0"/>
    <n v="1098"/>
    <n v="2"/>
  </r>
  <r>
    <x v="957"/>
    <x v="6"/>
    <n v="16"/>
    <x v="9"/>
    <x v="1"/>
    <x v="3"/>
    <n v="1721"/>
    <d v="2023-03-07T00:00:00"/>
    <x v="5"/>
    <x v="1"/>
    <d v="1899-12-30T14:02:57"/>
    <x v="27"/>
    <s v="March"/>
    <d v="1899-12-30T22:04:41"/>
    <x v="298"/>
    <x v="5"/>
    <n v="5163"/>
    <n v="7"/>
  </r>
  <r>
    <x v="958"/>
    <x v="88"/>
    <n v="40"/>
    <x v="46"/>
    <x v="1"/>
    <x v="4"/>
    <n v="1923"/>
    <d v="2023-12-21T00:00:00"/>
    <x v="6"/>
    <x v="6"/>
    <d v="1899-12-30T01:54:46"/>
    <x v="140"/>
    <s v="December"/>
    <d v="1899-12-30T21:05:45"/>
    <x v="188"/>
    <x v="0"/>
    <n v="1923"/>
    <n v="5"/>
  </r>
  <r>
    <x v="959"/>
    <x v="57"/>
    <n v="48"/>
    <x v="29"/>
    <x v="2"/>
    <x v="3"/>
    <n v="433"/>
    <d v="2023-11-05T00:00:00"/>
    <x v="1"/>
    <x v="4"/>
    <d v="1899-12-30T05:25:49"/>
    <x v="74"/>
    <s v="November"/>
    <d v="1899-12-30T09:56:17"/>
    <x v="171"/>
    <x v="1"/>
    <n v="1299"/>
    <n v="3"/>
  </r>
  <r>
    <x v="960"/>
    <x v="82"/>
    <n v="1"/>
    <x v="48"/>
    <x v="4"/>
    <x v="0"/>
    <n v="1935"/>
    <d v="2023-02-01T00:00:00"/>
    <x v="0"/>
    <x v="5"/>
    <d v="1899-12-30T06:49:28"/>
    <x v="145"/>
    <s v="February"/>
    <d v="1899-12-30T20:54:38"/>
    <x v="100"/>
    <x v="6"/>
    <n v="9675"/>
    <n v="9"/>
  </r>
  <r>
    <x v="961"/>
    <x v="51"/>
    <n v="17"/>
    <x v="25"/>
    <x v="4"/>
    <x v="0"/>
    <n v="1899"/>
    <d v="2023-09-29T00:00:00"/>
    <x v="7"/>
    <x v="0"/>
    <d v="1899-12-30T11:55:53"/>
    <x v="23"/>
    <s v="October"/>
    <d v="1899-12-30T16:15:08"/>
    <x v="70"/>
    <x v="0"/>
    <n v="9495"/>
    <n v="2"/>
  </r>
  <r>
    <x v="962"/>
    <x v="98"/>
    <n v="29"/>
    <x v="66"/>
    <x v="2"/>
    <x v="4"/>
    <n v="1252"/>
    <d v="2023-03-03T00:00:00"/>
    <x v="5"/>
    <x v="0"/>
    <d v="1899-12-30T08:44:19"/>
    <x v="44"/>
    <s v="March"/>
    <d v="1899-12-30T10:36:46"/>
    <x v="148"/>
    <x v="5"/>
    <n v="1252"/>
    <n v="3"/>
  </r>
  <r>
    <x v="963"/>
    <x v="88"/>
    <n v="32"/>
    <x v="16"/>
    <x v="4"/>
    <x v="2"/>
    <n v="1792"/>
    <d v="2023-10-19T00:00:00"/>
    <x v="10"/>
    <x v="6"/>
    <d v="1899-12-30T06:39:41"/>
    <x v="282"/>
    <s v="October"/>
    <d v="1899-12-30T22:22:39"/>
    <x v="176"/>
    <x v="2"/>
    <n v="7168"/>
    <n v="4"/>
  </r>
  <r>
    <x v="964"/>
    <x v="32"/>
    <n v="62"/>
    <x v="14"/>
    <x v="2"/>
    <x v="4"/>
    <n v="1356"/>
    <d v="2023-03-02T00:00:00"/>
    <x v="5"/>
    <x v="6"/>
    <d v="1899-12-30T03:15:10"/>
    <x v="44"/>
    <s v="March"/>
    <d v="1899-12-30T17:20:22"/>
    <x v="273"/>
    <x v="5"/>
    <n v="1356"/>
    <n v="4"/>
  </r>
  <r>
    <x v="965"/>
    <x v="59"/>
    <n v="13"/>
    <x v="64"/>
    <x v="6"/>
    <x v="1"/>
    <n v="1141"/>
    <d v="2023-03-01T00:00:00"/>
    <x v="5"/>
    <x v="5"/>
    <d v="1899-12-30T02:21:06"/>
    <x v="101"/>
    <s v="March"/>
    <d v="1899-12-30T10:22:53"/>
    <x v="138"/>
    <x v="5"/>
    <n v="2282"/>
    <n v="9"/>
  </r>
  <r>
    <x v="966"/>
    <x v="20"/>
    <n v="68"/>
    <x v="63"/>
    <x v="4"/>
    <x v="2"/>
    <n v="597"/>
    <d v="2023-02-12T00:00:00"/>
    <x v="0"/>
    <x v="4"/>
    <d v="1899-12-30T00:21:23"/>
    <x v="14"/>
    <s v="February"/>
    <d v="1899-12-30T18:29:48"/>
    <x v="110"/>
    <x v="3"/>
    <n v="2388"/>
    <n v="8"/>
  </r>
  <r>
    <x v="967"/>
    <x v="97"/>
    <n v="9"/>
    <x v="21"/>
    <x v="2"/>
    <x v="1"/>
    <n v="1605"/>
    <d v="2023-08-25T00:00:00"/>
    <x v="3"/>
    <x v="0"/>
    <d v="1899-12-30T23:55:22"/>
    <x v="141"/>
    <s v="September"/>
    <d v="1899-12-30T20:24:11"/>
    <x v="282"/>
    <x v="4"/>
    <n v="3210"/>
    <n v="7"/>
  </r>
  <r>
    <x v="968"/>
    <x v="84"/>
    <n v="42"/>
    <x v="18"/>
    <x v="1"/>
    <x v="2"/>
    <n v="1744"/>
    <d v="2023-08-30T00:00:00"/>
    <x v="3"/>
    <x v="5"/>
    <d v="1899-12-30T22:56:34"/>
    <x v="104"/>
    <s v="September"/>
    <d v="1899-12-30T03:22:59"/>
    <x v="13"/>
    <x v="6"/>
    <n v="6976"/>
    <n v="4"/>
  </r>
  <r>
    <x v="969"/>
    <x v="37"/>
    <n v="54"/>
    <x v="30"/>
    <x v="3"/>
    <x v="2"/>
    <n v="1236"/>
    <d v="2023-04-13T00:00:00"/>
    <x v="9"/>
    <x v="6"/>
    <d v="1899-12-30T03:26:33"/>
    <x v="251"/>
    <s v="April"/>
    <d v="1899-12-30T21:37:17"/>
    <x v="110"/>
    <x v="0"/>
    <n v="4944"/>
    <n v="8"/>
  </r>
  <r>
    <x v="970"/>
    <x v="80"/>
    <n v="47"/>
    <x v="49"/>
    <x v="2"/>
    <x v="4"/>
    <n v="1638"/>
    <d v="2023-03-02T00:00:00"/>
    <x v="5"/>
    <x v="6"/>
    <d v="1899-12-30T04:02:13"/>
    <x v="101"/>
    <s v="March"/>
    <d v="1899-12-30T19:17:36"/>
    <x v="291"/>
    <x v="5"/>
    <n v="1638"/>
    <n v="8"/>
  </r>
  <r>
    <x v="971"/>
    <x v="68"/>
    <n v="30"/>
    <x v="19"/>
    <x v="2"/>
    <x v="1"/>
    <n v="751"/>
    <d v="2023-04-30T00:00:00"/>
    <x v="9"/>
    <x v="4"/>
    <d v="1899-12-30T01:34:34"/>
    <x v="283"/>
    <s v="May"/>
    <d v="1899-12-30T05:27:14"/>
    <x v="129"/>
    <x v="0"/>
    <n v="1502"/>
    <n v="2"/>
  </r>
  <r>
    <x v="972"/>
    <x v="36"/>
    <n v="66"/>
    <x v="26"/>
    <x v="2"/>
    <x v="3"/>
    <n v="610"/>
    <d v="2023-02-26T00:00:00"/>
    <x v="0"/>
    <x v="4"/>
    <d v="1899-12-30T10:35:55"/>
    <x v="32"/>
    <s v="March"/>
    <d v="1899-12-30T03:46:24"/>
    <x v="128"/>
    <x v="5"/>
    <n v="1830"/>
    <n v="9"/>
  </r>
  <r>
    <x v="973"/>
    <x v="38"/>
    <n v="17"/>
    <x v="25"/>
    <x v="4"/>
    <x v="2"/>
    <n v="1899"/>
    <d v="2023-11-04T00:00:00"/>
    <x v="1"/>
    <x v="3"/>
    <d v="1899-12-30T19:16:59"/>
    <x v="112"/>
    <s v="November"/>
    <d v="1899-12-30T16:11:27"/>
    <x v="67"/>
    <x v="0"/>
    <n v="7596"/>
    <n v="3"/>
  </r>
  <r>
    <x v="974"/>
    <x v="43"/>
    <n v="62"/>
    <x v="14"/>
    <x v="2"/>
    <x v="1"/>
    <n v="1356"/>
    <d v="2023-03-04T00:00:00"/>
    <x v="5"/>
    <x v="3"/>
    <d v="1899-12-30T00:26:32"/>
    <x v="21"/>
    <s v="March"/>
    <d v="1899-12-30T08:03:42"/>
    <x v="291"/>
    <x v="5"/>
    <n v="2712"/>
    <n v="8"/>
  </r>
  <r>
    <x v="975"/>
    <x v="48"/>
    <n v="17"/>
    <x v="25"/>
    <x v="4"/>
    <x v="1"/>
    <n v="1899"/>
    <d v="2023-05-19T00:00:00"/>
    <x v="4"/>
    <x v="0"/>
    <d v="1899-12-30T07:11:09"/>
    <x v="284"/>
    <s v="May"/>
    <d v="1899-12-30T08:38:28"/>
    <x v="281"/>
    <x v="0"/>
    <n v="3798"/>
    <n v="1"/>
  </r>
  <r>
    <x v="976"/>
    <x v="94"/>
    <n v="47"/>
    <x v="49"/>
    <x v="2"/>
    <x v="1"/>
    <n v="1638"/>
    <d v="2023-03-05T00:00:00"/>
    <x v="5"/>
    <x v="4"/>
    <d v="1899-12-30T12:33:31"/>
    <x v="32"/>
    <s v="March"/>
    <d v="1899-12-30T23:39:44"/>
    <x v="283"/>
    <x v="5"/>
    <n v="3276"/>
    <n v="2"/>
  </r>
  <r>
    <x v="977"/>
    <x v="1"/>
    <n v="29"/>
    <x v="66"/>
    <x v="2"/>
    <x v="2"/>
    <n v="1252"/>
    <d v="2023-02-28T00:00:00"/>
    <x v="0"/>
    <x v="1"/>
    <d v="1899-12-30T08:59:15"/>
    <x v="170"/>
    <s v="March"/>
    <d v="1899-12-30T06:31:07"/>
    <x v="128"/>
    <x v="5"/>
    <n v="5008"/>
    <n v="9"/>
  </r>
  <r>
    <x v="978"/>
    <x v="69"/>
    <n v="9"/>
    <x v="21"/>
    <x v="2"/>
    <x v="2"/>
    <n v="1605"/>
    <d v="2023-08-28T00:00:00"/>
    <x v="3"/>
    <x v="2"/>
    <d v="1899-12-30T18:43:04"/>
    <x v="53"/>
    <s v="August"/>
    <d v="1899-12-30T20:12:58"/>
    <x v="272"/>
    <x v="4"/>
    <n v="6420"/>
    <n v="3"/>
  </r>
  <r>
    <x v="979"/>
    <x v="30"/>
    <n v="12"/>
    <x v="17"/>
    <x v="5"/>
    <x v="0"/>
    <n v="672"/>
    <d v="2023-09-21T00:00:00"/>
    <x v="7"/>
    <x v="6"/>
    <d v="1899-12-30T20:35:26"/>
    <x v="207"/>
    <s v="September"/>
    <d v="1899-12-30T00:43:39"/>
    <x v="167"/>
    <x v="0"/>
    <n v="3360"/>
    <n v="9"/>
  </r>
  <r>
    <x v="980"/>
    <x v="38"/>
    <n v="46"/>
    <x v="62"/>
    <x v="3"/>
    <x v="1"/>
    <n v="758"/>
    <d v="2023-04-02T00:00:00"/>
    <x v="9"/>
    <x v="4"/>
    <d v="1899-12-30T20:01:08"/>
    <x v="257"/>
    <s v="April"/>
    <d v="1899-12-30T20:21:37"/>
    <x v="157"/>
    <x v="0"/>
    <n v="1516"/>
    <n v="1"/>
  </r>
  <r>
    <x v="981"/>
    <x v="1"/>
    <n v="47"/>
    <x v="49"/>
    <x v="2"/>
    <x v="2"/>
    <n v="1638"/>
    <d v="2023-02-28T00:00:00"/>
    <x v="0"/>
    <x v="1"/>
    <d v="1899-12-30T18:56:23"/>
    <x v="11"/>
    <s v="March"/>
    <d v="1899-12-30T03:11:23"/>
    <x v="115"/>
    <x v="5"/>
    <n v="6552"/>
    <n v="4"/>
  </r>
  <r>
    <x v="982"/>
    <x v="76"/>
    <n v="70"/>
    <x v="35"/>
    <x v="1"/>
    <x v="4"/>
    <n v="866"/>
    <d v="2023-03-25T00:00:00"/>
    <x v="5"/>
    <x v="3"/>
    <d v="1899-12-30T09:39:44"/>
    <x v="143"/>
    <s v="April"/>
    <d v="1899-12-30T06:38:43"/>
    <x v="266"/>
    <x v="2"/>
    <n v="866"/>
    <n v="7"/>
  </r>
  <r>
    <x v="983"/>
    <x v="44"/>
    <n v="65"/>
    <x v="35"/>
    <x v="0"/>
    <x v="4"/>
    <n v="1895"/>
    <d v="2023-08-03T00:00:00"/>
    <x v="3"/>
    <x v="6"/>
    <d v="1899-12-30T22:31:02"/>
    <x v="285"/>
    <s v="August"/>
    <d v="1899-12-30T16:39:11"/>
    <x v="192"/>
    <x v="6"/>
    <n v="1895"/>
    <n v="4"/>
  </r>
  <r>
    <x v="984"/>
    <x v="71"/>
    <n v="31"/>
    <x v="43"/>
    <x v="2"/>
    <x v="2"/>
    <n v="1804"/>
    <d v="2023-10-05T00:00:00"/>
    <x v="10"/>
    <x v="6"/>
    <d v="1899-12-30T11:27:20"/>
    <x v="91"/>
    <s v="October"/>
    <d v="1899-12-30T16:53:35"/>
    <x v="20"/>
    <x v="6"/>
    <n v="7216"/>
    <n v="8"/>
  </r>
  <r>
    <x v="985"/>
    <x v="93"/>
    <n v="1"/>
    <x v="48"/>
    <x v="4"/>
    <x v="1"/>
    <n v="1935"/>
    <d v="2023-11-03T00:00:00"/>
    <x v="1"/>
    <x v="0"/>
    <d v="1899-12-30T16:41:54"/>
    <x v="30"/>
    <s v="November"/>
    <d v="1899-12-30T22:43:28"/>
    <x v="62"/>
    <x v="6"/>
    <n v="3870"/>
    <n v="2"/>
  </r>
  <r>
    <x v="986"/>
    <x v="21"/>
    <n v="65"/>
    <x v="35"/>
    <x v="0"/>
    <x v="3"/>
    <n v="1895"/>
    <d v="2023-12-20T00:00:00"/>
    <x v="6"/>
    <x v="5"/>
    <d v="1899-12-30T09:13:17"/>
    <x v="237"/>
    <s v="December"/>
    <d v="1899-12-30T04:10:09"/>
    <x v="26"/>
    <x v="6"/>
    <n v="5685"/>
    <n v="5"/>
  </r>
  <r>
    <x v="987"/>
    <x v="37"/>
    <n v="4"/>
    <x v="44"/>
    <x v="1"/>
    <x v="3"/>
    <n v="1199"/>
    <d v="2023-11-10T00:00:00"/>
    <x v="1"/>
    <x v="0"/>
    <d v="1899-12-30T09:47:17"/>
    <x v="12"/>
    <s v="November"/>
    <d v="1899-12-30T10:29:19"/>
    <x v="264"/>
    <x v="1"/>
    <n v="3597"/>
    <n v="5"/>
  </r>
  <r>
    <x v="988"/>
    <x v="48"/>
    <n v="52"/>
    <x v="15"/>
    <x v="0"/>
    <x v="3"/>
    <n v="236"/>
    <d v="2023-02-06T00:00:00"/>
    <x v="0"/>
    <x v="2"/>
    <d v="1899-12-30T08:11:27"/>
    <x v="28"/>
    <s v="February"/>
    <d v="1899-12-30T02:00:04"/>
    <x v="224"/>
    <x v="3"/>
    <n v="708"/>
    <n v="9"/>
  </r>
  <r>
    <x v="989"/>
    <x v="99"/>
    <n v="42"/>
    <x v="18"/>
    <x v="1"/>
    <x v="1"/>
    <n v="1744"/>
    <d v="2023-12-04T00:00:00"/>
    <x v="6"/>
    <x v="2"/>
    <d v="1899-12-30T22:20:00"/>
    <x v="212"/>
    <s v="December"/>
    <d v="1899-12-30T23:57:55"/>
    <x v="111"/>
    <x v="6"/>
    <n v="3488"/>
    <n v="4"/>
  </r>
  <r>
    <x v="990"/>
    <x v="19"/>
    <n v="36"/>
    <x v="37"/>
    <x v="5"/>
    <x v="0"/>
    <n v="203"/>
    <d v="2023-02-09T00:00:00"/>
    <x v="0"/>
    <x v="6"/>
    <d v="1899-12-30T15:01:12"/>
    <x v="28"/>
    <s v="February"/>
    <d v="1899-12-30T17:16:56"/>
    <x v="128"/>
    <x v="2"/>
    <n v="1015"/>
    <n v="6"/>
  </r>
  <r>
    <x v="991"/>
    <x v="22"/>
    <n v="43"/>
    <x v="6"/>
    <x v="0"/>
    <x v="3"/>
    <n v="750"/>
    <d v="2023-11-02T00:00:00"/>
    <x v="1"/>
    <x v="6"/>
    <d v="1899-12-30T14:09:04"/>
    <x v="95"/>
    <s v="November"/>
    <d v="1899-12-30T19:32:39"/>
    <x v="58"/>
    <x v="1"/>
    <n v="2250"/>
    <n v="1"/>
  </r>
  <r>
    <x v="992"/>
    <x v="63"/>
    <n v="61"/>
    <x v="33"/>
    <x v="5"/>
    <x v="0"/>
    <n v="810"/>
    <d v="2023-10-08T00:00:00"/>
    <x v="10"/>
    <x v="4"/>
    <d v="1899-12-30T21:34:06"/>
    <x v="248"/>
    <s v="October"/>
    <d v="1899-12-30T15:55:58"/>
    <x v="91"/>
    <x v="0"/>
    <n v="4050"/>
    <n v="6"/>
  </r>
  <r>
    <x v="993"/>
    <x v="84"/>
    <n v="68"/>
    <x v="63"/>
    <x v="4"/>
    <x v="1"/>
    <n v="597"/>
    <d v="2023-02-13T00:00:00"/>
    <x v="0"/>
    <x v="2"/>
    <d v="1899-12-30T22:44:36"/>
    <x v="80"/>
    <s v="February"/>
    <d v="1899-12-30T06:45:30"/>
    <x v="299"/>
    <x v="3"/>
    <n v="1194"/>
    <n v="8"/>
  </r>
  <r>
    <x v="994"/>
    <x v="85"/>
    <n v="57"/>
    <x v="57"/>
    <x v="2"/>
    <x v="1"/>
    <n v="1582"/>
    <d v="2023-07-20T00:00:00"/>
    <x v="2"/>
    <x v="6"/>
    <d v="1899-12-30T00:40:38"/>
    <x v="34"/>
    <s v="July"/>
    <d v="1899-12-30T11:42:03"/>
    <x v="195"/>
    <x v="2"/>
    <n v="3164"/>
    <n v="7"/>
  </r>
  <r>
    <x v="995"/>
    <x v="43"/>
    <n v="25"/>
    <x v="40"/>
    <x v="5"/>
    <x v="0"/>
    <n v="1202"/>
    <d v="2023-05-13T00:00:00"/>
    <x v="4"/>
    <x v="3"/>
    <d v="1899-12-30T06:55:09"/>
    <x v="186"/>
    <s v="May"/>
    <d v="1899-12-30T05:41:20"/>
    <x v="37"/>
    <x v="0"/>
    <n v="6010"/>
    <n v="6"/>
  </r>
  <r>
    <x v="996"/>
    <x v="88"/>
    <n v="19"/>
    <x v="27"/>
    <x v="6"/>
    <x v="1"/>
    <n v="1234"/>
    <d v="2023-02-04T00:00:00"/>
    <x v="0"/>
    <x v="3"/>
    <d v="1899-12-30T04:28:27"/>
    <x v="145"/>
    <s v="February"/>
    <d v="1899-12-30T11:50:24"/>
    <x v="287"/>
    <x v="3"/>
    <n v="2468"/>
    <n v="6"/>
  </r>
  <r>
    <x v="997"/>
    <x v="33"/>
    <n v="44"/>
    <x v="39"/>
    <x v="5"/>
    <x v="4"/>
    <n v="794"/>
    <d v="2023-11-06T00:00:00"/>
    <x v="1"/>
    <x v="2"/>
    <d v="1899-12-30T16:17:11"/>
    <x v="6"/>
    <s v="November"/>
    <d v="1899-12-30T04:33:25"/>
    <x v="192"/>
    <x v="1"/>
    <n v="794"/>
    <n v="8"/>
  </r>
  <r>
    <x v="998"/>
    <x v="19"/>
    <n v="52"/>
    <x v="15"/>
    <x v="0"/>
    <x v="1"/>
    <n v="236"/>
    <d v="2023-02-06T00:00:00"/>
    <x v="0"/>
    <x v="2"/>
    <d v="1899-12-30T22:40:49"/>
    <x v="145"/>
    <s v="February"/>
    <d v="1899-12-30T12:29:21"/>
    <x v="300"/>
    <x v="3"/>
    <n v="472"/>
    <n v="4"/>
  </r>
  <r>
    <x v="999"/>
    <x v="3"/>
    <n v="27"/>
    <x v="7"/>
    <x v="3"/>
    <x v="2"/>
    <n v="548"/>
    <d v="2023-08-25T00:00:00"/>
    <x v="3"/>
    <x v="0"/>
    <d v="1899-12-30T01:22:43"/>
    <x v="53"/>
    <s v="August"/>
    <d v="1899-12-30T06:57:59"/>
    <x v="199"/>
    <x v="4"/>
    <n v="2192"/>
    <n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C037"/>
    <n v="67"/>
    <s v="Maiores Box"/>
    <s v="Raksha Bandhan"/>
    <n v="5"/>
    <n v="1374"/>
    <x v="0"/>
    <s v="February"/>
    <s v="Friday"/>
    <d v="1899-12-30T23:48:13"/>
    <x v="0"/>
    <x v="0"/>
    <s v="March"/>
    <x v="0"/>
    <x v="0"/>
    <s v="Bardhaman"/>
    <s v="Anniversary"/>
    <n v="6870"/>
    <n v="9"/>
  </r>
  <r>
    <n v="2"/>
    <s v="C019"/>
    <n v="41"/>
    <s v="Aut Box"/>
    <s v="Sweets"/>
    <n v="2"/>
    <n v="1977"/>
    <x v="1"/>
    <s v="November"/>
    <s v="Tuesday"/>
    <d v="1899-12-30T23:30:18"/>
    <x v="1"/>
    <x v="0"/>
    <s v="November"/>
    <x v="1"/>
    <x v="1"/>
    <s v="Jaipur"/>
    <s v="Diwali"/>
    <n v="3954"/>
    <n v="6"/>
  </r>
  <r>
    <n v="3"/>
    <s v="C029"/>
    <n v="67"/>
    <s v="Maiores Box"/>
    <s v="Raksha Bandhan"/>
    <n v="5"/>
    <n v="1374"/>
    <x v="2"/>
    <s v="July"/>
    <s v="Friday"/>
    <d v="1899-12-30T19:12:03"/>
    <x v="2"/>
    <x v="1"/>
    <s v="July"/>
    <x v="2"/>
    <x v="2"/>
    <s v="Bilaspur"/>
    <s v="Anniversary"/>
    <n v="6870"/>
    <n v="5"/>
  </r>
  <r>
    <n v="4"/>
    <s v="C012"/>
    <n v="14"/>
    <s v="Deserunt Box"/>
    <s v="Colors"/>
    <n v="5"/>
    <n v="1915"/>
    <x v="3"/>
    <s v="July"/>
    <s v="Monday"/>
    <d v="1899-12-30T04:44:29"/>
    <x v="2"/>
    <x v="2"/>
    <s v="July"/>
    <x v="3"/>
    <x v="3"/>
    <s v="Guwahati"/>
    <s v="Birthday"/>
    <n v="9575"/>
    <n v="9"/>
  </r>
  <r>
    <n v="5"/>
    <s v="C078"/>
    <n v="58"/>
    <s v="Sed Pack"/>
    <s v="Cake"/>
    <n v="2"/>
    <n v="1492"/>
    <x v="4"/>
    <s v="February"/>
    <s v="Saturday"/>
    <d v="1899-12-30T19:44:48"/>
    <x v="3"/>
    <x v="1"/>
    <s v="February"/>
    <x v="4"/>
    <x v="4"/>
    <s v="Rajkot"/>
    <s v="Valentine's Day"/>
    <n v="2984"/>
    <n v="7"/>
  </r>
  <r>
    <n v="6"/>
    <s v="C040"/>
    <n v="28"/>
    <s v="Velit Set"/>
    <s v="Sweets"/>
    <n v="4"/>
    <n v="1778"/>
    <x v="5"/>
    <s v="August"/>
    <s v="Sunday"/>
    <d v="1899-12-30T22:11:35"/>
    <x v="4"/>
    <x v="3"/>
    <s v="August"/>
    <x v="5"/>
    <x v="5"/>
    <s v="Sirsa"/>
    <s v="Raksha Bandhan"/>
    <n v="7112"/>
    <n v="6"/>
  </r>
  <r>
    <n v="7"/>
    <s v="C009"/>
    <n v="45"/>
    <s v="Iusto Set"/>
    <s v="Raksha Bandhan"/>
    <n v="2"/>
    <n v="722"/>
    <x v="6"/>
    <s v="May"/>
    <s v="Monday"/>
    <d v="1899-12-30T01:45:13"/>
    <x v="5"/>
    <x v="4"/>
    <s v="May"/>
    <x v="6"/>
    <x v="6"/>
    <s v="Nanded"/>
    <s v="Birthday"/>
    <n v="1444"/>
    <n v="5"/>
  </r>
  <r>
    <n v="8"/>
    <s v="C097"/>
    <n v="43"/>
    <s v="Quisquam Pack"/>
    <s v="Raksha Bandhan"/>
    <n v="3"/>
    <n v="750"/>
    <x v="7"/>
    <s v="November"/>
    <s v="Wednesday"/>
    <d v="1899-12-30T19:20:02"/>
    <x v="6"/>
    <x v="1"/>
    <s v="November"/>
    <x v="7"/>
    <x v="7"/>
    <s v="Morena"/>
    <s v="Diwali"/>
    <n v="2250"/>
    <n v="6"/>
  </r>
  <r>
    <n v="9"/>
    <s v="C044"/>
    <n v="27"/>
    <s v="Architecto Gift"/>
    <s v="Cake"/>
    <n v="4"/>
    <n v="548"/>
    <x v="5"/>
    <s v="August"/>
    <s v="Sunday"/>
    <d v="1899-12-30T23:39:51"/>
    <x v="7"/>
    <x v="0"/>
    <s v="August"/>
    <x v="8"/>
    <x v="8"/>
    <s v="Rajkot"/>
    <s v="Raksha Bandhan"/>
    <n v="2192"/>
    <n v="9"/>
  </r>
  <r>
    <n v="10"/>
    <s v="C099"/>
    <n v="56"/>
    <s v="Quia Gift"/>
    <s v="Raksha Bandhan"/>
    <n v="3"/>
    <n v="1272"/>
    <x v="8"/>
    <s v="February"/>
    <s v="Sunday"/>
    <d v="1899-12-30T00:17:26"/>
    <x v="8"/>
    <x v="5"/>
    <s v="March"/>
    <x v="9"/>
    <x v="9"/>
    <s v="Ambala"/>
    <s v="Anniversary"/>
    <n v="3816"/>
    <n v="10"/>
  </r>
  <r>
    <n v="11"/>
    <s v="C065"/>
    <n v="16"/>
    <s v="Ut Pack"/>
    <s v="Sweets"/>
    <n v="4"/>
    <n v="1721"/>
    <x v="9"/>
    <s v="March"/>
    <s v="Thursday"/>
    <d v="1899-12-30T20:14:55"/>
    <x v="9"/>
    <x v="6"/>
    <s v="March"/>
    <x v="10"/>
    <x v="10"/>
    <s v="Belgaum"/>
    <s v="Holi"/>
    <n v="6884"/>
    <n v="1"/>
  </r>
  <r>
    <n v="12"/>
    <s v="C097"/>
    <n v="38"/>
    <s v="Mollitia Set"/>
    <s v="Cake"/>
    <n v="3"/>
    <n v="562"/>
    <x v="10"/>
    <s v="July"/>
    <s v="Wednesday"/>
    <d v="1899-12-30T08:28:56"/>
    <x v="10"/>
    <x v="7"/>
    <s v="July"/>
    <x v="11"/>
    <x v="7"/>
    <s v="Karnal"/>
    <s v="Birthday"/>
    <n v="1686"/>
    <n v="8"/>
  </r>
  <r>
    <n v="13"/>
    <s v="C024"/>
    <n v="20"/>
    <s v="Reiciendis Box"/>
    <s v="Colors"/>
    <n v="3"/>
    <n v="697"/>
    <x v="0"/>
    <s v="February"/>
    <s v="Friday"/>
    <d v="1899-12-30T16:47:16"/>
    <x v="11"/>
    <x v="8"/>
    <s v="March"/>
    <x v="12"/>
    <x v="11"/>
    <s v="Gandhidham"/>
    <s v="Anniversary"/>
    <n v="2091"/>
    <n v="8"/>
  </r>
  <r>
    <n v="14"/>
    <s v="C042"/>
    <n v="60"/>
    <s v="Ea Set"/>
    <s v="Sweets"/>
    <n v="1"/>
    <n v="827"/>
    <x v="7"/>
    <s v="November"/>
    <s v="Wednesday"/>
    <d v="1899-12-30T03:46:06"/>
    <x v="12"/>
    <x v="9"/>
    <s v="November"/>
    <x v="13"/>
    <x v="12"/>
    <s v="Bilaspur"/>
    <s v="Diwali"/>
    <n v="827"/>
    <n v="7"/>
  </r>
  <r>
    <n v="15"/>
    <s v="C069"/>
    <n v="21"/>
    <s v="Quia Gift"/>
    <s v="Colors"/>
    <n v="5"/>
    <n v="1561"/>
    <x v="11"/>
    <s v="August"/>
    <s v="Saturday"/>
    <d v="1899-12-30T02:52:39"/>
    <x v="13"/>
    <x v="10"/>
    <s v="August"/>
    <x v="14"/>
    <x v="13"/>
    <s v="Pune"/>
    <s v="Raksha Bandhan"/>
    <n v="7805"/>
    <n v="4"/>
  </r>
  <r>
    <n v="16"/>
    <s v="C013"/>
    <n v="20"/>
    <s v="Reiciendis Box"/>
    <s v="Colors"/>
    <n v="3"/>
    <n v="697"/>
    <x v="12"/>
    <s v="February"/>
    <s v="Thursday"/>
    <d v="1899-12-30T15:06:11"/>
    <x v="14"/>
    <x v="11"/>
    <s v="February"/>
    <x v="15"/>
    <x v="14"/>
    <s v="Khammam"/>
    <s v="Anniversary"/>
    <n v="2091"/>
    <n v="4"/>
  </r>
  <r>
    <n v="17"/>
    <s v="C056"/>
    <n v="60"/>
    <s v="Ea Set"/>
    <s v="Sweets"/>
    <n v="2"/>
    <n v="827"/>
    <x v="13"/>
    <s v="November"/>
    <s v="Saturday"/>
    <d v="1899-12-30T11:31:33"/>
    <x v="1"/>
    <x v="12"/>
    <s v="November"/>
    <x v="16"/>
    <x v="2"/>
    <s v="Kota"/>
    <s v="Diwali"/>
    <n v="1654"/>
    <n v="9"/>
  </r>
  <r>
    <n v="18"/>
    <s v="C072"/>
    <n v="23"/>
    <s v="Dignissimos Pack"/>
    <s v="Sweets"/>
    <n v="4"/>
    <n v="1098"/>
    <x v="14"/>
    <s v="December"/>
    <s v="Sunday"/>
    <d v="1899-12-30T10:46:15"/>
    <x v="15"/>
    <x v="13"/>
    <s v="December"/>
    <x v="17"/>
    <x v="15"/>
    <s v="Moradabad"/>
    <s v="Anniversary"/>
    <n v="4392"/>
    <n v="1"/>
  </r>
  <r>
    <n v="19"/>
    <s v="C072"/>
    <n v="62"/>
    <s v="Sed Set"/>
    <s v="Colors"/>
    <n v="4"/>
    <n v="1356"/>
    <x v="15"/>
    <s v="March"/>
    <s v="Tuesday"/>
    <d v="1899-12-30T07:59:48"/>
    <x v="8"/>
    <x v="14"/>
    <s v="March"/>
    <x v="18"/>
    <x v="15"/>
    <s v="Vijayanagaram"/>
    <s v="Holi"/>
    <n v="5424"/>
    <n v="1"/>
  </r>
  <r>
    <n v="20"/>
    <s v="C011"/>
    <n v="52"/>
    <s v="Dolorum Box"/>
    <s v="Raksha Bandhan"/>
    <n v="1"/>
    <n v="236"/>
    <x v="4"/>
    <s v="February"/>
    <s v="Saturday"/>
    <d v="1899-12-30T14:36:57"/>
    <x v="16"/>
    <x v="15"/>
    <s v="February"/>
    <x v="19"/>
    <x v="16"/>
    <s v="Madurai"/>
    <s v="Valentine's Day"/>
    <n v="236"/>
    <n v="3"/>
  </r>
  <r>
    <n v="21"/>
    <s v="C090"/>
    <n v="32"/>
    <s v="Fuga Set"/>
    <s v="Soft Toys"/>
    <n v="1"/>
    <n v="1792"/>
    <x v="16"/>
    <s v="February"/>
    <s v="Thursday"/>
    <d v="1899-12-30T11:20:52"/>
    <x v="17"/>
    <x v="12"/>
    <s v="February"/>
    <x v="20"/>
    <x v="17"/>
    <s v="Bathinda"/>
    <s v="Birthday"/>
    <n v="1792"/>
    <n v="3"/>
  </r>
  <r>
    <n v="22"/>
    <s v="C054"/>
    <n v="43"/>
    <s v="Quisquam Pack"/>
    <s v="Raksha Bandhan"/>
    <n v="1"/>
    <n v="750"/>
    <x v="17"/>
    <s v="November"/>
    <s v="Thursday"/>
    <d v="1899-12-30T01:05:28"/>
    <x v="6"/>
    <x v="4"/>
    <s v="November"/>
    <x v="21"/>
    <x v="18"/>
    <s v="Tenali"/>
    <s v="Diwali"/>
    <n v="750"/>
    <n v="5"/>
  </r>
  <r>
    <n v="23"/>
    <s v="C041"/>
    <n v="12"/>
    <s v="Non Set"/>
    <s v="Plants"/>
    <n v="3"/>
    <n v="672"/>
    <x v="18"/>
    <s v="May"/>
    <s v="Friday"/>
    <d v="1899-12-30T05:28:33"/>
    <x v="18"/>
    <x v="16"/>
    <s v="May"/>
    <x v="22"/>
    <x v="19"/>
    <s v="Ludhiana"/>
    <s v="Anniversary"/>
    <n v="2016"/>
    <n v="1"/>
  </r>
  <r>
    <n v="24"/>
    <s v="C018"/>
    <n v="42"/>
    <s v="Expedita Gift"/>
    <s v="Sweets"/>
    <n v="3"/>
    <n v="1744"/>
    <x v="19"/>
    <s v="July"/>
    <s v="Tuesday"/>
    <d v="1899-12-30T05:10:42"/>
    <x v="19"/>
    <x v="16"/>
    <s v="August"/>
    <x v="23"/>
    <x v="20"/>
    <s v="Durg"/>
    <s v="All Occasions"/>
    <n v="5232"/>
    <n v="9"/>
  </r>
  <r>
    <n v="25"/>
    <s v="C091"/>
    <n v="30"/>
    <s v="Recusandae Pack"/>
    <s v="Colors"/>
    <n v="3"/>
    <n v="751"/>
    <x v="20"/>
    <s v="July"/>
    <s v="Friday"/>
    <d v="1899-12-30T10:46:57"/>
    <x v="20"/>
    <x v="13"/>
    <s v="July"/>
    <x v="24"/>
    <x v="21"/>
    <s v="Panipat"/>
    <s v="Anniversary"/>
    <n v="2253"/>
    <n v="3"/>
  </r>
  <r>
    <n v="26"/>
    <s v="C040"/>
    <n v="6"/>
    <s v="Quos Box"/>
    <s v="Cake"/>
    <n v="3"/>
    <n v="1112"/>
    <x v="21"/>
    <s v="March"/>
    <s v="Monday"/>
    <d v="1899-12-30T05:03:06"/>
    <x v="21"/>
    <x v="16"/>
    <s v="March"/>
    <x v="25"/>
    <x v="5"/>
    <s v="Amroha"/>
    <s v="Holi"/>
    <n v="3336"/>
    <n v="6"/>
  </r>
  <r>
    <n v="27"/>
    <s v="C063"/>
    <n v="9"/>
    <s v="Aperiam Box"/>
    <s v="Colors"/>
    <n v="2"/>
    <n v="1605"/>
    <x v="22"/>
    <s v="August"/>
    <s v="Tuesday"/>
    <d v="1899-12-30T11:16:28"/>
    <x v="13"/>
    <x v="12"/>
    <s v="August"/>
    <x v="26"/>
    <x v="22"/>
    <s v="Raipur"/>
    <s v="Raksha Bandhan"/>
    <n v="3210"/>
    <n v="8"/>
  </r>
  <r>
    <n v="28"/>
    <s v="C088"/>
    <n v="42"/>
    <s v="Expedita Gift"/>
    <s v="Sweets"/>
    <n v="3"/>
    <n v="1744"/>
    <x v="18"/>
    <s v="May"/>
    <s v="Friday"/>
    <d v="1899-12-30T03:25:25"/>
    <x v="22"/>
    <x v="9"/>
    <s v="May"/>
    <x v="27"/>
    <x v="23"/>
    <s v="Guwahati"/>
    <s v="All Occasions"/>
    <n v="5232"/>
    <n v="5"/>
  </r>
  <r>
    <n v="29"/>
    <s v="C064"/>
    <n v="10"/>
    <s v="Accusantium Gift"/>
    <s v="Cake"/>
    <n v="5"/>
    <n v="259"/>
    <x v="23"/>
    <s v="September"/>
    <s v="Friday"/>
    <d v="1899-12-30T01:06:22"/>
    <x v="23"/>
    <x v="4"/>
    <s v="October"/>
    <x v="28"/>
    <x v="24"/>
    <s v="Kollam"/>
    <s v="Birthday"/>
    <n v="1295"/>
    <n v="9"/>
  </r>
  <r>
    <n v="30"/>
    <s v="C044"/>
    <n v="23"/>
    <s v="Dignissimos Pack"/>
    <s v="Sweets"/>
    <n v="4"/>
    <n v="1098"/>
    <x v="24"/>
    <s v="January"/>
    <s v="Friday"/>
    <d v="1899-12-30T09:23:33"/>
    <x v="24"/>
    <x v="17"/>
    <s v="January"/>
    <x v="29"/>
    <x v="8"/>
    <s v="Bulandshahr"/>
    <s v="Anniversary"/>
    <n v="4392"/>
    <n v="2"/>
  </r>
  <r>
    <n v="31"/>
    <s v="C029"/>
    <n v="7"/>
    <s v="Quos Set"/>
    <s v="Soft Toys"/>
    <n v="5"/>
    <n v="409"/>
    <x v="25"/>
    <s v="February"/>
    <s v="Tuesday"/>
    <d v="1899-12-30T13:13:22"/>
    <x v="9"/>
    <x v="18"/>
    <s v="March"/>
    <x v="30"/>
    <x v="2"/>
    <s v="Nandyal"/>
    <s v="Holi"/>
    <n v="2045"/>
    <n v="3"/>
  </r>
  <r>
    <n v="32"/>
    <s v="C065"/>
    <n v="7"/>
    <s v="Quos Set"/>
    <s v="Soft Toys"/>
    <n v="5"/>
    <n v="409"/>
    <x v="26"/>
    <s v="March"/>
    <s v="Saturday"/>
    <d v="1899-12-30T15:36:41"/>
    <x v="0"/>
    <x v="11"/>
    <s v="March"/>
    <x v="31"/>
    <x v="10"/>
    <s v="Pudukkottai"/>
    <s v="Holi"/>
    <n v="2045"/>
    <n v="1"/>
  </r>
  <r>
    <n v="33"/>
    <s v="C047"/>
    <n v="8"/>
    <s v="Qui Box"/>
    <s v="Sweets"/>
    <n v="3"/>
    <n v="252"/>
    <x v="27"/>
    <s v="April"/>
    <s v="Saturday"/>
    <d v="1899-12-30T01:37:27"/>
    <x v="25"/>
    <x v="4"/>
    <s v="April"/>
    <x v="32"/>
    <x v="25"/>
    <s v="Amroha"/>
    <s v="Anniversary"/>
    <n v="756"/>
    <n v="10"/>
  </r>
  <r>
    <n v="34"/>
    <s v="C071"/>
    <n v="17"/>
    <s v="Delectus Gift"/>
    <s v="Soft Toys"/>
    <n v="2"/>
    <n v="1899"/>
    <x v="28"/>
    <s v="October"/>
    <s v="Sunday"/>
    <d v="1899-12-30T22:58:15"/>
    <x v="26"/>
    <x v="3"/>
    <s v="October"/>
    <x v="33"/>
    <x v="26"/>
    <s v="Tirupati"/>
    <s v="Anniversary"/>
    <n v="3798"/>
    <n v="4"/>
  </r>
  <r>
    <n v="35"/>
    <s v="C055"/>
    <n v="7"/>
    <s v="Quos Set"/>
    <s v="Soft Toys"/>
    <n v="5"/>
    <n v="409"/>
    <x v="9"/>
    <s v="March"/>
    <s v="Thursday"/>
    <d v="1899-12-30T16:10:26"/>
    <x v="0"/>
    <x v="8"/>
    <s v="March"/>
    <x v="34"/>
    <x v="27"/>
    <s v="Asansol"/>
    <s v="Holi"/>
    <n v="2045"/>
    <n v="3"/>
  </r>
  <r>
    <n v="36"/>
    <s v="C029"/>
    <n v="66"/>
    <s v="Quas Box"/>
    <s v="Colors"/>
    <n v="1"/>
    <n v="610"/>
    <x v="26"/>
    <s v="March"/>
    <s v="Saturday"/>
    <d v="1899-12-30T10:28:53"/>
    <x v="27"/>
    <x v="13"/>
    <s v="March"/>
    <x v="35"/>
    <x v="2"/>
    <s v="New Delhi"/>
    <s v="Holi"/>
    <n v="610"/>
    <n v="10"/>
  </r>
  <r>
    <n v="37"/>
    <s v="C096"/>
    <n v="19"/>
    <s v="Iure Gift"/>
    <s v="Mugs"/>
    <n v="5"/>
    <n v="1234"/>
    <x v="29"/>
    <s v="February"/>
    <s v="Friday"/>
    <d v="1899-12-30T11:01:04"/>
    <x v="28"/>
    <x v="12"/>
    <s v="February"/>
    <x v="36"/>
    <x v="28"/>
    <s v="Katni"/>
    <s v="Valentine's Day"/>
    <n v="6170"/>
    <n v="5"/>
  </r>
  <r>
    <n v="38"/>
    <s v="C067"/>
    <n v="37"/>
    <s v="Officiis Pack"/>
    <s v="Colors"/>
    <n v="3"/>
    <n v="1428"/>
    <x v="30"/>
    <s v="November"/>
    <s v="Saturday"/>
    <d v="1899-12-30T12:30:28"/>
    <x v="6"/>
    <x v="19"/>
    <s v="November"/>
    <x v="37"/>
    <x v="29"/>
    <s v="Indore"/>
    <s v="Diwali"/>
    <n v="4284"/>
    <n v="3"/>
  </r>
  <r>
    <n v="39"/>
    <s v="C054"/>
    <n v="43"/>
    <s v="Quisquam Pack"/>
    <s v="Raksha Bandhan"/>
    <n v="2"/>
    <n v="750"/>
    <x v="31"/>
    <s v="November"/>
    <s v="Thursday"/>
    <d v="1899-12-30T19:25:58"/>
    <x v="29"/>
    <x v="1"/>
    <s v="November"/>
    <x v="38"/>
    <x v="18"/>
    <s v="Vellore"/>
    <s v="Diwali"/>
    <n v="1500"/>
    <n v="2"/>
  </r>
  <r>
    <n v="40"/>
    <s v="C066"/>
    <n v="48"/>
    <s v="Maiores Gift"/>
    <s v="Colors"/>
    <n v="4"/>
    <n v="433"/>
    <x v="31"/>
    <s v="November"/>
    <s v="Thursday"/>
    <d v="1899-12-30T14:15:10"/>
    <x v="30"/>
    <x v="15"/>
    <s v="November"/>
    <x v="39"/>
    <x v="30"/>
    <s v="Raiganj"/>
    <s v="Diwali"/>
    <n v="1732"/>
    <n v="3"/>
  </r>
  <r>
    <n v="41"/>
    <s v="C047"/>
    <n v="54"/>
    <s v="Occaecati Gift"/>
    <s v="Cake"/>
    <n v="4"/>
    <n v="1236"/>
    <x v="32"/>
    <s v="June"/>
    <s v="Thursday"/>
    <d v="1899-12-30T19:19:50"/>
    <x v="31"/>
    <x v="1"/>
    <s v="June"/>
    <x v="40"/>
    <x v="25"/>
    <s v="Saharsa"/>
    <s v="Anniversary"/>
    <n v="4944"/>
    <n v="2"/>
  </r>
  <r>
    <n v="42"/>
    <s v="C080"/>
    <n v="35"/>
    <s v="Nam Gift"/>
    <s v="Colors"/>
    <n v="1"/>
    <n v="1865"/>
    <x v="8"/>
    <s v="February"/>
    <s v="Sunday"/>
    <d v="1899-12-30T00:08:38"/>
    <x v="32"/>
    <x v="5"/>
    <s v="March"/>
    <x v="41"/>
    <x v="31"/>
    <s v="Faridabad"/>
    <s v="Holi"/>
    <n v="1865"/>
    <n v="9"/>
  </r>
  <r>
    <n v="43"/>
    <s v="C046"/>
    <n v="49"/>
    <s v="Voluptate Pack"/>
    <s v="Colors"/>
    <n v="3"/>
    <n v="903"/>
    <x v="33"/>
    <s v="February"/>
    <s v="Sunday"/>
    <d v="1899-12-30T22:31:16"/>
    <x v="33"/>
    <x v="3"/>
    <s v="February"/>
    <x v="42"/>
    <x v="32"/>
    <s v="Sambalpur"/>
    <s v="Valentine's Day"/>
    <n v="2709"/>
    <n v="4"/>
  </r>
  <r>
    <n v="44"/>
    <s v="C006"/>
    <n v="14"/>
    <s v="Deserunt Box"/>
    <s v="Colors"/>
    <n v="1"/>
    <n v="1915"/>
    <x v="34"/>
    <s v="July"/>
    <s v="Monday"/>
    <d v="1899-12-30T21:57:56"/>
    <x v="34"/>
    <x v="20"/>
    <s v="July"/>
    <x v="43"/>
    <x v="33"/>
    <s v="Bhavnagar"/>
    <s v="Birthday"/>
    <n v="1915"/>
    <n v="10"/>
  </r>
  <r>
    <n v="45"/>
    <s v="C097"/>
    <n v="61"/>
    <s v="Iusto Box"/>
    <s v="Plants"/>
    <n v="5"/>
    <n v="810"/>
    <x v="35"/>
    <s v="April"/>
    <s v="Friday"/>
    <d v="1899-12-30T14:26:26"/>
    <x v="35"/>
    <x v="15"/>
    <s v="April"/>
    <x v="44"/>
    <x v="7"/>
    <s v="Haldia"/>
    <s v="Anniversary"/>
    <n v="4050"/>
    <n v="1"/>
  </r>
  <r>
    <n v="46"/>
    <s v="C059"/>
    <n v="22"/>
    <s v="Exercitationem Pack"/>
    <s v="Soft Toys"/>
    <n v="4"/>
    <n v="1639"/>
    <x v="36"/>
    <s v="April"/>
    <s v="Tuesday"/>
    <d v="1899-12-30T03:21:11"/>
    <x v="36"/>
    <x v="9"/>
    <s v="April"/>
    <x v="45"/>
    <x v="34"/>
    <s v="Guna"/>
    <s v="All Occasions"/>
    <n v="6556"/>
    <n v="5"/>
  </r>
  <r>
    <n v="47"/>
    <s v="C013"/>
    <n v="7"/>
    <s v="Quos Set"/>
    <s v="Soft Toys"/>
    <n v="5"/>
    <n v="409"/>
    <x v="8"/>
    <s v="February"/>
    <s v="Sunday"/>
    <d v="1899-12-30T13:04:28"/>
    <x v="37"/>
    <x v="18"/>
    <s v="February"/>
    <x v="46"/>
    <x v="14"/>
    <s v="Jaipur"/>
    <s v="Holi"/>
    <n v="2045"/>
    <n v="2"/>
  </r>
  <r>
    <n v="48"/>
    <s v="C031"/>
    <n v="65"/>
    <s v="Error Gift"/>
    <s v="Raksha Bandhan"/>
    <n v="4"/>
    <n v="1895"/>
    <x v="37"/>
    <s v="November"/>
    <s v="Sunday"/>
    <d v="1899-12-30T20:00:30"/>
    <x v="38"/>
    <x v="6"/>
    <s v="November"/>
    <x v="47"/>
    <x v="35"/>
    <s v="Delhi"/>
    <s v="All Occasions"/>
    <n v="7580"/>
    <n v="4"/>
  </r>
  <r>
    <n v="49"/>
    <s v="C020"/>
    <n v="43"/>
    <s v="Quisquam Pack"/>
    <s v="Raksha Bandhan"/>
    <n v="1"/>
    <n v="750"/>
    <x v="30"/>
    <s v="November"/>
    <s v="Saturday"/>
    <d v="1899-12-30T17:44:30"/>
    <x v="39"/>
    <x v="21"/>
    <s v="November"/>
    <x v="48"/>
    <x v="36"/>
    <s v="Nangloi Jat"/>
    <s v="Diwali"/>
    <n v="750"/>
    <n v="7"/>
  </r>
  <r>
    <n v="50"/>
    <s v="C014"/>
    <n v="41"/>
    <s v="Aut Box"/>
    <s v="Sweets"/>
    <n v="4"/>
    <n v="1977"/>
    <x v="17"/>
    <s v="November"/>
    <s v="Thursday"/>
    <d v="1899-12-30T06:56:33"/>
    <x v="38"/>
    <x v="22"/>
    <s v="November"/>
    <x v="49"/>
    <x v="37"/>
    <s v="Jamalpur"/>
    <s v="Diwali"/>
    <n v="7908"/>
    <n v="7"/>
  </r>
  <r>
    <n v="51"/>
    <s v="C036"/>
    <n v="10"/>
    <s v="Accusantium Gift"/>
    <s v="Cake"/>
    <n v="1"/>
    <n v="259"/>
    <x v="38"/>
    <s v="March"/>
    <s v="Wednesday"/>
    <d v="1899-12-30T09:23:49"/>
    <x v="40"/>
    <x v="17"/>
    <s v="March"/>
    <x v="50"/>
    <x v="38"/>
    <s v="Agartala"/>
    <s v="Birthday"/>
    <n v="259"/>
    <n v="4"/>
  </r>
  <r>
    <n v="52"/>
    <s v="C023"/>
    <n v="9"/>
    <s v="Aperiam Box"/>
    <s v="Colors"/>
    <n v="1"/>
    <n v="1605"/>
    <x v="39"/>
    <s v="August"/>
    <s v="Tuesday"/>
    <d v="1899-12-30T19:55:22"/>
    <x v="41"/>
    <x v="1"/>
    <s v="September"/>
    <x v="51"/>
    <x v="18"/>
    <s v="Hospet"/>
    <s v="Raksha Bandhan"/>
    <n v="1605"/>
    <n v="9"/>
  </r>
  <r>
    <n v="53"/>
    <s v="C045"/>
    <n v="9"/>
    <s v="Aperiam Box"/>
    <s v="Colors"/>
    <n v="5"/>
    <n v="1605"/>
    <x v="5"/>
    <s v="August"/>
    <s v="Sunday"/>
    <d v="1899-12-30T08:25:45"/>
    <x v="42"/>
    <x v="7"/>
    <s v="August"/>
    <x v="52"/>
    <x v="39"/>
    <s v="Kozhikode"/>
    <s v="Raksha Bandhan"/>
    <n v="8025"/>
    <n v="7"/>
  </r>
  <r>
    <n v="54"/>
    <s v="C059"/>
    <n v="30"/>
    <s v="Recusandae Pack"/>
    <s v="Colors"/>
    <n v="1"/>
    <n v="751"/>
    <x v="40"/>
    <s v="April"/>
    <s v="Thursday"/>
    <d v="1899-12-30T09:55:01"/>
    <x v="36"/>
    <x v="17"/>
    <s v="April"/>
    <x v="53"/>
    <x v="34"/>
    <s v="Ratlam"/>
    <s v="Anniversary"/>
    <n v="751"/>
    <n v="10"/>
  </r>
  <r>
    <n v="55"/>
    <s v="C040"/>
    <n v="5"/>
    <s v="Natus Gift"/>
    <s v="Colors"/>
    <n v="1"/>
    <n v="1444"/>
    <x v="41"/>
    <s v="February"/>
    <s v="Wednesday"/>
    <d v="1899-12-30T08:01:07"/>
    <x v="43"/>
    <x v="7"/>
    <s v="February"/>
    <x v="54"/>
    <x v="5"/>
    <s v="Kottayam"/>
    <s v="All Occasions"/>
    <n v="1444"/>
    <n v="5"/>
  </r>
  <r>
    <n v="56"/>
    <s v="C095"/>
    <n v="58"/>
    <s v="Sed Pack"/>
    <s v="Cake"/>
    <n v="5"/>
    <n v="1492"/>
    <x v="41"/>
    <s v="February"/>
    <s v="Wednesday"/>
    <d v="1899-12-30T12:11:48"/>
    <x v="43"/>
    <x v="19"/>
    <s v="February"/>
    <x v="55"/>
    <x v="40"/>
    <s v="Danapur"/>
    <s v="Valentine's Day"/>
    <n v="7460"/>
    <n v="5"/>
  </r>
  <r>
    <n v="57"/>
    <s v="C090"/>
    <n v="35"/>
    <s v="Nam Gift"/>
    <s v="Colors"/>
    <n v="5"/>
    <n v="1865"/>
    <x v="8"/>
    <s v="February"/>
    <s v="Sunday"/>
    <d v="1899-12-30T08:00:15"/>
    <x v="44"/>
    <x v="7"/>
    <s v="March"/>
    <x v="56"/>
    <x v="17"/>
    <s v="Ahmedabad"/>
    <s v="Holi"/>
    <n v="9325"/>
    <n v="8"/>
  </r>
  <r>
    <n v="58"/>
    <s v="C077"/>
    <n v="36"/>
    <s v="Cum Gift"/>
    <s v="Plants"/>
    <n v="1"/>
    <n v="203"/>
    <x v="42"/>
    <s v="January"/>
    <s v="Friday"/>
    <d v="1899-12-30T02:51:30"/>
    <x v="24"/>
    <x v="10"/>
    <s v="January"/>
    <x v="57"/>
    <x v="41"/>
    <s v="Amravati"/>
    <s v="Birthday"/>
    <n v="203"/>
    <n v="9"/>
  </r>
  <r>
    <n v="59"/>
    <s v="C041"/>
    <n v="51"/>
    <s v="Fugit Set"/>
    <s v="Soft Toys"/>
    <n v="5"/>
    <n v="1084"/>
    <x v="43"/>
    <s v="June"/>
    <s v="Monday"/>
    <d v="1899-12-30T03:56:15"/>
    <x v="45"/>
    <x v="9"/>
    <s v="June"/>
    <x v="58"/>
    <x v="19"/>
    <s v="Thiruvananthapuram"/>
    <s v="All Occasions"/>
    <n v="5420"/>
    <n v="2"/>
  </r>
  <r>
    <n v="60"/>
    <s v="C023"/>
    <n v="5"/>
    <s v="Natus Gift"/>
    <s v="Colors"/>
    <n v="2"/>
    <n v="1444"/>
    <x v="44"/>
    <s v="December"/>
    <s v="Wednesday"/>
    <d v="1899-12-30T06:46:45"/>
    <x v="46"/>
    <x v="22"/>
    <s v="December"/>
    <x v="59"/>
    <x v="18"/>
    <s v="Darbhanga"/>
    <s v="All Occasions"/>
    <n v="2888"/>
    <n v="2"/>
  </r>
  <r>
    <n v="61"/>
    <s v="C058"/>
    <n v="44"/>
    <s v="Dolorum Set"/>
    <s v="Plants"/>
    <n v="2"/>
    <n v="794"/>
    <x v="7"/>
    <s v="November"/>
    <s v="Wednesday"/>
    <d v="1899-12-30T22:26:25"/>
    <x v="47"/>
    <x v="3"/>
    <s v="November"/>
    <x v="60"/>
    <x v="42"/>
    <s v="Panihati"/>
    <s v="Diwali"/>
    <n v="1588"/>
    <n v="2"/>
  </r>
  <r>
    <n v="62"/>
    <s v="C074"/>
    <n v="6"/>
    <s v="Quos Box"/>
    <s v="Cake"/>
    <n v="4"/>
    <n v="1112"/>
    <x v="9"/>
    <s v="March"/>
    <s v="Thursday"/>
    <d v="1899-12-30T15:30:51"/>
    <x v="44"/>
    <x v="11"/>
    <s v="March"/>
    <x v="61"/>
    <x v="43"/>
    <s v="Jorhat"/>
    <s v="Holi"/>
    <n v="4448"/>
    <n v="4"/>
  </r>
  <r>
    <n v="63"/>
    <s v="C056"/>
    <n v="42"/>
    <s v="Expedita Gift"/>
    <s v="Sweets"/>
    <n v="3"/>
    <n v="1744"/>
    <x v="45"/>
    <s v="June"/>
    <s v="Sunday"/>
    <d v="1899-12-30T06:22:38"/>
    <x v="48"/>
    <x v="22"/>
    <s v="June"/>
    <x v="62"/>
    <x v="2"/>
    <s v="Munger"/>
    <s v="All Occasions"/>
    <n v="5232"/>
    <n v="1"/>
  </r>
  <r>
    <n v="64"/>
    <s v="C015"/>
    <n v="25"/>
    <s v="Qui Gift"/>
    <s v="Plants"/>
    <n v="1"/>
    <n v="1202"/>
    <x v="46"/>
    <s v="June"/>
    <s v="Monday"/>
    <d v="1899-12-30T02:48:39"/>
    <x v="49"/>
    <x v="10"/>
    <s v="June"/>
    <x v="63"/>
    <x v="44"/>
    <s v="Chittoor"/>
    <s v="Anniversary"/>
    <n v="1202"/>
    <n v="3"/>
  </r>
  <r>
    <n v="65"/>
    <s v="C033"/>
    <n v="54"/>
    <s v="Occaecati Gift"/>
    <s v="Cake"/>
    <n v="2"/>
    <n v="1236"/>
    <x v="47"/>
    <s v="September"/>
    <s v="Friday"/>
    <d v="1899-12-30T13:02:28"/>
    <x v="50"/>
    <x v="18"/>
    <s v="September"/>
    <x v="64"/>
    <x v="45"/>
    <s v="Berhampur"/>
    <s v="Anniversary"/>
    <n v="2472"/>
    <n v="10"/>
  </r>
  <r>
    <n v="66"/>
    <s v="C017"/>
    <n v="35"/>
    <s v="Nam Gift"/>
    <s v="Colors"/>
    <n v="5"/>
    <n v="1865"/>
    <x v="8"/>
    <s v="February"/>
    <s v="Sunday"/>
    <d v="1899-12-30T21:00:44"/>
    <x v="51"/>
    <x v="20"/>
    <s v="February"/>
    <x v="65"/>
    <x v="46"/>
    <s v="Munger"/>
    <s v="Holi"/>
    <n v="9325"/>
    <n v="1"/>
  </r>
  <r>
    <n v="67"/>
    <s v="C047"/>
    <n v="10"/>
    <s v="Accusantium Gift"/>
    <s v="Cake"/>
    <n v="2"/>
    <n v="259"/>
    <x v="48"/>
    <s v="July"/>
    <s v="Thursday"/>
    <d v="1899-12-30T17:28:21"/>
    <x v="52"/>
    <x v="21"/>
    <s v="July"/>
    <x v="66"/>
    <x v="25"/>
    <s v="Thrissur"/>
    <s v="Birthday"/>
    <n v="518"/>
    <n v="8"/>
  </r>
  <r>
    <n v="68"/>
    <s v="C050"/>
    <n v="34"/>
    <s v="Placeat Pack"/>
    <s v="Soft Toys"/>
    <n v="4"/>
    <n v="1335"/>
    <x v="49"/>
    <s v="August"/>
    <s v="Friday"/>
    <d v="1899-12-30T22:43:58"/>
    <x v="53"/>
    <x v="3"/>
    <s v="August"/>
    <x v="67"/>
    <x v="27"/>
    <s v="Ahmedabad"/>
    <s v="Raksha Bandhan"/>
    <n v="5340"/>
    <n v="6"/>
  </r>
  <r>
    <n v="69"/>
    <s v="C091"/>
    <n v="12"/>
    <s v="Non Set"/>
    <s v="Plants"/>
    <n v="4"/>
    <n v="672"/>
    <x v="50"/>
    <s v="September"/>
    <s v="Saturday"/>
    <d v="1899-12-30T19:21:41"/>
    <x v="54"/>
    <x v="1"/>
    <s v="September"/>
    <x v="68"/>
    <x v="21"/>
    <s v="Hyderabad"/>
    <s v="Anniversary"/>
    <n v="2688"/>
    <n v="6"/>
  </r>
  <r>
    <n v="70"/>
    <s v="C037"/>
    <n v="17"/>
    <s v="Delectus Gift"/>
    <s v="Soft Toys"/>
    <n v="1"/>
    <n v="1899"/>
    <x v="51"/>
    <s v="September"/>
    <s v="Thursday"/>
    <d v="1899-12-30T04:21:09"/>
    <x v="55"/>
    <x v="2"/>
    <s v="October"/>
    <x v="69"/>
    <x v="0"/>
    <s v="Vijayanagaram"/>
    <s v="Anniversary"/>
    <n v="1899"/>
    <n v="5"/>
  </r>
  <r>
    <n v="71"/>
    <s v="C013"/>
    <n v="9"/>
    <s v="Aperiam Box"/>
    <s v="Colors"/>
    <n v="5"/>
    <n v="1605"/>
    <x v="5"/>
    <s v="August"/>
    <s v="Sunday"/>
    <d v="1899-12-30T16:32:06"/>
    <x v="56"/>
    <x v="8"/>
    <s v="August"/>
    <x v="70"/>
    <x v="14"/>
    <s v="Karnal"/>
    <s v="Raksha Bandhan"/>
    <n v="8025"/>
    <n v="8"/>
  </r>
  <r>
    <n v="72"/>
    <s v="C058"/>
    <n v="26"/>
    <s v="Aliquam Box"/>
    <s v="Colors"/>
    <n v="3"/>
    <n v="289"/>
    <x v="52"/>
    <s v="March"/>
    <s v="Friday"/>
    <d v="1899-12-30T15:49:26"/>
    <x v="21"/>
    <x v="11"/>
    <s v="March"/>
    <x v="71"/>
    <x v="42"/>
    <s v="Bally"/>
    <s v="Holi"/>
    <n v="867"/>
    <n v="9"/>
  </r>
  <r>
    <n v="73"/>
    <s v="C057"/>
    <n v="26"/>
    <s v="Aliquam Box"/>
    <s v="Colors"/>
    <n v="1"/>
    <n v="289"/>
    <x v="52"/>
    <s v="March"/>
    <s v="Friday"/>
    <d v="1899-12-30T12:52:36"/>
    <x v="57"/>
    <x v="19"/>
    <s v="March"/>
    <x v="72"/>
    <x v="47"/>
    <s v="Farrukhabad"/>
    <s v="Holi"/>
    <n v="289"/>
    <n v="8"/>
  </r>
  <r>
    <n v="74"/>
    <s v="C024"/>
    <n v="31"/>
    <s v="Nihil Box"/>
    <s v="Colors"/>
    <n v="3"/>
    <n v="1804"/>
    <x v="53"/>
    <s v="January"/>
    <s v="Sunday"/>
    <d v="1899-12-30T20:55:22"/>
    <x v="58"/>
    <x v="6"/>
    <s v="January"/>
    <x v="73"/>
    <x v="11"/>
    <s v="Shivpuri"/>
    <s v="All Occasions"/>
    <n v="5412"/>
    <n v="6"/>
  </r>
  <r>
    <n v="75"/>
    <s v="C009"/>
    <n v="65"/>
    <s v="Error Gift"/>
    <s v="Raksha Bandhan"/>
    <n v="2"/>
    <n v="1895"/>
    <x v="54"/>
    <s v="April"/>
    <s v="Thursday"/>
    <d v="1899-12-30T11:10:24"/>
    <x v="59"/>
    <x v="12"/>
    <s v="April"/>
    <x v="74"/>
    <x v="6"/>
    <s v="Bally"/>
    <s v="All Occasions"/>
    <n v="3790"/>
    <n v="3"/>
  </r>
  <r>
    <n v="76"/>
    <s v="C054"/>
    <n v="4"/>
    <s v="Accusantium Set"/>
    <s v="Sweets"/>
    <n v="1"/>
    <n v="1199"/>
    <x v="17"/>
    <s v="November"/>
    <s v="Thursday"/>
    <d v="1899-12-30T05:13:11"/>
    <x v="60"/>
    <x v="16"/>
    <s v="November"/>
    <x v="75"/>
    <x v="18"/>
    <s v="Anand"/>
    <s v="Diwali"/>
    <n v="1199"/>
    <n v="3"/>
  </r>
  <r>
    <n v="77"/>
    <s v="C028"/>
    <n v="42"/>
    <s v="Expedita Gift"/>
    <s v="Sweets"/>
    <n v="3"/>
    <n v="1744"/>
    <x v="55"/>
    <s v="August"/>
    <s v="Saturday"/>
    <d v="1899-12-30T01:07:11"/>
    <x v="61"/>
    <x v="4"/>
    <s v="August"/>
    <x v="76"/>
    <x v="48"/>
    <s v="Kanpur"/>
    <s v="All Occasions"/>
    <n v="5232"/>
    <n v="8"/>
  </r>
  <r>
    <n v="78"/>
    <s v="C062"/>
    <n v="11"/>
    <s v="Maxime Set"/>
    <s v="Mugs"/>
    <n v="2"/>
    <n v="1096"/>
    <x v="56"/>
    <s v="February"/>
    <s v="Saturday"/>
    <d v="1899-12-30T13:00:09"/>
    <x v="62"/>
    <x v="18"/>
    <s v="February"/>
    <x v="77"/>
    <x v="49"/>
    <s v="Pallavaram"/>
    <s v="Valentine's Day"/>
    <n v="2192"/>
    <n v="4"/>
  </r>
  <r>
    <n v="79"/>
    <s v="C010"/>
    <n v="40"/>
    <s v="Provident Pack"/>
    <s v="Sweets"/>
    <n v="2"/>
    <n v="1923"/>
    <x v="57"/>
    <s v="June"/>
    <s v="Thursday"/>
    <d v="1899-12-30T17:29:30"/>
    <x v="63"/>
    <x v="21"/>
    <s v="June"/>
    <x v="78"/>
    <x v="50"/>
    <s v="Varanasi"/>
    <s v="Anniversary"/>
    <n v="3846"/>
    <n v="10"/>
  </r>
  <r>
    <n v="80"/>
    <s v="C008"/>
    <n v="39"/>
    <s v="Voluptate Set"/>
    <s v="Mugs"/>
    <n v="4"/>
    <n v="387"/>
    <x v="58"/>
    <s v="January"/>
    <s v="Monday"/>
    <d v="1899-12-30T11:07:02"/>
    <x v="64"/>
    <x v="12"/>
    <s v="January"/>
    <x v="79"/>
    <x v="51"/>
    <s v="Salem"/>
    <s v="All Occasions"/>
    <n v="1548"/>
    <n v="9"/>
  </r>
  <r>
    <n v="81"/>
    <s v="C053"/>
    <n v="1"/>
    <s v="Magnam Set"/>
    <s v="Soft Toys"/>
    <n v="5"/>
    <n v="1935"/>
    <x v="59"/>
    <s v="February"/>
    <s v="Wednesday"/>
    <d v="1899-12-30T18:29:21"/>
    <x v="9"/>
    <x v="23"/>
    <s v="March"/>
    <x v="80"/>
    <x v="52"/>
    <s v="Kalyan-Dombivli"/>
    <s v="All Occasions"/>
    <n v="9675"/>
    <n v="9"/>
  </r>
  <r>
    <n v="82"/>
    <s v="C038"/>
    <n v="70"/>
    <s v="Error Gift"/>
    <s v="Sweets"/>
    <n v="3"/>
    <n v="866"/>
    <x v="60"/>
    <s v="August"/>
    <s v="Friday"/>
    <d v="1899-12-30T22:02:05"/>
    <x v="65"/>
    <x v="3"/>
    <s v="August"/>
    <x v="81"/>
    <x v="53"/>
    <s v="Gwalior"/>
    <s v="Birthday"/>
    <n v="2598"/>
    <n v="1"/>
  </r>
  <r>
    <n v="83"/>
    <s v="C036"/>
    <n v="27"/>
    <s v="Architecto Gift"/>
    <s v="Cake"/>
    <n v="4"/>
    <n v="548"/>
    <x v="61"/>
    <s v="August"/>
    <s v="Wednesday"/>
    <d v="1899-12-30T19:12:01"/>
    <x v="66"/>
    <x v="1"/>
    <s v="September"/>
    <x v="82"/>
    <x v="38"/>
    <s v="Asansol"/>
    <s v="Raksha Bandhan"/>
    <n v="2192"/>
    <n v="10"/>
  </r>
  <r>
    <n v="84"/>
    <s v="C032"/>
    <n v="47"/>
    <s v="Harum Pack"/>
    <s v="Colors"/>
    <n v="1"/>
    <n v="1638"/>
    <x v="26"/>
    <s v="March"/>
    <s v="Saturday"/>
    <d v="1899-12-30T03:31:50"/>
    <x v="44"/>
    <x v="9"/>
    <s v="March"/>
    <x v="83"/>
    <x v="54"/>
    <s v="Tirupati"/>
    <s v="Holi"/>
    <n v="1638"/>
    <n v="2"/>
  </r>
  <r>
    <n v="85"/>
    <s v="C041"/>
    <n v="26"/>
    <s v="Aliquam Box"/>
    <s v="Colors"/>
    <n v="2"/>
    <n v="289"/>
    <x v="26"/>
    <s v="March"/>
    <s v="Saturday"/>
    <d v="1899-12-30T21:35:20"/>
    <x v="27"/>
    <x v="20"/>
    <s v="March"/>
    <x v="84"/>
    <x v="19"/>
    <s v="Agra"/>
    <s v="Holi"/>
    <n v="578"/>
    <n v="10"/>
  </r>
  <r>
    <n v="86"/>
    <s v="C046"/>
    <n v="39"/>
    <s v="Voluptate Set"/>
    <s v="Mugs"/>
    <n v="4"/>
    <n v="387"/>
    <x v="62"/>
    <s v="September"/>
    <s v="Wednesday"/>
    <d v="1899-12-30T11:27:49"/>
    <x v="67"/>
    <x v="12"/>
    <s v="September"/>
    <x v="85"/>
    <x v="32"/>
    <s v="Sirsa"/>
    <s v="All Occasions"/>
    <n v="1548"/>
    <n v="9"/>
  </r>
  <r>
    <n v="87"/>
    <s v="C055"/>
    <n v="2"/>
    <s v="Voluptas Box"/>
    <s v="Plants"/>
    <n v="5"/>
    <n v="441"/>
    <x v="56"/>
    <s v="February"/>
    <s v="Saturday"/>
    <d v="1899-12-30T13:17:21"/>
    <x v="68"/>
    <x v="18"/>
    <s v="February"/>
    <x v="86"/>
    <x v="27"/>
    <s v="Malda"/>
    <s v="Valentine's Day"/>
    <n v="2205"/>
    <n v="7"/>
  </r>
  <r>
    <n v="88"/>
    <s v="C008"/>
    <n v="15"/>
    <s v="Repudiandae Box"/>
    <s v="Raksha Bandhan"/>
    <n v="4"/>
    <n v="1488"/>
    <x v="63"/>
    <s v="December"/>
    <s v="Friday"/>
    <d v="1899-12-30T10:02:31"/>
    <x v="69"/>
    <x v="13"/>
    <s v="January"/>
    <x v="87"/>
    <x v="51"/>
    <s v="Avadi"/>
    <s v="Anniversary"/>
    <n v="5952"/>
    <n v="10"/>
  </r>
  <r>
    <n v="89"/>
    <s v="C060"/>
    <n v="3"/>
    <s v="Eius Gift"/>
    <s v="Colors"/>
    <n v="5"/>
    <n v="1534"/>
    <x v="33"/>
    <s v="February"/>
    <s v="Sunday"/>
    <d v="1899-12-30T22:56:52"/>
    <x v="43"/>
    <x v="3"/>
    <s v="February"/>
    <x v="88"/>
    <x v="55"/>
    <s v="Aurangabad"/>
    <s v="Valentine's Day"/>
    <n v="7670"/>
    <n v="1"/>
  </r>
  <r>
    <n v="90"/>
    <s v="C088"/>
    <n v="41"/>
    <s v="Aut Box"/>
    <s v="Sweets"/>
    <n v="3"/>
    <n v="1977"/>
    <x v="17"/>
    <s v="November"/>
    <s v="Thursday"/>
    <d v="1899-12-30T20:54:16"/>
    <x v="39"/>
    <x v="6"/>
    <s v="November"/>
    <x v="89"/>
    <x v="23"/>
    <s v="Shahjahanpur"/>
    <s v="Diwali"/>
    <n v="5931"/>
    <n v="9"/>
  </r>
  <r>
    <n v="91"/>
    <s v="C061"/>
    <n v="6"/>
    <s v="Quos Box"/>
    <s v="Cake"/>
    <n v="2"/>
    <n v="1112"/>
    <x v="64"/>
    <s v="February"/>
    <s v="Monday"/>
    <d v="1899-12-30T13:52:56"/>
    <x v="0"/>
    <x v="18"/>
    <s v="March"/>
    <x v="90"/>
    <x v="11"/>
    <s v="Mahbubnagar"/>
    <s v="Holi"/>
    <n v="2224"/>
    <n v="6"/>
  </r>
  <r>
    <n v="92"/>
    <s v="C100"/>
    <n v="18"/>
    <s v="Nemo Set"/>
    <s v="Plants"/>
    <n v="5"/>
    <n v="781"/>
    <x v="65"/>
    <s v="May"/>
    <s v="Monday"/>
    <d v="1899-12-30T00:11:18"/>
    <x v="70"/>
    <x v="5"/>
    <s v="May"/>
    <x v="91"/>
    <x v="56"/>
    <s v="Rohtak"/>
    <s v="Birthday"/>
    <n v="3905"/>
    <n v="10"/>
  </r>
  <r>
    <n v="93"/>
    <s v="C047"/>
    <n v="24"/>
    <s v="Ad Box"/>
    <s v="Mugs"/>
    <n v="4"/>
    <n v="535"/>
    <x v="66"/>
    <s v="May"/>
    <s v="Monday"/>
    <d v="1899-12-30T17:50:59"/>
    <x v="71"/>
    <x v="21"/>
    <s v="May"/>
    <x v="92"/>
    <x v="25"/>
    <s v="Warangal"/>
    <s v="Birthday"/>
    <n v="2140"/>
    <n v="2"/>
  </r>
  <r>
    <n v="94"/>
    <s v="C099"/>
    <n v="69"/>
    <s v="Id Box"/>
    <s v="Cake"/>
    <n v="5"/>
    <n v="998"/>
    <x v="9"/>
    <s v="March"/>
    <s v="Thursday"/>
    <d v="1899-12-30T14:51:08"/>
    <x v="57"/>
    <x v="15"/>
    <s v="March"/>
    <x v="35"/>
    <x v="9"/>
    <s v="Purnia"/>
    <s v="Holi"/>
    <n v="4990"/>
    <n v="9"/>
  </r>
  <r>
    <n v="95"/>
    <s v="C039"/>
    <n v="70"/>
    <s v="Error Gift"/>
    <s v="Sweets"/>
    <n v="4"/>
    <n v="866"/>
    <x v="67"/>
    <s v="May"/>
    <s v="Monday"/>
    <d v="1899-12-30T07:54:41"/>
    <x v="72"/>
    <x v="14"/>
    <s v="June"/>
    <x v="93"/>
    <x v="57"/>
    <s v="Narasaraopet"/>
    <s v="Birthday"/>
    <n v="3464"/>
    <n v="5"/>
  </r>
  <r>
    <n v="96"/>
    <s v="C099"/>
    <n v="25"/>
    <s v="Qui Gift"/>
    <s v="Plants"/>
    <n v="3"/>
    <n v="1202"/>
    <x v="68"/>
    <s v="March"/>
    <s v="Tuesday"/>
    <d v="1899-12-30T15:00:21"/>
    <x v="73"/>
    <x v="11"/>
    <s v="March"/>
    <x v="94"/>
    <x v="9"/>
    <s v="Latur"/>
    <s v="Anniversary"/>
    <n v="3606"/>
    <n v="9"/>
  </r>
  <r>
    <n v="97"/>
    <s v="C041"/>
    <n v="41"/>
    <s v="Aut Box"/>
    <s v="Sweets"/>
    <n v="1"/>
    <n v="1977"/>
    <x v="69"/>
    <s v="November"/>
    <s v="Friday"/>
    <d v="1899-12-30T20:11:32"/>
    <x v="74"/>
    <x v="6"/>
    <s v="November"/>
    <x v="95"/>
    <x v="19"/>
    <s v="Bhavnagar"/>
    <s v="Diwali"/>
    <n v="1977"/>
    <n v="5"/>
  </r>
  <r>
    <n v="98"/>
    <s v="C031"/>
    <n v="8"/>
    <s v="Qui Box"/>
    <s v="Sweets"/>
    <n v="1"/>
    <n v="252"/>
    <x v="70"/>
    <s v="October"/>
    <s v="Monday"/>
    <d v="1899-12-30T15:26:00"/>
    <x v="75"/>
    <x v="11"/>
    <s v="November"/>
    <x v="96"/>
    <x v="35"/>
    <s v="Bulandshahr"/>
    <s v="Anniversary"/>
    <n v="252"/>
    <n v="2"/>
  </r>
  <r>
    <n v="99"/>
    <s v="C050"/>
    <n v="38"/>
    <s v="Mollitia Set"/>
    <s v="Cake"/>
    <n v="3"/>
    <n v="562"/>
    <x v="13"/>
    <s v="November"/>
    <s v="Saturday"/>
    <d v="1899-12-30T14:00:46"/>
    <x v="30"/>
    <x v="15"/>
    <s v="November"/>
    <x v="97"/>
    <x v="27"/>
    <s v="Burhanpur"/>
    <s v="Birthday"/>
    <n v="1686"/>
    <n v="1"/>
  </r>
  <r>
    <n v="100"/>
    <s v="C055"/>
    <n v="42"/>
    <s v="Expedita Gift"/>
    <s v="Sweets"/>
    <n v="5"/>
    <n v="1744"/>
    <x v="71"/>
    <s v="May"/>
    <s v="Tuesday"/>
    <d v="1899-12-30T05:50:07"/>
    <x v="76"/>
    <x v="16"/>
    <s v="May"/>
    <x v="98"/>
    <x v="27"/>
    <s v="Bhiwani"/>
    <s v="All Occasions"/>
    <n v="8720"/>
    <n v="8"/>
  </r>
  <r>
    <n v="101"/>
    <s v="C064"/>
    <n v="70"/>
    <s v="Error Gift"/>
    <s v="Sweets"/>
    <n v="4"/>
    <n v="866"/>
    <x v="72"/>
    <s v="June"/>
    <s v="Monday"/>
    <d v="1899-12-30T03:56:52"/>
    <x v="77"/>
    <x v="9"/>
    <s v="June"/>
    <x v="99"/>
    <x v="24"/>
    <s v="Belgaum"/>
    <s v="Birthday"/>
    <n v="3464"/>
    <n v="2"/>
  </r>
  <r>
    <n v="102"/>
    <s v="C081"/>
    <n v="10"/>
    <s v="Accusantium Gift"/>
    <s v="Cake"/>
    <n v="3"/>
    <n v="259"/>
    <x v="73"/>
    <s v="October"/>
    <s v="Saturday"/>
    <d v="1899-12-30T19:34:14"/>
    <x v="78"/>
    <x v="1"/>
    <s v="November"/>
    <x v="100"/>
    <x v="58"/>
    <s v="Ozhukarai"/>
    <s v="Birthday"/>
    <n v="777"/>
    <n v="9"/>
  </r>
  <r>
    <n v="103"/>
    <s v="C097"/>
    <n v="18"/>
    <s v="Nemo Set"/>
    <s v="Plants"/>
    <n v="3"/>
    <n v="781"/>
    <x v="74"/>
    <s v="February"/>
    <s v="Wednesday"/>
    <d v="1899-12-30T12:24:59"/>
    <x v="62"/>
    <x v="19"/>
    <s v="February"/>
    <x v="101"/>
    <x v="7"/>
    <s v="Ichalkaranji"/>
    <s v="Birthday"/>
    <n v="2343"/>
    <n v="7"/>
  </r>
  <r>
    <n v="104"/>
    <s v="C082"/>
    <n v="51"/>
    <s v="Fugit Set"/>
    <s v="Soft Toys"/>
    <n v="3"/>
    <n v="1084"/>
    <x v="75"/>
    <s v="December"/>
    <s v="Friday"/>
    <d v="1899-12-30T01:45:29"/>
    <x v="79"/>
    <x v="4"/>
    <s v="January"/>
    <x v="102"/>
    <x v="59"/>
    <s v="Ahmednagar"/>
    <s v="All Occasions"/>
    <n v="3252"/>
    <n v="7"/>
  </r>
  <r>
    <n v="105"/>
    <s v="C063"/>
    <n v="36"/>
    <s v="Cum Gift"/>
    <s v="Plants"/>
    <n v="2"/>
    <n v="203"/>
    <x v="4"/>
    <s v="February"/>
    <s v="Saturday"/>
    <d v="1899-12-30T02:57:36"/>
    <x v="80"/>
    <x v="10"/>
    <s v="February"/>
    <x v="103"/>
    <x v="22"/>
    <s v="Guna"/>
    <s v="Birthday"/>
    <n v="406"/>
    <n v="10"/>
  </r>
  <r>
    <n v="106"/>
    <s v="C095"/>
    <n v="41"/>
    <s v="Aut Box"/>
    <s v="Sweets"/>
    <n v="2"/>
    <n v="1977"/>
    <x v="76"/>
    <s v="November"/>
    <s v="Monday"/>
    <d v="1899-12-30T17:55:46"/>
    <x v="74"/>
    <x v="21"/>
    <s v="November"/>
    <x v="104"/>
    <x v="40"/>
    <s v="Chinsurah"/>
    <s v="Diwali"/>
    <n v="3954"/>
    <n v="2"/>
  </r>
  <r>
    <n v="107"/>
    <s v="C041"/>
    <n v="4"/>
    <s v="Accusantium Set"/>
    <s v="Sweets"/>
    <n v="3"/>
    <n v="1199"/>
    <x v="76"/>
    <s v="November"/>
    <s v="Monday"/>
    <d v="1899-12-30T10:18:07"/>
    <x v="60"/>
    <x v="13"/>
    <s v="November"/>
    <x v="105"/>
    <x v="19"/>
    <s v="Gorakhpur"/>
    <s v="Diwali"/>
    <n v="3597"/>
    <n v="6"/>
  </r>
  <r>
    <n v="108"/>
    <s v="C012"/>
    <n v="26"/>
    <s v="Aliquam Box"/>
    <s v="Colors"/>
    <n v="4"/>
    <n v="289"/>
    <x v="64"/>
    <s v="February"/>
    <s v="Monday"/>
    <d v="1899-12-30T09:03:26"/>
    <x v="0"/>
    <x v="17"/>
    <s v="March"/>
    <x v="106"/>
    <x v="3"/>
    <s v="Berhampore"/>
    <s v="Holi"/>
    <n v="1156"/>
    <n v="6"/>
  </r>
  <r>
    <n v="109"/>
    <s v="C074"/>
    <n v="50"/>
    <s v="Eligendi Set"/>
    <s v="Plants"/>
    <n v="5"/>
    <n v="422"/>
    <x v="64"/>
    <s v="February"/>
    <s v="Monday"/>
    <d v="1899-12-30T15:35:48"/>
    <x v="81"/>
    <x v="11"/>
    <s v="March"/>
    <x v="107"/>
    <x v="43"/>
    <s v="Gandhidham"/>
    <s v="Holi"/>
    <n v="2110"/>
    <n v="2"/>
  </r>
  <r>
    <n v="110"/>
    <s v="C075"/>
    <n v="26"/>
    <s v="Aliquam Box"/>
    <s v="Colors"/>
    <n v="2"/>
    <n v="289"/>
    <x v="26"/>
    <s v="March"/>
    <s v="Saturday"/>
    <d v="1899-12-30T11:23:44"/>
    <x v="82"/>
    <x v="12"/>
    <s v="March"/>
    <x v="108"/>
    <x v="60"/>
    <s v="Kishanganj"/>
    <s v="Holi"/>
    <n v="578"/>
    <n v="9"/>
  </r>
  <r>
    <n v="111"/>
    <s v="C009"/>
    <n v="8"/>
    <s v="Qui Box"/>
    <s v="Sweets"/>
    <n v="3"/>
    <n v="252"/>
    <x v="77"/>
    <s v="June"/>
    <s v="Wednesday"/>
    <d v="1899-12-30T14:18:57"/>
    <x v="83"/>
    <x v="15"/>
    <s v="June"/>
    <x v="109"/>
    <x v="6"/>
    <s v="Ramgarh"/>
    <s v="Anniversary"/>
    <n v="756"/>
    <n v="4"/>
  </r>
  <r>
    <n v="112"/>
    <s v="C023"/>
    <n v="37"/>
    <s v="Officiis Pack"/>
    <s v="Colors"/>
    <n v="3"/>
    <n v="1428"/>
    <x v="30"/>
    <s v="November"/>
    <s v="Saturday"/>
    <d v="1899-12-30T06:36:04"/>
    <x v="6"/>
    <x v="22"/>
    <s v="November"/>
    <x v="110"/>
    <x v="18"/>
    <s v="Kochi"/>
    <s v="Diwali"/>
    <n v="4284"/>
    <n v="3"/>
  </r>
  <r>
    <n v="113"/>
    <s v="C032"/>
    <n v="1"/>
    <s v="Magnam Set"/>
    <s v="Soft Toys"/>
    <n v="3"/>
    <n v="1935"/>
    <x v="78"/>
    <s v="November"/>
    <s v="Tuesday"/>
    <d v="1899-12-30T15:30:30"/>
    <x v="84"/>
    <x v="11"/>
    <s v="November"/>
    <x v="111"/>
    <x v="54"/>
    <s v="Bulandshahr"/>
    <s v="All Occasions"/>
    <n v="5805"/>
    <n v="9"/>
  </r>
  <r>
    <n v="114"/>
    <s v="C009"/>
    <n v="40"/>
    <s v="Provident Pack"/>
    <s v="Sweets"/>
    <n v="4"/>
    <n v="1923"/>
    <x v="79"/>
    <s v="February"/>
    <s v="Friday"/>
    <d v="1899-12-30T16:03:15"/>
    <x v="85"/>
    <x v="8"/>
    <s v="February"/>
    <x v="112"/>
    <x v="6"/>
    <s v="Kirari Suleman Nagar"/>
    <s v="Anniversary"/>
    <n v="7692"/>
    <n v="4"/>
  </r>
  <r>
    <n v="115"/>
    <s v="C095"/>
    <n v="57"/>
    <s v="Voluptatem Box"/>
    <s v="Colors"/>
    <n v="1"/>
    <n v="1582"/>
    <x v="35"/>
    <s v="April"/>
    <s v="Friday"/>
    <d v="1899-12-30T18:11:22"/>
    <x v="86"/>
    <x v="23"/>
    <s v="May"/>
    <x v="113"/>
    <x v="40"/>
    <s v="Jhansi"/>
    <s v="Birthday"/>
    <n v="1582"/>
    <n v="7"/>
  </r>
  <r>
    <n v="116"/>
    <s v="C009"/>
    <n v="4"/>
    <s v="Accusantium Set"/>
    <s v="Sweets"/>
    <n v="3"/>
    <n v="1199"/>
    <x v="30"/>
    <s v="November"/>
    <s v="Saturday"/>
    <d v="1899-12-30T14:28:05"/>
    <x v="87"/>
    <x v="15"/>
    <s v="November"/>
    <x v="114"/>
    <x v="6"/>
    <s v="Howrah"/>
    <s v="Diwali"/>
    <n v="3597"/>
    <n v="9"/>
  </r>
  <r>
    <n v="117"/>
    <s v="C033"/>
    <n v="59"/>
    <s v="Pariatur Box"/>
    <s v="Cake"/>
    <n v="3"/>
    <n v="811"/>
    <x v="5"/>
    <s v="August"/>
    <s v="Sunday"/>
    <d v="1899-12-30T18:50:05"/>
    <x v="88"/>
    <x v="23"/>
    <s v="August"/>
    <x v="115"/>
    <x v="45"/>
    <s v="Loni"/>
    <s v="Raksha Bandhan"/>
    <n v="2433"/>
    <n v="2"/>
  </r>
  <r>
    <n v="118"/>
    <s v="C035"/>
    <n v="62"/>
    <s v="Sed Set"/>
    <s v="Colors"/>
    <n v="1"/>
    <n v="1356"/>
    <x v="64"/>
    <s v="February"/>
    <s v="Monday"/>
    <d v="1899-12-30T14:30:59"/>
    <x v="0"/>
    <x v="15"/>
    <s v="March"/>
    <x v="116"/>
    <x v="61"/>
    <s v="Bhavnagar"/>
    <s v="Holi"/>
    <n v="1356"/>
    <n v="6"/>
  </r>
  <r>
    <n v="119"/>
    <s v="C010"/>
    <n v="6"/>
    <s v="Quos Box"/>
    <s v="Cake"/>
    <n v="4"/>
    <n v="1112"/>
    <x v="26"/>
    <s v="March"/>
    <s v="Saturday"/>
    <d v="1899-12-30T11:02:10"/>
    <x v="21"/>
    <x v="12"/>
    <s v="March"/>
    <x v="117"/>
    <x v="50"/>
    <s v="Fatehpur"/>
    <s v="Holi"/>
    <n v="4448"/>
    <n v="8"/>
  </r>
  <r>
    <n v="120"/>
    <s v="C050"/>
    <n v="61"/>
    <s v="Iusto Box"/>
    <s v="Plants"/>
    <n v="1"/>
    <n v="810"/>
    <x v="80"/>
    <s v="December"/>
    <s v="Monday"/>
    <d v="1899-12-30T22:26:37"/>
    <x v="89"/>
    <x v="3"/>
    <s v="December"/>
    <x v="118"/>
    <x v="27"/>
    <s v="Kalyan-Dombivli"/>
    <s v="Anniversary"/>
    <n v="810"/>
    <n v="6"/>
  </r>
  <r>
    <n v="121"/>
    <s v="C048"/>
    <n v="33"/>
    <s v="Earum Set"/>
    <s v="Colors"/>
    <n v="3"/>
    <n v="314"/>
    <x v="81"/>
    <s v="February"/>
    <s v="Sunday"/>
    <d v="1899-12-30T02:18:55"/>
    <x v="90"/>
    <x v="10"/>
    <s v="February"/>
    <x v="119"/>
    <x v="42"/>
    <s v="Guntur"/>
    <s v="Valentine's Day"/>
    <n v="942"/>
    <n v="4"/>
  </r>
  <r>
    <n v="122"/>
    <s v="C083"/>
    <n v="24"/>
    <s v="Ad Box"/>
    <s v="Mugs"/>
    <n v="5"/>
    <n v="535"/>
    <x v="82"/>
    <s v="October"/>
    <s v="Tuesday"/>
    <d v="1899-12-30T09:04:23"/>
    <x v="91"/>
    <x v="17"/>
    <s v="October"/>
    <x v="120"/>
    <x v="62"/>
    <s v="Gulbarga"/>
    <s v="Birthday"/>
    <n v="2675"/>
    <n v="10"/>
  </r>
  <r>
    <n v="123"/>
    <s v="C026"/>
    <n v="38"/>
    <s v="Mollitia Set"/>
    <s v="Cake"/>
    <n v="1"/>
    <n v="562"/>
    <x v="83"/>
    <s v="January"/>
    <s v="Sunday"/>
    <d v="1899-12-30T00:31:09"/>
    <x v="92"/>
    <x v="5"/>
    <s v="January"/>
    <x v="121"/>
    <x v="63"/>
    <s v="Malegaon"/>
    <s v="Birthday"/>
    <n v="562"/>
    <n v="10"/>
  </r>
  <r>
    <n v="124"/>
    <s v="C030"/>
    <n v="67"/>
    <s v="Maiores Box"/>
    <s v="Raksha Bandhan"/>
    <n v="4"/>
    <n v="1374"/>
    <x v="20"/>
    <s v="July"/>
    <s v="Friday"/>
    <d v="1899-12-30T08:44:55"/>
    <x v="93"/>
    <x v="7"/>
    <s v="July"/>
    <x v="122"/>
    <x v="64"/>
    <s v="Bhilwara"/>
    <s v="Anniversary"/>
    <n v="5496"/>
    <n v="2"/>
  </r>
  <r>
    <n v="125"/>
    <s v="C020"/>
    <n v="31"/>
    <s v="Nihil Box"/>
    <s v="Colors"/>
    <n v="2"/>
    <n v="1804"/>
    <x v="84"/>
    <s v="March"/>
    <s v="Sunday"/>
    <d v="1899-12-30T09:12:11"/>
    <x v="94"/>
    <x v="17"/>
    <s v="March"/>
    <x v="123"/>
    <x v="36"/>
    <s v="Kolkata"/>
    <s v="All Occasions"/>
    <n v="3608"/>
    <n v="6"/>
  </r>
  <r>
    <n v="126"/>
    <s v="C040"/>
    <n v="19"/>
    <s v="Iure Gift"/>
    <s v="Mugs"/>
    <n v="5"/>
    <n v="1234"/>
    <x v="56"/>
    <s v="February"/>
    <s v="Saturday"/>
    <d v="1899-12-30T02:28:24"/>
    <x v="43"/>
    <x v="10"/>
    <s v="February"/>
    <x v="124"/>
    <x v="5"/>
    <s v="Dharmavaram"/>
    <s v="Valentine's Day"/>
    <n v="6170"/>
    <n v="9"/>
  </r>
  <r>
    <n v="127"/>
    <s v="C051"/>
    <n v="60"/>
    <s v="Ea Set"/>
    <s v="Sweets"/>
    <n v="4"/>
    <n v="827"/>
    <x v="31"/>
    <s v="November"/>
    <s v="Thursday"/>
    <d v="1899-12-30T14:04:38"/>
    <x v="95"/>
    <x v="15"/>
    <s v="November"/>
    <x v="125"/>
    <x v="65"/>
    <s v="Dhanbad"/>
    <s v="Diwali"/>
    <n v="3308"/>
    <n v="1"/>
  </r>
  <r>
    <n v="128"/>
    <s v="C065"/>
    <n v="12"/>
    <s v="Non Set"/>
    <s v="Plants"/>
    <n v="3"/>
    <n v="672"/>
    <x v="21"/>
    <s v="March"/>
    <s v="Monday"/>
    <d v="1899-12-30T16:50:28"/>
    <x v="82"/>
    <x v="8"/>
    <s v="March"/>
    <x v="126"/>
    <x v="10"/>
    <s v="Kochi"/>
    <s v="Anniversary"/>
    <n v="2016"/>
    <n v="7"/>
  </r>
  <r>
    <n v="129"/>
    <s v="C051"/>
    <n v="67"/>
    <s v="Maiores Box"/>
    <s v="Raksha Bandhan"/>
    <n v="2"/>
    <n v="1374"/>
    <x v="85"/>
    <s v="February"/>
    <s v="Friday"/>
    <d v="1899-12-30T05:21:30"/>
    <x v="14"/>
    <x v="16"/>
    <s v="February"/>
    <x v="127"/>
    <x v="65"/>
    <s v="Ramgarh"/>
    <s v="Anniversary"/>
    <n v="2748"/>
    <n v="3"/>
  </r>
  <r>
    <n v="130"/>
    <s v="C070"/>
    <n v="10"/>
    <s v="Accusantium Gift"/>
    <s v="Cake"/>
    <n v="5"/>
    <n v="259"/>
    <x v="86"/>
    <s v="April"/>
    <s v="Saturday"/>
    <d v="1899-12-30T13:32:41"/>
    <x v="96"/>
    <x v="18"/>
    <s v="April"/>
    <x v="128"/>
    <x v="66"/>
    <s v="Darbhanga"/>
    <s v="Birthday"/>
    <n v="1295"/>
    <n v="5"/>
  </r>
  <r>
    <n v="131"/>
    <s v="C078"/>
    <n v="3"/>
    <s v="Eius Gift"/>
    <s v="Colors"/>
    <n v="5"/>
    <n v="1534"/>
    <x v="56"/>
    <s v="February"/>
    <s v="Saturday"/>
    <d v="1899-12-30T20:30:50"/>
    <x v="68"/>
    <x v="6"/>
    <s v="February"/>
    <x v="129"/>
    <x v="4"/>
    <s v="Satara"/>
    <s v="Valentine's Day"/>
    <n v="7670"/>
    <n v="7"/>
  </r>
  <r>
    <n v="132"/>
    <s v="C045"/>
    <n v="49"/>
    <s v="Voluptate Pack"/>
    <s v="Colors"/>
    <n v="4"/>
    <n v="903"/>
    <x v="56"/>
    <s v="February"/>
    <s v="Saturday"/>
    <d v="1899-12-30T23:23:41"/>
    <x v="43"/>
    <x v="0"/>
    <s v="February"/>
    <x v="130"/>
    <x v="39"/>
    <s v="Thoothukudi"/>
    <s v="Valentine's Day"/>
    <n v="3612"/>
    <n v="9"/>
  </r>
  <r>
    <n v="133"/>
    <s v="C018"/>
    <n v="43"/>
    <s v="Quisquam Pack"/>
    <s v="Raksha Bandhan"/>
    <n v="5"/>
    <n v="750"/>
    <x v="87"/>
    <s v="November"/>
    <s v="Friday"/>
    <d v="1899-12-30T15:51:54"/>
    <x v="38"/>
    <x v="11"/>
    <s v="November"/>
    <x v="131"/>
    <x v="20"/>
    <s v="Tiruppur"/>
    <s v="Diwali"/>
    <n v="3750"/>
    <n v="6"/>
  </r>
  <r>
    <n v="134"/>
    <s v="C036"/>
    <n v="69"/>
    <s v="Id Box"/>
    <s v="Cake"/>
    <n v="5"/>
    <n v="998"/>
    <x v="88"/>
    <s v="March"/>
    <s v="Sunday"/>
    <d v="1899-12-30T19:12:46"/>
    <x v="27"/>
    <x v="1"/>
    <s v="March"/>
    <x v="132"/>
    <x v="38"/>
    <s v="Malda"/>
    <s v="Holi"/>
    <n v="4990"/>
    <n v="9"/>
  </r>
  <r>
    <n v="135"/>
    <s v="C087"/>
    <n v="30"/>
    <s v="Recusandae Pack"/>
    <s v="Colors"/>
    <n v="2"/>
    <n v="751"/>
    <x v="44"/>
    <s v="December"/>
    <s v="Wednesday"/>
    <d v="1899-12-30T10:20:09"/>
    <x v="97"/>
    <x v="13"/>
    <s v="December"/>
    <x v="133"/>
    <x v="10"/>
    <s v="Bokaro"/>
    <s v="Anniversary"/>
    <n v="1502"/>
    <n v="1"/>
  </r>
  <r>
    <n v="136"/>
    <s v="C036"/>
    <n v="56"/>
    <s v="Quia Gift"/>
    <s v="Raksha Bandhan"/>
    <n v="1"/>
    <n v="1272"/>
    <x v="89"/>
    <s v="September"/>
    <s v="Tuesday"/>
    <d v="1899-12-30T16:08:59"/>
    <x v="98"/>
    <x v="8"/>
    <s v="September"/>
    <x v="134"/>
    <x v="38"/>
    <s v="Guna"/>
    <s v="Anniversary"/>
    <n v="1272"/>
    <n v="4"/>
  </r>
  <r>
    <n v="137"/>
    <s v="C070"/>
    <n v="47"/>
    <s v="Harum Pack"/>
    <s v="Colors"/>
    <n v="2"/>
    <n v="1638"/>
    <x v="88"/>
    <s v="March"/>
    <s v="Sunday"/>
    <d v="1899-12-30T16:06:24"/>
    <x v="57"/>
    <x v="8"/>
    <s v="March"/>
    <x v="135"/>
    <x v="66"/>
    <s v="Warangal"/>
    <s v="Holi"/>
    <n v="3276"/>
    <n v="6"/>
  </r>
  <r>
    <n v="138"/>
    <s v="C022"/>
    <n v="57"/>
    <s v="Voluptatem Box"/>
    <s v="Colors"/>
    <n v="4"/>
    <n v="1582"/>
    <x v="90"/>
    <s v="March"/>
    <s v="Saturday"/>
    <d v="1899-12-30T09:33:56"/>
    <x v="99"/>
    <x v="17"/>
    <s v="March"/>
    <x v="136"/>
    <x v="67"/>
    <s v="Siliguri"/>
    <s v="Birthday"/>
    <n v="6328"/>
    <n v="7"/>
  </r>
  <r>
    <n v="139"/>
    <s v="C055"/>
    <n v="54"/>
    <s v="Occaecati Gift"/>
    <s v="Cake"/>
    <n v="4"/>
    <n v="1236"/>
    <x v="91"/>
    <s v="May"/>
    <s v="Thursday"/>
    <d v="1899-12-30T04:14:45"/>
    <x v="100"/>
    <x v="2"/>
    <s v="May"/>
    <x v="137"/>
    <x v="27"/>
    <s v="Amritsar"/>
    <s v="Anniversary"/>
    <n v="4944"/>
    <n v="5"/>
  </r>
  <r>
    <n v="140"/>
    <s v="C015"/>
    <n v="47"/>
    <s v="Harum Pack"/>
    <s v="Colors"/>
    <n v="1"/>
    <n v="1638"/>
    <x v="26"/>
    <s v="March"/>
    <s v="Saturday"/>
    <d v="1899-12-30T06:19:35"/>
    <x v="82"/>
    <x v="22"/>
    <s v="March"/>
    <x v="138"/>
    <x v="44"/>
    <s v="Bharatpur"/>
    <s v="Holi"/>
    <n v="1638"/>
    <n v="9"/>
  </r>
  <r>
    <n v="141"/>
    <s v="C062"/>
    <n v="35"/>
    <s v="Nam Gift"/>
    <s v="Colors"/>
    <n v="4"/>
    <n v="1865"/>
    <x v="25"/>
    <s v="February"/>
    <s v="Tuesday"/>
    <d v="1899-12-30T03:55:06"/>
    <x v="101"/>
    <x v="9"/>
    <s v="March"/>
    <x v="139"/>
    <x v="49"/>
    <s v="Allahabad"/>
    <s v="Holi"/>
    <n v="7460"/>
    <n v="10"/>
  </r>
  <r>
    <n v="142"/>
    <s v="C029"/>
    <n v="23"/>
    <s v="Dignissimos Pack"/>
    <s v="Sweets"/>
    <n v="2"/>
    <n v="1098"/>
    <x v="92"/>
    <s v="October"/>
    <s v="Monday"/>
    <d v="1899-12-30T02:31:13"/>
    <x v="102"/>
    <x v="10"/>
    <s v="October"/>
    <x v="140"/>
    <x v="2"/>
    <s v="Bharatpur"/>
    <s v="Anniversary"/>
    <n v="2196"/>
    <n v="4"/>
  </r>
  <r>
    <n v="143"/>
    <s v="C087"/>
    <n v="66"/>
    <s v="Quas Box"/>
    <s v="Colors"/>
    <n v="2"/>
    <n v="610"/>
    <x v="25"/>
    <s v="February"/>
    <s v="Tuesday"/>
    <d v="1899-12-30T07:37:18"/>
    <x v="101"/>
    <x v="14"/>
    <s v="March"/>
    <x v="141"/>
    <x v="10"/>
    <s v="Ramagundam"/>
    <s v="Holi"/>
    <n v="1220"/>
    <n v="10"/>
  </r>
  <r>
    <n v="144"/>
    <s v="C090"/>
    <n v="51"/>
    <s v="Fugit Set"/>
    <s v="Soft Toys"/>
    <n v="5"/>
    <n v="1084"/>
    <x v="93"/>
    <s v="January"/>
    <s v="Wednesday"/>
    <d v="1899-12-30T09:01:03"/>
    <x v="103"/>
    <x v="17"/>
    <s v="January"/>
    <x v="142"/>
    <x v="17"/>
    <s v="Srinagar"/>
    <s v="All Occasions"/>
    <n v="5420"/>
    <n v="5"/>
  </r>
  <r>
    <n v="145"/>
    <s v="C055"/>
    <n v="59"/>
    <s v="Pariatur Box"/>
    <s v="Cake"/>
    <n v="5"/>
    <n v="811"/>
    <x v="39"/>
    <s v="August"/>
    <s v="Tuesday"/>
    <d v="1899-12-30T16:52:56"/>
    <x v="104"/>
    <x v="8"/>
    <s v="September"/>
    <x v="143"/>
    <x v="27"/>
    <s v="Kumbakonam"/>
    <s v="Raksha Bandhan"/>
    <n v="4055"/>
    <n v="5"/>
  </r>
  <r>
    <n v="146"/>
    <s v="C030"/>
    <n v="52"/>
    <s v="Dolorum Box"/>
    <s v="Raksha Bandhan"/>
    <n v="5"/>
    <n v="236"/>
    <x v="94"/>
    <s v="February"/>
    <s v="Monday"/>
    <d v="1899-12-30T18:23:55"/>
    <x v="33"/>
    <x v="23"/>
    <s v="February"/>
    <x v="144"/>
    <x v="64"/>
    <s v="Vijayawada"/>
    <s v="Valentine's Day"/>
    <n v="1180"/>
    <n v="3"/>
  </r>
  <r>
    <n v="147"/>
    <s v="C080"/>
    <n v="8"/>
    <s v="Qui Box"/>
    <s v="Sweets"/>
    <n v="4"/>
    <n v="252"/>
    <x v="95"/>
    <s v="March"/>
    <s v="Friday"/>
    <d v="1899-12-30T19:28:15"/>
    <x v="73"/>
    <x v="1"/>
    <s v="March"/>
    <x v="145"/>
    <x v="31"/>
    <s v="Jodhpur"/>
    <s v="Anniversary"/>
    <n v="1008"/>
    <n v="6"/>
  </r>
  <r>
    <n v="148"/>
    <s v="C046"/>
    <n v="24"/>
    <s v="Ad Box"/>
    <s v="Mugs"/>
    <n v="3"/>
    <n v="535"/>
    <x v="96"/>
    <s v="December"/>
    <s v="Tuesday"/>
    <d v="1899-12-30T02:09:08"/>
    <x v="105"/>
    <x v="10"/>
    <s v="December"/>
    <x v="146"/>
    <x v="32"/>
    <s v="Gopalpur"/>
    <s v="Birthday"/>
    <n v="1605"/>
    <n v="2"/>
  </r>
  <r>
    <n v="149"/>
    <s v="C008"/>
    <n v="5"/>
    <s v="Natus Gift"/>
    <s v="Colors"/>
    <n v="3"/>
    <n v="1444"/>
    <x v="97"/>
    <s v="October"/>
    <s v="Friday"/>
    <d v="1899-12-30T23:23:09"/>
    <x v="106"/>
    <x v="0"/>
    <s v="October"/>
    <x v="147"/>
    <x v="51"/>
    <s v="Mangalore"/>
    <s v="All Occasions"/>
    <n v="4332"/>
    <n v="3"/>
  </r>
  <r>
    <n v="150"/>
    <s v="C092"/>
    <n v="27"/>
    <s v="Architecto Gift"/>
    <s v="Cake"/>
    <n v="5"/>
    <n v="548"/>
    <x v="11"/>
    <s v="August"/>
    <s v="Saturday"/>
    <d v="1899-12-30T07:18:17"/>
    <x v="7"/>
    <x v="14"/>
    <s v="August"/>
    <x v="148"/>
    <x v="38"/>
    <s v="Bidar"/>
    <s v="Raksha Bandhan"/>
    <n v="2740"/>
    <n v="3"/>
  </r>
  <r>
    <n v="151"/>
    <s v="C051"/>
    <n v="43"/>
    <s v="Quisquam Pack"/>
    <s v="Raksha Bandhan"/>
    <n v="1"/>
    <n v="750"/>
    <x v="69"/>
    <s v="November"/>
    <s v="Friday"/>
    <d v="1899-12-30T21:42:26"/>
    <x v="47"/>
    <x v="20"/>
    <s v="November"/>
    <x v="149"/>
    <x v="65"/>
    <s v="Jalna"/>
    <s v="Diwali"/>
    <n v="750"/>
    <n v="7"/>
  </r>
  <r>
    <n v="152"/>
    <s v="C084"/>
    <n v="51"/>
    <s v="Fugit Set"/>
    <s v="Soft Toys"/>
    <n v="2"/>
    <n v="1084"/>
    <x v="64"/>
    <s v="February"/>
    <s v="Monday"/>
    <d v="1899-12-30T10:48:51"/>
    <x v="0"/>
    <x v="13"/>
    <s v="March"/>
    <x v="150"/>
    <x v="68"/>
    <s v="Tiruppur"/>
    <s v="All Occasions"/>
    <n v="2168"/>
    <n v="6"/>
  </r>
  <r>
    <n v="153"/>
    <s v="C094"/>
    <n v="16"/>
    <s v="Ut Pack"/>
    <s v="Sweets"/>
    <n v="4"/>
    <n v="1721"/>
    <x v="26"/>
    <s v="March"/>
    <s v="Saturday"/>
    <d v="1899-12-30T12:15:00"/>
    <x v="101"/>
    <x v="19"/>
    <s v="March"/>
    <x v="151"/>
    <x v="69"/>
    <s v="Rewa"/>
    <s v="Holi"/>
    <n v="6884"/>
    <n v="6"/>
  </r>
  <r>
    <n v="154"/>
    <s v="C049"/>
    <n v="45"/>
    <s v="Iusto Set"/>
    <s v="Raksha Bandhan"/>
    <n v="5"/>
    <n v="722"/>
    <x v="98"/>
    <s v="November"/>
    <s v="Tuesday"/>
    <d v="1899-12-30T23:14:18"/>
    <x v="107"/>
    <x v="0"/>
    <s v="November"/>
    <x v="152"/>
    <x v="27"/>
    <s v="Indore"/>
    <s v="Birthday"/>
    <n v="3610"/>
    <n v="4"/>
  </r>
  <r>
    <n v="155"/>
    <s v="C023"/>
    <n v="23"/>
    <s v="Dignissimos Pack"/>
    <s v="Sweets"/>
    <n v="3"/>
    <n v="1098"/>
    <x v="66"/>
    <s v="May"/>
    <s v="Monday"/>
    <d v="1899-12-30T14:46:58"/>
    <x v="18"/>
    <x v="15"/>
    <s v="May"/>
    <x v="153"/>
    <x v="18"/>
    <s v="Sambhal"/>
    <s v="Anniversary"/>
    <n v="3294"/>
    <n v="5"/>
  </r>
  <r>
    <n v="156"/>
    <s v="C030"/>
    <n v="61"/>
    <s v="Iusto Box"/>
    <s v="Plants"/>
    <n v="2"/>
    <n v="810"/>
    <x v="16"/>
    <s v="February"/>
    <s v="Thursday"/>
    <d v="1899-12-30T08:20:50"/>
    <x v="17"/>
    <x v="7"/>
    <s v="February"/>
    <x v="154"/>
    <x v="64"/>
    <s v="Ozhukarai"/>
    <s v="Anniversary"/>
    <n v="1620"/>
    <n v="3"/>
  </r>
  <r>
    <n v="157"/>
    <s v="C019"/>
    <n v="35"/>
    <s v="Nam Gift"/>
    <s v="Colors"/>
    <n v="3"/>
    <n v="1865"/>
    <x v="8"/>
    <s v="February"/>
    <s v="Sunday"/>
    <d v="1899-12-30T12:44:17"/>
    <x v="44"/>
    <x v="19"/>
    <s v="March"/>
    <x v="155"/>
    <x v="1"/>
    <s v="Thiruvananthapuram"/>
    <s v="Holi"/>
    <n v="5595"/>
    <n v="8"/>
  </r>
  <r>
    <n v="158"/>
    <s v="C007"/>
    <n v="35"/>
    <s v="Nam Gift"/>
    <s v="Colors"/>
    <n v="2"/>
    <n v="1865"/>
    <x v="52"/>
    <s v="March"/>
    <s v="Friday"/>
    <d v="1899-12-30T15:40:17"/>
    <x v="8"/>
    <x v="11"/>
    <s v="March"/>
    <x v="156"/>
    <x v="70"/>
    <s v="Medininagar"/>
    <s v="Holi"/>
    <n v="3730"/>
    <n v="5"/>
  </r>
  <r>
    <n v="159"/>
    <s v="C095"/>
    <n v="43"/>
    <s v="Quisquam Pack"/>
    <s v="Raksha Bandhan"/>
    <n v="3"/>
    <n v="750"/>
    <x v="17"/>
    <s v="November"/>
    <s v="Thursday"/>
    <d v="1899-12-30T21:31:39"/>
    <x v="108"/>
    <x v="20"/>
    <s v="November"/>
    <x v="157"/>
    <x v="40"/>
    <s v="Davanagere"/>
    <s v="Diwali"/>
    <n v="2250"/>
    <n v="2"/>
  </r>
  <r>
    <n v="160"/>
    <s v="C037"/>
    <n v="36"/>
    <s v="Cum Gift"/>
    <s v="Plants"/>
    <n v="3"/>
    <n v="203"/>
    <x v="99"/>
    <s v="June"/>
    <s v="Friday"/>
    <d v="1899-12-30T00:28:57"/>
    <x v="31"/>
    <x v="5"/>
    <s v="June"/>
    <x v="158"/>
    <x v="0"/>
    <s v="Moradabad"/>
    <s v="Birthday"/>
    <n v="609"/>
    <n v="8"/>
  </r>
  <r>
    <n v="161"/>
    <s v="C054"/>
    <n v="58"/>
    <s v="Sed Pack"/>
    <s v="Cake"/>
    <n v="3"/>
    <n v="1492"/>
    <x v="94"/>
    <s v="February"/>
    <s v="Monday"/>
    <d v="1899-12-30T03:08:06"/>
    <x v="16"/>
    <x v="9"/>
    <s v="February"/>
    <x v="159"/>
    <x v="18"/>
    <s v="Karaikudi"/>
    <s v="Valentine's Day"/>
    <n v="4476"/>
    <n v="1"/>
  </r>
  <r>
    <n v="162"/>
    <s v="C050"/>
    <n v="55"/>
    <s v="Dolores Gift"/>
    <s v="Soft Toys"/>
    <n v="3"/>
    <n v="1904"/>
    <x v="100"/>
    <s v="August"/>
    <s v="Sunday"/>
    <d v="1899-12-30T06:14:31"/>
    <x v="109"/>
    <x v="22"/>
    <s v="September"/>
    <x v="160"/>
    <x v="27"/>
    <s v="Barasat"/>
    <s v="Raksha Bandhan"/>
    <n v="5712"/>
    <n v="9"/>
  </r>
  <r>
    <n v="163"/>
    <s v="C083"/>
    <n v="54"/>
    <s v="Occaecati Gift"/>
    <s v="Cake"/>
    <n v="4"/>
    <n v="1236"/>
    <x v="85"/>
    <s v="February"/>
    <s v="Friday"/>
    <d v="1899-12-30T19:50:10"/>
    <x v="110"/>
    <x v="1"/>
    <s v="February"/>
    <x v="161"/>
    <x v="62"/>
    <s v="Ujjain"/>
    <s v="Anniversary"/>
    <n v="4944"/>
    <n v="8"/>
  </r>
  <r>
    <n v="164"/>
    <s v="C063"/>
    <n v="14"/>
    <s v="Deserunt Box"/>
    <s v="Colors"/>
    <n v="5"/>
    <n v="1915"/>
    <x v="101"/>
    <s v="April"/>
    <s v="Tuesday"/>
    <d v="1899-12-30T02:04:02"/>
    <x v="96"/>
    <x v="10"/>
    <s v="April"/>
    <x v="162"/>
    <x v="22"/>
    <s v="Berhampore"/>
    <s v="Birthday"/>
    <n v="9575"/>
    <n v="2"/>
  </r>
  <r>
    <n v="165"/>
    <s v="C058"/>
    <n v="40"/>
    <s v="Provident Pack"/>
    <s v="Sweets"/>
    <n v="5"/>
    <n v="1923"/>
    <x v="102"/>
    <s v="August"/>
    <s v="Sunday"/>
    <d v="1899-12-30T13:11:16"/>
    <x v="111"/>
    <x v="18"/>
    <s v="August"/>
    <x v="163"/>
    <x v="42"/>
    <s v="Lucknow"/>
    <s v="Anniversary"/>
    <n v="9615"/>
    <n v="4"/>
  </r>
  <r>
    <n v="166"/>
    <s v="C035"/>
    <n v="4"/>
    <s v="Accusantium Set"/>
    <s v="Sweets"/>
    <n v="3"/>
    <n v="1199"/>
    <x v="1"/>
    <s v="November"/>
    <s v="Tuesday"/>
    <d v="1899-12-30T23:05:28"/>
    <x v="47"/>
    <x v="0"/>
    <s v="November"/>
    <x v="164"/>
    <x v="61"/>
    <s v="Madanapalle"/>
    <s v="Diwali"/>
    <n v="3597"/>
    <n v="3"/>
  </r>
  <r>
    <n v="167"/>
    <s v="C019"/>
    <n v="37"/>
    <s v="Officiis Pack"/>
    <s v="Colors"/>
    <n v="4"/>
    <n v="1428"/>
    <x v="13"/>
    <s v="November"/>
    <s v="Saturday"/>
    <d v="1899-12-30T01:26:51"/>
    <x v="112"/>
    <x v="4"/>
    <s v="November"/>
    <x v="165"/>
    <x v="1"/>
    <s v="Nangloi Jat"/>
    <s v="Diwali"/>
    <n v="5712"/>
    <n v="3"/>
  </r>
  <r>
    <n v="168"/>
    <s v="C092"/>
    <n v="35"/>
    <s v="Nam Gift"/>
    <s v="Colors"/>
    <n v="2"/>
    <n v="1865"/>
    <x v="26"/>
    <s v="March"/>
    <s v="Saturday"/>
    <d v="1899-12-30T15:36:03"/>
    <x v="32"/>
    <x v="11"/>
    <s v="March"/>
    <x v="166"/>
    <x v="38"/>
    <s v="Bidar"/>
    <s v="Holi"/>
    <n v="3730"/>
    <n v="3"/>
  </r>
  <r>
    <n v="169"/>
    <s v="C051"/>
    <n v="3"/>
    <s v="Eius Gift"/>
    <s v="Colors"/>
    <n v="2"/>
    <n v="1534"/>
    <x v="103"/>
    <s v="February"/>
    <s v="Monday"/>
    <d v="1899-12-30T10:28:57"/>
    <x v="33"/>
    <x v="13"/>
    <s v="February"/>
    <x v="167"/>
    <x v="65"/>
    <s v="Shivpuri"/>
    <s v="Valentine's Day"/>
    <n v="3068"/>
    <n v="10"/>
  </r>
  <r>
    <n v="170"/>
    <s v="C040"/>
    <n v="32"/>
    <s v="Fuga Set"/>
    <s v="Soft Toys"/>
    <n v="2"/>
    <n v="1792"/>
    <x v="104"/>
    <s v="March"/>
    <s v="Tuesday"/>
    <d v="1899-12-30T11:58:13"/>
    <x v="113"/>
    <x v="12"/>
    <s v="March"/>
    <x v="168"/>
    <x v="5"/>
    <s v="Kamarhati"/>
    <s v="Birthday"/>
    <n v="3584"/>
    <n v="6"/>
  </r>
  <r>
    <n v="171"/>
    <s v="C071"/>
    <n v="54"/>
    <s v="Occaecati Gift"/>
    <s v="Cake"/>
    <n v="3"/>
    <n v="1236"/>
    <x v="105"/>
    <s v="June"/>
    <s v="Friday"/>
    <d v="1899-12-30T11:47:49"/>
    <x v="114"/>
    <x v="12"/>
    <s v="July"/>
    <x v="169"/>
    <x v="26"/>
    <s v="Tiruvottiyur"/>
    <s v="Anniversary"/>
    <n v="3708"/>
    <n v="8"/>
  </r>
  <r>
    <n v="172"/>
    <s v="C070"/>
    <n v="62"/>
    <s v="Sed Set"/>
    <s v="Colors"/>
    <n v="4"/>
    <n v="1356"/>
    <x v="52"/>
    <s v="March"/>
    <s v="Friday"/>
    <d v="1899-12-30T04:40:04"/>
    <x v="8"/>
    <x v="2"/>
    <s v="March"/>
    <x v="170"/>
    <x v="66"/>
    <s v="Patiala"/>
    <s v="Holi"/>
    <n v="5424"/>
    <n v="5"/>
  </r>
  <r>
    <n v="173"/>
    <s v="C072"/>
    <n v="58"/>
    <s v="Sed Pack"/>
    <s v="Cake"/>
    <n v="2"/>
    <n v="1492"/>
    <x v="106"/>
    <s v="February"/>
    <s v="Tuesday"/>
    <d v="1899-12-30T23:15:37"/>
    <x v="43"/>
    <x v="0"/>
    <s v="February"/>
    <x v="171"/>
    <x v="15"/>
    <s v="Deoghar"/>
    <s v="Valentine's Day"/>
    <n v="2984"/>
    <n v="6"/>
  </r>
  <r>
    <n v="174"/>
    <s v="C048"/>
    <n v="4"/>
    <s v="Accusantium Set"/>
    <s v="Sweets"/>
    <n v="3"/>
    <n v="1199"/>
    <x v="69"/>
    <s v="November"/>
    <s v="Friday"/>
    <d v="1899-12-30T15:39:20"/>
    <x v="1"/>
    <x v="11"/>
    <s v="November"/>
    <x v="172"/>
    <x v="42"/>
    <s v="Malda"/>
    <s v="Diwali"/>
    <n v="3597"/>
    <n v="10"/>
  </r>
  <r>
    <n v="175"/>
    <s v="C042"/>
    <n v="31"/>
    <s v="Nihil Box"/>
    <s v="Colors"/>
    <n v="1"/>
    <n v="1804"/>
    <x v="107"/>
    <s v="October"/>
    <s v="Friday"/>
    <d v="1899-12-30T01:17:47"/>
    <x v="115"/>
    <x v="4"/>
    <s v="October"/>
    <x v="173"/>
    <x v="12"/>
    <s v="Navi Mumbai"/>
    <s v="All Occasions"/>
    <n v="1804"/>
    <n v="7"/>
  </r>
  <r>
    <n v="176"/>
    <s v="C039"/>
    <n v="17"/>
    <s v="Delectus Gift"/>
    <s v="Soft Toys"/>
    <n v="2"/>
    <n v="1899"/>
    <x v="108"/>
    <s v="March"/>
    <s v="Friday"/>
    <d v="1899-12-30T03:34:46"/>
    <x v="116"/>
    <x v="9"/>
    <s v="March"/>
    <x v="174"/>
    <x v="57"/>
    <s v="Moradabad"/>
    <s v="Anniversary"/>
    <n v="3798"/>
    <n v="6"/>
  </r>
  <r>
    <n v="177"/>
    <s v="C085"/>
    <n v="62"/>
    <s v="Sed Set"/>
    <s v="Colors"/>
    <n v="4"/>
    <n v="1356"/>
    <x v="88"/>
    <s v="March"/>
    <s v="Sunday"/>
    <d v="1899-12-30T01:49:12"/>
    <x v="32"/>
    <x v="4"/>
    <s v="March"/>
    <x v="175"/>
    <x v="71"/>
    <s v="Satara"/>
    <s v="Holi"/>
    <n v="5424"/>
    <n v="2"/>
  </r>
  <r>
    <n v="178"/>
    <s v="C097"/>
    <n v="61"/>
    <s v="Iusto Box"/>
    <s v="Plants"/>
    <n v="1"/>
    <n v="810"/>
    <x v="78"/>
    <s v="November"/>
    <s v="Tuesday"/>
    <d v="1899-12-30T23:04:31"/>
    <x v="38"/>
    <x v="0"/>
    <s v="November"/>
    <x v="176"/>
    <x v="7"/>
    <s v="Bhilai"/>
    <s v="Anniversary"/>
    <n v="810"/>
    <n v="2"/>
  </r>
  <r>
    <n v="179"/>
    <s v="C078"/>
    <n v="47"/>
    <s v="Harum Pack"/>
    <s v="Colors"/>
    <n v="3"/>
    <n v="1638"/>
    <x v="25"/>
    <s v="February"/>
    <s v="Tuesday"/>
    <d v="1899-12-30T15:16:02"/>
    <x v="101"/>
    <x v="11"/>
    <s v="March"/>
    <x v="177"/>
    <x v="4"/>
    <s v="Vijayanagaram"/>
    <s v="Holi"/>
    <n v="4914"/>
    <n v="10"/>
  </r>
  <r>
    <n v="180"/>
    <s v="C058"/>
    <n v="55"/>
    <s v="Dolores Gift"/>
    <s v="Soft Toys"/>
    <n v="2"/>
    <n v="1904"/>
    <x v="109"/>
    <s v="August"/>
    <s v="Thursday"/>
    <d v="1899-12-30T16:40:33"/>
    <x v="42"/>
    <x v="8"/>
    <s v="August"/>
    <x v="178"/>
    <x v="42"/>
    <s v="Nellore"/>
    <s v="Raksha Bandhan"/>
    <n v="3808"/>
    <n v="3"/>
  </r>
  <r>
    <n v="181"/>
    <s v="C064"/>
    <n v="10"/>
    <s v="Accusantium Gift"/>
    <s v="Cake"/>
    <n v="4"/>
    <n v="259"/>
    <x v="110"/>
    <s v="August"/>
    <s v="Monday"/>
    <d v="1899-12-30T05:55:22"/>
    <x v="117"/>
    <x v="16"/>
    <s v="September"/>
    <x v="179"/>
    <x v="24"/>
    <s v="Howrah"/>
    <s v="Birthday"/>
    <n v="1036"/>
    <n v="9"/>
  </r>
  <r>
    <n v="182"/>
    <s v="C070"/>
    <n v="2"/>
    <s v="Voluptas Box"/>
    <s v="Plants"/>
    <n v="1"/>
    <n v="441"/>
    <x v="41"/>
    <s v="February"/>
    <s v="Wednesday"/>
    <d v="1899-12-30T23:21:30"/>
    <x v="28"/>
    <x v="0"/>
    <s v="February"/>
    <x v="180"/>
    <x v="66"/>
    <s v="Chennai"/>
    <s v="Valentine's Day"/>
    <n v="441"/>
    <n v="7"/>
  </r>
  <r>
    <n v="183"/>
    <s v="C082"/>
    <n v="48"/>
    <s v="Maiores Gift"/>
    <s v="Colors"/>
    <n v="3"/>
    <n v="433"/>
    <x v="17"/>
    <s v="November"/>
    <s v="Thursday"/>
    <d v="1899-12-30T18:11:41"/>
    <x v="108"/>
    <x v="23"/>
    <s v="November"/>
    <x v="181"/>
    <x v="59"/>
    <s v="Bahraich"/>
    <s v="Diwali"/>
    <n v="1299"/>
    <n v="2"/>
  </r>
  <r>
    <n v="184"/>
    <s v="C027"/>
    <n v="52"/>
    <s v="Dolorum Box"/>
    <s v="Raksha Bandhan"/>
    <n v="3"/>
    <n v="236"/>
    <x v="4"/>
    <s v="February"/>
    <s v="Saturday"/>
    <d v="1899-12-30T21:34:53"/>
    <x v="14"/>
    <x v="20"/>
    <s v="February"/>
    <x v="182"/>
    <x v="72"/>
    <s v="Dharmavaram"/>
    <s v="Valentine's Day"/>
    <n v="708"/>
    <n v="9"/>
  </r>
  <r>
    <n v="185"/>
    <s v="C068"/>
    <n v="18"/>
    <s v="Nemo Set"/>
    <s v="Plants"/>
    <n v="1"/>
    <n v="781"/>
    <x v="111"/>
    <s v="May"/>
    <s v="Sunday"/>
    <d v="1899-12-30T07:10:45"/>
    <x v="76"/>
    <x v="14"/>
    <s v="May"/>
    <x v="183"/>
    <x v="34"/>
    <s v="Raurkela Industrial Township"/>
    <s v="Birthday"/>
    <n v="781"/>
    <n v="10"/>
  </r>
  <r>
    <n v="186"/>
    <s v="C048"/>
    <n v="61"/>
    <s v="Iusto Box"/>
    <s v="Plants"/>
    <n v="1"/>
    <n v="810"/>
    <x v="71"/>
    <s v="May"/>
    <s v="Tuesday"/>
    <d v="1899-12-30T09:09:44"/>
    <x v="118"/>
    <x v="17"/>
    <s v="May"/>
    <x v="184"/>
    <x v="42"/>
    <s v="Kollam"/>
    <s v="Anniversary"/>
    <n v="810"/>
    <n v="2"/>
  </r>
  <r>
    <n v="187"/>
    <s v="C008"/>
    <n v="49"/>
    <s v="Voluptate Pack"/>
    <s v="Colors"/>
    <n v="5"/>
    <n v="903"/>
    <x v="4"/>
    <s v="February"/>
    <s v="Saturday"/>
    <d v="1899-12-30T21:10:41"/>
    <x v="33"/>
    <x v="20"/>
    <s v="February"/>
    <x v="185"/>
    <x v="51"/>
    <s v="Anantapur"/>
    <s v="Valentine's Day"/>
    <n v="4515"/>
    <n v="5"/>
  </r>
  <r>
    <n v="188"/>
    <s v="C067"/>
    <n v="22"/>
    <s v="Exercitationem Pack"/>
    <s v="Soft Toys"/>
    <n v="5"/>
    <n v="1639"/>
    <x v="112"/>
    <s v="September"/>
    <s v="Monday"/>
    <d v="1899-12-30T01:38:33"/>
    <x v="119"/>
    <x v="4"/>
    <s v="September"/>
    <x v="186"/>
    <x v="29"/>
    <s v="Serampore"/>
    <s v="All Occasions"/>
    <n v="8195"/>
    <n v="7"/>
  </r>
  <r>
    <n v="189"/>
    <s v="C016"/>
    <n v="57"/>
    <s v="Voluptatem Box"/>
    <s v="Colors"/>
    <n v="1"/>
    <n v="1582"/>
    <x v="113"/>
    <s v="November"/>
    <s v="Sunday"/>
    <d v="1899-12-30T17:22:19"/>
    <x v="120"/>
    <x v="21"/>
    <s v="November"/>
    <x v="187"/>
    <x v="73"/>
    <s v="Srikakulam"/>
    <s v="Birthday"/>
    <n v="1582"/>
    <n v="3"/>
  </r>
  <r>
    <n v="190"/>
    <s v="C096"/>
    <n v="60"/>
    <s v="Ea Set"/>
    <s v="Sweets"/>
    <n v="5"/>
    <n v="827"/>
    <x v="17"/>
    <s v="November"/>
    <s v="Thursday"/>
    <d v="1899-12-30T12:33:49"/>
    <x v="1"/>
    <x v="19"/>
    <s v="November"/>
    <x v="188"/>
    <x v="28"/>
    <s v="Darbhanga"/>
    <s v="Diwali"/>
    <n v="4135"/>
    <n v="4"/>
  </r>
  <r>
    <n v="191"/>
    <s v="C012"/>
    <n v="24"/>
    <s v="Ad Box"/>
    <s v="Mugs"/>
    <n v="3"/>
    <n v="535"/>
    <x v="114"/>
    <s v="October"/>
    <s v="Thursday"/>
    <d v="1899-12-30T18:13:06"/>
    <x v="121"/>
    <x v="23"/>
    <s v="October"/>
    <x v="189"/>
    <x v="3"/>
    <s v="Etawah"/>
    <s v="Birthday"/>
    <n v="1605"/>
    <n v="5"/>
  </r>
  <r>
    <n v="192"/>
    <s v="C060"/>
    <n v="64"/>
    <s v="Nostrum Box"/>
    <s v="Soft Toys"/>
    <n v="5"/>
    <n v="1878"/>
    <x v="5"/>
    <s v="August"/>
    <s v="Sunday"/>
    <d v="1899-12-30T12:28:32"/>
    <x v="122"/>
    <x v="19"/>
    <s v="August"/>
    <x v="190"/>
    <x v="55"/>
    <s v="Vijayanagaram"/>
    <s v="Raksha Bandhan"/>
    <n v="9390"/>
    <n v="1"/>
  </r>
  <r>
    <n v="193"/>
    <s v="C038"/>
    <n v="42"/>
    <s v="Expedita Gift"/>
    <s v="Sweets"/>
    <n v="4"/>
    <n v="1744"/>
    <x v="115"/>
    <s v="August"/>
    <s v="Wednesday"/>
    <d v="1899-12-30T23:44:29"/>
    <x v="123"/>
    <x v="0"/>
    <s v="August"/>
    <x v="191"/>
    <x v="53"/>
    <s v="Nanded"/>
    <s v="All Occasions"/>
    <n v="6976"/>
    <n v="3"/>
  </r>
  <r>
    <n v="194"/>
    <s v="C030"/>
    <n v="58"/>
    <s v="Sed Pack"/>
    <s v="Cake"/>
    <n v="4"/>
    <n v="1492"/>
    <x v="41"/>
    <s v="February"/>
    <s v="Wednesday"/>
    <d v="1899-12-30T11:41:29"/>
    <x v="90"/>
    <x v="12"/>
    <s v="February"/>
    <x v="192"/>
    <x v="64"/>
    <s v="Pondicherry"/>
    <s v="Valentine's Day"/>
    <n v="5968"/>
    <n v="1"/>
  </r>
  <r>
    <n v="195"/>
    <s v="C037"/>
    <n v="67"/>
    <s v="Maiores Box"/>
    <s v="Raksha Bandhan"/>
    <n v="5"/>
    <n v="1374"/>
    <x v="116"/>
    <s v="April"/>
    <s v="Monday"/>
    <d v="1899-12-30T05:33:53"/>
    <x v="124"/>
    <x v="16"/>
    <s v="April"/>
    <x v="193"/>
    <x v="0"/>
    <s v="Jamalpur"/>
    <s v="Anniversary"/>
    <n v="6870"/>
    <n v="7"/>
  </r>
  <r>
    <n v="196"/>
    <s v="C063"/>
    <n v="30"/>
    <s v="Recusandae Pack"/>
    <s v="Colors"/>
    <n v="2"/>
    <n v="751"/>
    <x v="55"/>
    <s v="August"/>
    <s v="Saturday"/>
    <d v="1899-12-30T09:37:50"/>
    <x v="61"/>
    <x v="17"/>
    <s v="August"/>
    <x v="194"/>
    <x v="22"/>
    <s v="Begusarai"/>
    <s v="Anniversary"/>
    <n v="1502"/>
    <n v="8"/>
  </r>
  <r>
    <n v="197"/>
    <s v="C095"/>
    <n v="45"/>
    <s v="Iusto Set"/>
    <s v="Raksha Bandhan"/>
    <n v="2"/>
    <n v="722"/>
    <x v="117"/>
    <s v="March"/>
    <s v="Wednesday"/>
    <d v="1899-12-30T18:38:42"/>
    <x v="125"/>
    <x v="23"/>
    <s v="March"/>
    <x v="195"/>
    <x v="40"/>
    <s v="Etawah"/>
    <s v="Birthday"/>
    <n v="1444"/>
    <n v="4"/>
  </r>
  <r>
    <n v="198"/>
    <s v="C090"/>
    <n v="24"/>
    <s v="Ad Box"/>
    <s v="Mugs"/>
    <n v="2"/>
    <n v="535"/>
    <x v="100"/>
    <s v="August"/>
    <s v="Sunday"/>
    <d v="1899-12-30T22:33:37"/>
    <x v="126"/>
    <x v="3"/>
    <s v="September"/>
    <x v="196"/>
    <x v="17"/>
    <s v="Phagwara"/>
    <s v="Birthday"/>
    <n v="1070"/>
    <n v="8"/>
  </r>
  <r>
    <n v="199"/>
    <s v="C093"/>
    <n v="70"/>
    <s v="Error Gift"/>
    <s v="Sweets"/>
    <n v="5"/>
    <n v="866"/>
    <x v="115"/>
    <s v="August"/>
    <s v="Wednesday"/>
    <d v="1899-12-30T01:54:30"/>
    <x v="123"/>
    <x v="4"/>
    <s v="August"/>
    <x v="197"/>
    <x v="74"/>
    <s v="Bareilly"/>
    <s v="Birthday"/>
    <n v="4330"/>
    <n v="3"/>
  </r>
  <r>
    <n v="200"/>
    <s v="C067"/>
    <n v="23"/>
    <s v="Dignissimos Pack"/>
    <s v="Sweets"/>
    <n v="5"/>
    <n v="1098"/>
    <x v="118"/>
    <s v="January"/>
    <s v="Tuesday"/>
    <d v="1899-12-30T20:04:16"/>
    <x v="127"/>
    <x v="6"/>
    <s v="January"/>
    <x v="198"/>
    <x v="29"/>
    <s v="Agartala"/>
    <s v="Anniversary"/>
    <n v="5490"/>
    <n v="5"/>
  </r>
  <r>
    <n v="201"/>
    <s v="C004"/>
    <n v="55"/>
    <s v="Dolores Gift"/>
    <s v="Soft Toys"/>
    <n v="4"/>
    <n v="1904"/>
    <x v="109"/>
    <s v="August"/>
    <s v="Thursday"/>
    <d v="1899-12-30T04:40:14"/>
    <x v="13"/>
    <x v="2"/>
    <s v="August"/>
    <x v="199"/>
    <x v="75"/>
    <s v="Dewas"/>
    <s v="Raksha Bandhan"/>
    <n v="7616"/>
    <n v="6"/>
  </r>
  <r>
    <n v="202"/>
    <s v="C089"/>
    <n v="36"/>
    <s v="Cum Gift"/>
    <s v="Plants"/>
    <n v="5"/>
    <n v="203"/>
    <x v="119"/>
    <s v="July"/>
    <s v="Thursday"/>
    <d v="1899-12-30T08:13:48"/>
    <x v="128"/>
    <x v="7"/>
    <s v="August"/>
    <x v="200"/>
    <x v="76"/>
    <s v="Bhimavaram"/>
    <s v="Birthday"/>
    <n v="1015"/>
    <n v="5"/>
  </r>
  <r>
    <n v="203"/>
    <s v="C039"/>
    <n v="9"/>
    <s v="Aperiam Box"/>
    <s v="Colors"/>
    <n v="5"/>
    <n v="1605"/>
    <x v="39"/>
    <s v="August"/>
    <s v="Tuesday"/>
    <d v="1899-12-30T05:39:00"/>
    <x v="54"/>
    <x v="16"/>
    <s v="September"/>
    <x v="201"/>
    <x v="57"/>
    <s v="Vijayanagaram"/>
    <s v="Raksha Bandhan"/>
    <n v="8025"/>
    <n v="10"/>
  </r>
  <r>
    <n v="204"/>
    <s v="C062"/>
    <n v="10"/>
    <s v="Accusantium Gift"/>
    <s v="Cake"/>
    <n v="4"/>
    <n v="259"/>
    <x v="120"/>
    <s v="July"/>
    <s v="Monday"/>
    <d v="1899-12-30T10:46:43"/>
    <x v="129"/>
    <x v="13"/>
    <s v="July"/>
    <x v="202"/>
    <x v="49"/>
    <s v="Jaipur"/>
    <s v="Birthday"/>
    <n v="1036"/>
    <n v="6"/>
  </r>
  <r>
    <n v="205"/>
    <s v="C022"/>
    <n v="46"/>
    <s v="Pariatur Set"/>
    <s v="Cake"/>
    <n v="5"/>
    <n v="758"/>
    <x v="48"/>
    <s v="July"/>
    <s v="Thursday"/>
    <d v="1899-12-30T05:17:21"/>
    <x v="129"/>
    <x v="16"/>
    <s v="July"/>
    <x v="203"/>
    <x v="67"/>
    <s v="Davanagere"/>
    <s v="Anniversary"/>
    <n v="3790"/>
    <n v="3"/>
  </r>
  <r>
    <n v="206"/>
    <s v="C099"/>
    <n v="68"/>
    <s v="Quas Gift"/>
    <s v="Soft Toys"/>
    <n v="3"/>
    <n v="597"/>
    <x v="4"/>
    <s v="February"/>
    <s v="Saturday"/>
    <d v="1899-12-30T22:12:16"/>
    <x v="43"/>
    <x v="3"/>
    <s v="February"/>
    <x v="204"/>
    <x v="9"/>
    <s v="Ulhasnagar"/>
    <s v="Valentine's Day"/>
    <n v="1791"/>
    <n v="2"/>
  </r>
  <r>
    <n v="207"/>
    <s v="C078"/>
    <n v="6"/>
    <s v="Quos Box"/>
    <s v="Cake"/>
    <n v="2"/>
    <n v="1112"/>
    <x v="88"/>
    <s v="March"/>
    <s v="Sunday"/>
    <d v="1899-12-30T01:13:16"/>
    <x v="32"/>
    <x v="4"/>
    <s v="March"/>
    <x v="205"/>
    <x v="4"/>
    <s v="Amravati"/>
    <s v="Holi"/>
    <n v="2224"/>
    <n v="2"/>
  </r>
  <r>
    <n v="208"/>
    <s v="C001"/>
    <n v="18"/>
    <s v="Nemo Set"/>
    <s v="Plants"/>
    <n v="5"/>
    <n v="781"/>
    <x v="121"/>
    <s v="April"/>
    <s v="Sunday"/>
    <d v="1899-12-30T04:30:47"/>
    <x v="130"/>
    <x v="2"/>
    <s v="April"/>
    <x v="206"/>
    <x v="41"/>
    <s v="Kulti"/>
    <s v="Birthday"/>
    <n v="3905"/>
    <n v="10"/>
  </r>
  <r>
    <n v="209"/>
    <s v="C071"/>
    <n v="70"/>
    <s v="Error Gift"/>
    <s v="Sweets"/>
    <n v="2"/>
    <n v="866"/>
    <x v="122"/>
    <s v="June"/>
    <s v="Thursday"/>
    <d v="1899-12-30T00:44:32"/>
    <x v="131"/>
    <x v="5"/>
    <s v="June"/>
    <x v="207"/>
    <x v="26"/>
    <s v="Hajipur"/>
    <s v="Birthday"/>
    <n v="1732"/>
    <n v="1"/>
  </r>
  <r>
    <n v="210"/>
    <s v="C095"/>
    <n v="32"/>
    <s v="Fuga Set"/>
    <s v="Soft Toys"/>
    <n v="4"/>
    <n v="1792"/>
    <x v="14"/>
    <s v="December"/>
    <s v="Sunday"/>
    <d v="1899-12-30T00:46:32"/>
    <x v="46"/>
    <x v="5"/>
    <s v="December"/>
    <x v="208"/>
    <x v="40"/>
    <s v="Aligarh"/>
    <s v="Birthday"/>
    <n v="7168"/>
    <n v="5"/>
  </r>
  <r>
    <n v="211"/>
    <s v="C043"/>
    <n v="31"/>
    <s v="Nihil Box"/>
    <s v="Colors"/>
    <n v="5"/>
    <n v="1804"/>
    <x v="123"/>
    <s v="October"/>
    <s v="Sunday"/>
    <d v="1899-12-30T18:14:59"/>
    <x v="132"/>
    <x v="23"/>
    <s v="October"/>
    <x v="209"/>
    <x v="61"/>
    <s v="Orai"/>
    <s v="All Occasions"/>
    <n v="9020"/>
    <n v="7"/>
  </r>
  <r>
    <n v="212"/>
    <s v="C093"/>
    <n v="7"/>
    <s v="Quos Set"/>
    <s v="Soft Toys"/>
    <n v="2"/>
    <n v="409"/>
    <x v="25"/>
    <s v="February"/>
    <s v="Tuesday"/>
    <d v="1899-12-30T07:14:40"/>
    <x v="0"/>
    <x v="14"/>
    <s v="March"/>
    <x v="210"/>
    <x v="74"/>
    <s v="Ozhukarai"/>
    <s v="Holi"/>
    <n v="818"/>
    <n v="5"/>
  </r>
  <r>
    <n v="213"/>
    <s v="C022"/>
    <n v="42"/>
    <s v="Expedita Gift"/>
    <s v="Sweets"/>
    <n v="5"/>
    <n v="1744"/>
    <x v="124"/>
    <s v="February"/>
    <s v="Tuesday"/>
    <d v="1899-12-30T08:26:18"/>
    <x v="133"/>
    <x v="7"/>
    <s v="February"/>
    <x v="211"/>
    <x v="67"/>
    <s v="Dehradun"/>
    <s v="All Occasions"/>
    <n v="8720"/>
    <n v="10"/>
  </r>
  <r>
    <n v="214"/>
    <s v="C099"/>
    <n v="13"/>
    <s v="Et Set"/>
    <s v="Mugs"/>
    <n v="3"/>
    <n v="1141"/>
    <x v="125"/>
    <s v="March"/>
    <s v="Wednesday"/>
    <d v="1899-12-30T07:49:55"/>
    <x v="32"/>
    <x v="14"/>
    <s v="March"/>
    <x v="212"/>
    <x v="9"/>
    <s v="Durgapur"/>
    <s v="Holi"/>
    <n v="3423"/>
    <n v="6"/>
  </r>
  <r>
    <n v="215"/>
    <s v="C098"/>
    <n v="17"/>
    <s v="Delectus Gift"/>
    <s v="Soft Toys"/>
    <n v="1"/>
    <n v="1899"/>
    <x v="126"/>
    <s v="May"/>
    <s v="Sunday"/>
    <d v="1899-12-30T03:54:26"/>
    <x v="134"/>
    <x v="9"/>
    <s v="May"/>
    <x v="213"/>
    <x v="77"/>
    <s v="Katni"/>
    <s v="Anniversary"/>
    <n v="1899"/>
    <n v="3"/>
  </r>
  <r>
    <n v="216"/>
    <s v="C004"/>
    <n v="23"/>
    <s v="Dignissimos Pack"/>
    <s v="Sweets"/>
    <n v="1"/>
    <n v="1098"/>
    <x v="82"/>
    <s v="October"/>
    <s v="Tuesday"/>
    <d v="1899-12-30T15:46:35"/>
    <x v="135"/>
    <x v="11"/>
    <s v="October"/>
    <x v="214"/>
    <x v="75"/>
    <s v="Bhatpara"/>
    <s v="Anniversary"/>
    <n v="1098"/>
    <n v="5"/>
  </r>
  <r>
    <n v="217"/>
    <s v="C042"/>
    <n v="53"/>
    <s v="Ipsam Set"/>
    <s v="Sweets"/>
    <n v="4"/>
    <n v="1672"/>
    <x v="100"/>
    <s v="August"/>
    <s v="Sunday"/>
    <d v="1899-12-30T03:04:34"/>
    <x v="13"/>
    <x v="9"/>
    <s v="August"/>
    <x v="215"/>
    <x v="12"/>
    <s v="Rajkot"/>
    <s v="Raksha Bandhan"/>
    <n v="6688"/>
    <n v="3"/>
  </r>
  <r>
    <n v="218"/>
    <s v="C061"/>
    <n v="31"/>
    <s v="Nihil Box"/>
    <s v="Colors"/>
    <n v="4"/>
    <n v="1804"/>
    <x v="127"/>
    <s v="June"/>
    <s v="Tuesday"/>
    <d v="1899-12-30T22:55:11"/>
    <x v="136"/>
    <x v="3"/>
    <s v="June"/>
    <x v="216"/>
    <x v="11"/>
    <s v="Gurgaon"/>
    <s v="All Occasions"/>
    <n v="7216"/>
    <n v="3"/>
  </r>
  <r>
    <n v="219"/>
    <s v="C027"/>
    <n v="16"/>
    <s v="Ut Pack"/>
    <s v="Sweets"/>
    <n v="5"/>
    <n v="1721"/>
    <x v="88"/>
    <s v="March"/>
    <s v="Sunday"/>
    <d v="1899-12-30T00:36:07"/>
    <x v="57"/>
    <x v="5"/>
    <s v="March"/>
    <x v="217"/>
    <x v="72"/>
    <s v="Bhimavaram"/>
    <s v="Holi"/>
    <n v="8605"/>
    <n v="6"/>
  </r>
  <r>
    <n v="220"/>
    <s v="C001"/>
    <n v="26"/>
    <s v="Aliquam Box"/>
    <s v="Colors"/>
    <n v="3"/>
    <n v="289"/>
    <x v="21"/>
    <s v="March"/>
    <s v="Monday"/>
    <d v="1899-12-30T12:26:54"/>
    <x v="137"/>
    <x v="19"/>
    <s v="March"/>
    <x v="218"/>
    <x v="41"/>
    <s v="Jalandhar"/>
    <s v="Holi"/>
    <n v="867"/>
    <n v="9"/>
  </r>
  <r>
    <n v="221"/>
    <s v="C076"/>
    <n v="28"/>
    <s v="Velit Set"/>
    <s v="Sweets"/>
    <n v="4"/>
    <n v="1778"/>
    <x v="128"/>
    <s v="August"/>
    <s v="Monday"/>
    <d v="1899-12-30T02:11:04"/>
    <x v="13"/>
    <x v="10"/>
    <s v="August"/>
    <x v="219"/>
    <x v="78"/>
    <s v="Naihati"/>
    <s v="Raksha Bandhan"/>
    <n v="7112"/>
    <n v="9"/>
  </r>
  <r>
    <n v="222"/>
    <s v="C099"/>
    <n v="6"/>
    <s v="Quos Box"/>
    <s v="Cake"/>
    <n v="5"/>
    <n v="1112"/>
    <x v="8"/>
    <s v="February"/>
    <s v="Sunday"/>
    <d v="1899-12-30T05:57:25"/>
    <x v="32"/>
    <x v="16"/>
    <s v="March"/>
    <x v="220"/>
    <x v="9"/>
    <s v="Guntur"/>
    <s v="Holi"/>
    <n v="5560"/>
    <n v="9"/>
  </r>
  <r>
    <n v="223"/>
    <s v="C051"/>
    <n v="49"/>
    <s v="Voluptate Pack"/>
    <s v="Colors"/>
    <n v="2"/>
    <n v="903"/>
    <x v="81"/>
    <s v="February"/>
    <s v="Sunday"/>
    <d v="1899-12-30T08:44:25"/>
    <x v="43"/>
    <x v="7"/>
    <s v="February"/>
    <x v="221"/>
    <x v="65"/>
    <s v="Bhalswa Jahangir Pur"/>
    <s v="Valentine's Day"/>
    <n v="1806"/>
    <n v="8"/>
  </r>
  <r>
    <n v="224"/>
    <s v="C028"/>
    <n v="34"/>
    <s v="Placeat Pack"/>
    <s v="Soft Toys"/>
    <n v="1"/>
    <n v="1335"/>
    <x v="109"/>
    <s v="August"/>
    <s v="Thursday"/>
    <d v="1899-12-30T21:01:58"/>
    <x v="7"/>
    <x v="20"/>
    <s v="August"/>
    <x v="222"/>
    <x v="48"/>
    <s v="Suryapet"/>
    <s v="Raksha Bandhan"/>
    <n v="1335"/>
    <n v="5"/>
  </r>
  <r>
    <n v="225"/>
    <s v="C093"/>
    <n v="52"/>
    <s v="Dolorum Box"/>
    <s v="Raksha Bandhan"/>
    <n v="5"/>
    <n v="236"/>
    <x v="81"/>
    <s v="February"/>
    <s v="Sunday"/>
    <d v="1899-12-30T12:12:26"/>
    <x v="138"/>
    <x v="19"/>
    <s v="February"/>
    <x v="223"/>
    <x v="74"/>
    <s v="Arrah"/>
    <s v="Valentine's Day"/>
    <n v="1180"/>
    <n v="1"/>
  </r>
  <r>
    <n v="226"/>
    <s v="C064"/>
    <n v="14"/>
    <s v="Deserunt Box"/>
    <s v="Colors"/>
    <n v="2"/>
    <n v="1915"/>
    <x v="129"/>
    <s v="September"/>
    <s v="Friday"/>
    <d v="1899-12-30T08:48:50"/>
    <x v="139"/>
    <x v="7"/>
    <s v="September"/>
    <x v="224"/>
    <x v="24"/>
    <s v="Hospet"/>
    <s v="Birthday"/>
    <n v="3830"/>
    <n v="4"/>
  </r>
  <r>
    <n v="227"/>
    <s v="C004"/>
    <n v="24"/>
    <s v="Ad Box"/>
    <s v="Mugs"/>
    <n v="4"/>
    <n v="535"/>
    <x v="80"/>
    <s v="December"/>
    <s v="Monday"/>
    <d v="1899-12-30T18:50:42"/>
    <x v="140"/>
    <x v="23"/>
    <s v="December"/>
    <x v="225"/>
    <x v="75"/>
    <s v="Surat"/>
    <s v="Birthday"/>
    <n v="2140"/>
    <n v="1"/>
  </r>
  <r>
    <n v="228"/>
    <s v="C035"/>
    <n v="36"/>
    <s v="Cum Gift"/>
    <s v="Plants"/>
    <n v="1"/>
    <n v="203"/>
    <x v="108"/>
    <s v="March"/>
    <s v="Friday"/>
    <d v="1899-12-30T18:40:52"/>
    <x v="57"/>
    <x v="23"/>
    <s v="March"/>
    <x v="226"/>
    <x v="61"/>
    <s v="Bijapur"/>
    <s v="Birthday"/>
    <n v="203"/>
    <n v="1"/>
  </r>
  <r>
    <n v="229"/>
    <s v="C079"/>
    <n v="49"/>
    <s v="Voluptate Pack"/>
    <s v="Colors"/>
    <n v="3"/>
    <n v="903"/>
    <x v="4"/>
    <s v="February"/>
    <s v="Saturday"/>
    <d v="1899-12-30T20:55:38"/>
    <x v="14"/>
    <x v="6"/>
    <s v="February"/>
    <x v="227"/>
    <x v="79"/>
    <s v="Junagadh"/>
    <s v="Valentine's Day"/>
    <n v="2709"/>
    <n v="9"/>
  </r>
  <r>
    <n v="230"/>
    <s v="C053"/>
    <n v="64"/>
    <s v="Nostrum Box"/>
    <s v="Soft Toys"/>
    <n v="3"/>
    <n v="1878"/>
    <x v="100"/>
    <s v="August"/>
    <s v="Sunday"/>
    <d v="1899-12-30T08:27:50"/>
    <x v="141"/>
    <x v="7"/>
    <s v="September"/>
    <x v="228"/>
    <x v="52"/>
    <s v="Mehsana"/>
    <s v="Raksha Bandhan"/>
    <n v="5634"/>
    <n v="5"/>
  </r>
  <r>
    <n v="231"/>
    <s v="C093"/>
    <n v="64"/>
    <s v="Nostrum Box"/>
    <s v="Soft Toys"/>
    <n v="3"/>
    <n v="1878"/>
    <x v="109"/>
    <s v="August"/>
    <s v="Thursday"/>
    <d v="1899-12-30T09:15:18"/>
    <x v="56"/>
    <x v="17"/>
    <s v="August"/>
    <x v="229"/>
    <x v="74"/>
    <s v="Proddatur"/>
    <s v="Raksha Bandhan"/>
    <n v="5634"/>
    <n v="4"/>
  </r>
  <r>
    <n v="232"/>
    <s v="C044"/>
    <n v="28"/>
    <s v="Velit Set"/>
    <s v="Sweets"/>
    <n v="3"/>
    <n v="1778"/>
    <x v="22"/>
    <s v="August"/>
    <s v="Tuesday"/>
    <d v="1899-12-30T12:06:09"/>
    <x v="142"/>
    <x v="19"/>
    <s v="August"/>
    <x v="230"/>
    <x v="8"/>
    <s v="Nadiad"/>
    <s v="Raksha Bandhan"/>
    <n v="5334"/>
    <n v="1"/>
  </r>
  <r>
    <n v="233"/>
    <s v="C098"/>
    <n v="64"/>
    <s v="Nostrum Box"/>
    <s v="Soft Toys"/>
    <n v="4"/>
    <n v="1878"/>
    <x v="11"/>
    <s v="August"/>
    <s v="Saturday"/>
    <d v="1899-12-30T22:15:19"/>
    <x v="13"/>
    <x v="3"/>
    <s v="August"/>
    <x v="231"/>
    <x v="77"/>
    <s v="Nizamabad"/>
    <s v="Raksha Bandhan"/>
    <n v="7512"/>
    <n v="4"/>
  </r>
  <r>
    <n v="234"/>
    <s v="C097"/>
    <n v="42"/>
    <s v="Expedita Gift"/>
    <s v="Sweets"/>
    <n v="1"/>
    <n v="1744"/>
    <x v="130"/>
    <s v="March"/>
    <s v="Friday"/>
    <d v="1899-12-30T21:18:12"/>
    <x v="143"/>
    <x v="20"/>
    <s v="April"/>
    <x v="232"/>
    <x v="7"/>
    <s v="Khandwa"/>
    <s v="All Occasions"/>
    <n v="1744"/>
    <n v="8"/>
  </r>
  <r>
    <n v="235"/>
    <s v="C071"/>
    <n v="56"/>
    <s v="Quia Gift"/>
    <s v="Raksha Bandhan"/>
    <n v="2"/>
    <n v="1272"/>
    <x v="8"/>
    <s v="February"/>
    <s v="Sunday"/>
    <d v="1899-12-30T14:26:46"/>
    <x v="9"/>
    <x v="15"/>
    <s v="March"/>
    <x v="233"/>
    <x v="26"/>
    <s v="Bhilai"/>
    <s v="Anniversary"/>
    <n v="2544"/>
    <n v="5"/>
  </r>
  <r>
    <n v="236"/>
    <s v="C044"/>
    <n v="23"/>
    <s v="Dignissimos Pack"/>
    <s v="Sweets"/>
    <n v="5"/>
    <n v="1098"/>
    <x v="131"/>
    <s v="September"/>
    <s v="Sunday"/>
    <d v="1899-12-30T06:33:52"/>
    <x v="50"/>
    <x v="22"/>
    <s v="September"/>
    <x v="234"/>
    <x v="8"/>
    <s v="Panvel"/>
    <s v="Anniversary"/>
    <n v="5490"/>
    <n v="8"/>
  </r>
  <r>
    <n v="237"/>
    <s v="C024"/>
    <n v="55"/>
    <s v="Dolores Gift"/>
    <s v="Soft Toys"/>
    <n v="1"/>
    <n v="1904"/>
    <x v="11"/>
    <s v="August"/>
    <s v="Saturday"/>
    <d v="1899-12-30T09:23:53"/>
    <x v="13"/>
    <x v="17"/>
    <s v="August"/>
    <x v="235"/>
    <x v="11"/>
    <s v="Sasaram"/>
    <s v="Raksha Bandhan"/>
    <n v="1904"/>
    <n v="4"/>
  </r>
  <r>
    <n v="238"/>
    <s v="C083"/>
    <n v="26"/>
    <s v="Aliquam Box"/>
    <s v="Colors"/>
    <n v="4"/>
    <n v="289"/>
    <x v="88"/>
    <s v="March"/>
    <s v="Sunday"/>
    <d v="1899-12-30T07:56:43"/>
    <x v="57"/>
    <x v="14"/>
    <s v="March"/>
    <x v="236"/>
    <x v="62"/>
    <s v="Jammu"/>
    <s v="Holi"/>
    <n v="1156"/>
    <n v="6"/>
  </r>
  <r>
    <n v="239"/>
    <s v="C088"/>
    <n v="27"/>
    <s v="Architecto Gift"/>
    <s v="Cake"/>
    <n v="3"/>
    <n v="548"/>
    <x v="39"/>
    <s v="August"/>
    <s v="Tuesday"/>
    <d v="1899-12-30T08:33:45"/>
    <x v="117"/>
    <x v="7"/>
    <s v="September"/>
    <x v="237"/>
    <x v="23"/>
    <s v="Gurgaon"/>
    <s v="Raksha Bandhan"/>
    <n v="1644"/>
    <n v="8"/>
  </r>
  <r>
    <n v="240"/>
    <s v="C074"/>
    <n v="5"/>
    <s v="Natus Gift"/>
    <s v="Colors"/>
    <n v="5"/>
    <n v="1444"/>
    <x v="132"/>
    <s v="March"/>
    <s v="Saturday"/>
    <d v="1899-12-30T06:03:38"/>
    <x v="144"/>
    <x v="22"/>
    <s v="March"/>
    <x v="238"/>
    <x v="43"/>
    <s v="Darbhanga"/>
    <s v="All Occasions"/>
    <n v="7220"/>
    <n v="5"/>
  </r>
  <r>
    <n v="241"/>
    <s v="C067"/>
    <n v="20"/>
    <s v="Reiciendis Box"/>
    <s v="Colors"/>
    <n v="2"/>
    <n v="697"/>
    <x v="89"/>
    <s v="September"/>
    <s v="Tuesday"/>
    <d v="1899-12-30T09:52:16"/>
    <x v="41"/>
    <x v="17"/>
    <s v="September"/>
    <x v="239"/>
    <x v="29"/>
    <s v="Indore"/>
    <s v="Anniversary"/>
    <n v="1394"/>
    <n v="2"/>
  </r>
  <r>
    <n v="242"/>
    <s v="C012"/>
    <n v="21"/>
    <s v="Quia Gift"/>
    <s v="Colors"/>
    <n v="1"/>
    <n v="1561"/>
    <x v="61"/>
    <s v="August"/>
    <s v="Wednesday"/>
    <d v="1899-12-30T10:24:46"/>
    <x v="53"/>
    <x v="13"/>
    <s v="August"/>
    <x v="240"/>
    <x v="3"/>
    <s v="Amroha"/>
    <s v="Raksha Bandhan"/>
    <n v="1561"/>
    <n v="8"/>
  </r>
  <r>
    <n v="243"/>
    <s v="C043"/>
    <n v="3"/>
    <s v="Eius Gift"/>
    <s v="Colors"/>
    <n v="1"/>
    <n v="1534"/>
    <x v="81"/>
    <s v="February"/>
    <s v="Sunday"/>
    <d v="1899-12-30T20:50:37"/>
    <x v="145"/>
    <x v="6"/>
    <s v="February"/>
    <x v="241"/>
    <x v="61"/>
    <s v="Siwan"/>
    <s v="Valentine's Day"/>
    <n v="1534"/>
    <n v="5"/>
  </r>
  <r>
    <n v="244"/>
    <s v="C041"/>
    <n v="65"/>
    <s v="Error Gift"/>
    <s v="Raksha Bandhan"/>
    <n v="3"/>
    <n v="1895"/>
    <x v="133"/>
    <s v="March"/>
    <s v="Monday"/>
    <d v="1899-12-30T15:06:01"/>
    <x v="144"/>
    <x v="11"/>
    <s v="March"/>
    <x v="242"/>
    <x v="19"/>
    <s v="Guntakal"/>
    <s v="All Occasions"/>
    <n v="5685"/>
    <n v="10"/>
  </r>
  <r>
    <n v="245"/>
    <s v="C020"/>
    <n v="50"/>
    <s v="Eligendi Set"/>
    <s v="Plants"/>
    <n v="3"/>
    <n v="422"/>
    <x v="88"/>
    <s v="March"/>
    <s v="Sunday"/>
    <d v="1899-12-30T06:25:26"/>
    <x v="57"/>
    <x v="22"/>
    <s v="March"/>
    <x v="243"/>
    <x v="36"/>
    <s v="Noida"/>
    <s v="Holi"/>
    <n v="1266"/>
    <n v="6"/>
  </r>
  <r>
    <n v="246"/>
    <s v="C017"/>
    <n v="69"/>
    <s v="Id Box"/>
    <s v="Cake"/>
    <n v="5"/>
    <n v="998"/>
    <x v="25"/>
    <s v="February"/>
    <s v="Tuesday"/>
    <d v="1899-12-30T23:24:33"/>
    <x v="8"/>
    <x v="0"/>
    <s v="March"/>
    <x v="244"/>
    <x v="46"/>
    <s v="Agra"/>
    <s v="Holi"/>
    <n v="4990"/>
    <n v="8"/>
  </r>
  <r>
    <n v="247"/>
    <s v="C052"/>
    <n v="23"/>
    <s v="Dignissimos Pack"/>
    <s v="Sweets"/>
    <n v="4"/>
    <n v="1098"/>
    <x v="134"/>
    <s v="October"/>
    <s v="Wednesday"/>
    <d v="1899-12-30T05:58:48"/>
    <x v="146"/>
    <x v="16"/>
    <s v="October"/>
    <x v="245"/>
    <x v="9"/>
    <s v="Gudivada"/>
    <s v="Anniversary"/>
    <n v="4392"/>
    <n v="5"/>
  </r>
  <r>
    <n v="248"/>
    <s v="C044"/>
    <n v="19"/>
    <s v="Iure Gift"/>
    <s v="Mugs"/>
    <n v="5"/>
    <n v="1234"/>
    <x v="41"/>
    <s v="February"/>
    <s v="Wednesday"/>
    <d v="1899-12-30T08:43:41"/>
    <x v="145"/>
    <x v="7"/>
    <s v="February"/>
    <x v="246"/>
    <x v="8"/>
    <s v="Alwar"/>
    <s v="Valentine's Day"/>
    <n v="6170"/>
    <n v="2"/>
  </r>
  <r>
    <n v="249"/>
    <s v="C003"/>
    <n v="14"/>
    <s v="Deserunt Box"/>
    <s v="Colors"/>
    <n v="2"/>
    <n v="1915"/>
    <x v="135"/>
    <s v="September"/>
    <s v="Sunday"/>
    <d v="1899-12-30T22:22:16"/>
    <x v="147"/>
    <x v="3"/>
    <s v="September"/>
    <x v="247"/>
    <x v="3"/>
    <s v="Bareilly"/>
    <s v="Birthday"/>
    <n v="3830"/>
    <n v="9"/>
  </r>
  <r>
    <n v="250"/>
    <s v="C086"/>
    <n v="37"/>
    <s v="Officiis Pack"/>
    <s v="Colors"/>
    <n v="5"/>
    <n v="1428"/>
    <x v="7"/>
    <s v="November"/>
    <s v="Wednesday"/>
    <d v="1899-12-30T15:07:27"/>
    <x v="148"/>
    <x v="11"/>
    <s v="November"/>
    <x v="248"/>
    <x v="80"/>
    <s v="Korba"/>
    <s v="Diwali"/>
    <n v="7140"/>
    <n v="1"/>
  </r>
  <r>
    <n v="251"/>
    <s v="C051"/>
    <n v="7"/>
    <s v="Quos Set"/>
    <s v="Soft Toys"/>
    <n v="4"/>
    <n v="409"/>
    <x v="25"/>
    <s v="February"/>
    <s v="Tuesday"/>
    <d v="1899-12-30T00:31:48"/>
    <x v="149"/>
    <x v="5"/>
    <s v="March"/>
    <x v="249"/>
    <x v="65"/>
    <s v="Khora "/>
    <s v="Holi"/>
    <n v="1636"/>
    <n v="2"/>
  </r>
  <r>
    <n v="252"/>
    <s v="C040"/>
    <n v="69"/>
    <s v="Id Box"/>
    <s v="Cake"/>
    <n v="2"/>
    <n v="998"/>
    <x v="8"/>
    <s v="February"/>
    <s v="Sunday"/>
    <d v="1899-12-30T05:41:28"/>
    <x v="37"/>
    <x v="16"/>
    <s v="February"/>
    <x v="250"/>
    <x v="5"/>
    <s v="Nandyal"/>
    <s v="Holi"/>
    <n v="1996"/>
    <n v="2"/>
  </r>
  <r>
    <n v="253"/>
    <s v="C010"/>
    <n v="68"/>
    <s v="Quas Gift"/>
    <s v="Soft Toys"/>
    <n v="2"/>
    <n v="597"/>
    <x v="33"/>
    <s v="February"/>
    <s v="Sunday"/>
    <d v="1899-12-30T14:24:46"/>
    <x v="16"/>
    <x v="15"/>
    <s v="February"/>
    <x v="251"/>
    <x v="50"/>
    <s v="Bangalore"/>
    <s v="Valentine's Day"/>
    <n v="1194"/>
    <n v="2"/>
  </r>
  <r>
    <n v="254"/>
    <s v="C093"/>
    <n v="1"/>
    <s v="Magnam Set"/>
    <s v="Soft Toys"/>
    <n v="5"/>
    <n v="1935"/>
    <x v="136"/>
    <s v="July"/>
    <s v="Friday"/>
    <d v="1899-12-30T00:09:44"/>
    <x v="150"/>
    <x v="5"/>
    <s v="July"/>
    <x v="252"/>
    <x v="74"/>
    <s v="Bhilai"/>
    <s v="All Occasions"/>
    <n v="9675"/>
    <n v="8"/>
  </r>
  <r>
    <n v="255"/>
    <s v="C092"/>
    <n v="45"/>
    <s v="Iusto Set"/>
    <s v="Raksha Bandhan"/>
    <n v="2"/>
    <n v="722"/>
    <x v="137"/>
    <s v="December"/>
    <s v="Wednesday"/>
    <d v="1899-12-30T03:42:35"/>
    <x v="151"/>
    <x v="9"/>
    <s v="January"/>
    <x v="253"/>
    <x v="38"/>
    <s v="Suryapet"/>
    <s v="Birthday"/>
    <n v="1444"/>
    <n v="10"/>
  </r>
  <r>
    <n v="256"/>
    <s v="C065"/>
    <n v="4"/>
    <s v="Accusantium Set"/>
    <s v="Sweets"/>
    <n v="5"/>
    <n v="1199"/>
    <x v="76"/>
    <s v="November"/>
    <s v="Monday"/>
    <d v="1899-12-30T19:13:49"/>
    <x v="6"/>
    <x v="1"/>
    <s v="November"/>
    <x v="254"/>
    <x v="10"/>
    <s v="Suryapet"/>
    <s v="Diwali"/>
    <n v="5995"/>
    <n v="8"/>
  </r>
  <r>
    <n v="257"/>
    <s v="C077"/>
    <n v="21"/>
    <s v="Quia Gift"/>
    <s v="Colors"/>
    <n v="3"/>
    <n v="1561"/>
    <x v="22"/>
    <s v="August"/>
    <s v="Tuesday"/>
    <d v="1899-12-30T15:42:59"/>
    <x v="152"/>
    <x v="11"/>
    <s v="August"/>
    <x v="255"/>
    <x v="41"/>
    <s v="Chinsurah"/>
    <s v="Raksha Bandhan"/>
    <n v="4683"/>
    <n v="2"/>
  </r>
  <r>
    <n v="258"/>
    <s v="C044"/>
    <n v="46"/>
    <s v="Pariatur Set"/>
    <s v="Cake"/>
    <n v="5"/>
    <n v="758"/>
    <x v="138"/>
    <s v="April"/>
    <s v="Sunday"/>
    <d v="1899-12-30T05:40:39"/>
    <x v="153"/>
    <x v="16"/>
    <s v="April"/>
    <x v="256"/>
    <x v="8"/>
    <s v="Vijayawada"/>
    <s v="Anniversary"/>
    <n v="3790"/>
    <n v="4"/>
  </r>
  <r>
    <n v="259"/>
    <s v="C001"/>
    <n v="62"/>
    <s v="Sed Set"/>
    <s v="Colors"/>
    <n v="1"/>
    <n v="1356"/>
    <x v="88"/>
    <s v="March"/>
    <s v="Sunday"/>
    <d v="1899-12-30T15:21:54"/>
    <x v="101"/>
    <x v="11"/>
    <s v="March"/>
    <x v="257"/>
    <x v="41"/>
    <s v="Sirsa"/>
    <s v="Holi"/>
    <n v="1356"/>
    <n v="5"/>
  </r>
  <r>
    <n v="260"/>
    <s v="C100"/>
    <n v="69"/>
    <s v="Id Box"/>
    <s v="Cake"/>
    <n v="5"/>
    <n v="998"/>
    <x v="21"/>
    <s v="March"/>
    <s v="Monday"/>
    <d v="1899-12-30T13:06:11"/>
    <x v="116"/>
    <x v="18"/>
    <s v="March"/>
    <x v="258"/>
    <x v="56"/>
    <s v="Satara"/>
    <s v="Holi"/>
    <n v="4990"/>
    <n v="10"/>
  </r>
  <r>
    <n v="261"/>
    <s v="C041"/>
    <n v="37"/>
    <s v="Officiis Pack"/>
    <s v="Colors"/>
    <n v="3"/>
    <n v="1428"/>
    <x v="76"/>
    <s v="November"/>
    <s v="Monday"/>
    <d v="1899-12-30T14:03:50"/>
    <x v="60"/>
    <x v="15"/>
    <s v="November"/>
    <x v="259"/>
    <x v="19"/>
    <s v="Malegaon"/>
    <s v="Diwali"/>
    <n v="4284"/>
    <n v="6"/>
  </r>
  <r>
    <n v="262"/>
    <s v="C038"/>
    <n v="49"/>
    <s v="Voluptate Pack"/>
    <s v="Colors"/>
    <n v="3"/>
    <n v="903"/>
    <x v="106"/>
    <s v="February"/>
    <s v="Tuesday"/>
    <d v="1899-12-30T08:05:16"/>
    <x v="68"/>
    <x v="7"/>
    <s v="February"/>
    <x v="260"/>
    <x v="53"/>
    <s v="Tirunelveli"/>
    <s v="Valentine's Day"/>
    <n v="2709"/>
    <n v="4"/>
  </r>
  <r>
    <n v="263"/>
    <s v="C081"/>
    <n v="57"/>
    <s v="Voluptatem Box"/>
    <s v="Colors"/>
    <n v="4"/>
    <n v="1582"/>
    <x v="139"/>
    <s v="March"/>
    <s v="Sunday"/>
    <d v="1899-12-30T09:35:10"/>
    <x v="82"/>
    <x v="17"/>
    <s v="March"/>
    <x v="261"/>
    <x v="58"/>
    <s v="Chittoor"/>
    <s v="Birthday"/>
    <n v="6328"/>
    <n v="1"/>
  </r>
  <r>
    <n v="264"/>
    <s v="C010"/>
    <n v="52"/>
    <s v="Dolorum Box"/>
    <s v="Raksha Bandhan"/>
    <n v="3"/>
    <n v="236"/>
    <x v="16"/>
    <s v="February"/>
    <s v="Thursday"/>
    <d v="1899-12-30T05:35:19"/>
    <x v="3"/>
    <x v="16"/>
    <s v="February"/>
    <x v="262"/>
    <x v="50"/>
    <s v="Asansol"/>
    <s v="Valentine's Day"/>
    <n v="708"/>
    <n v="9"/>
  </r>
  <r>
    <n v="265"/>
    <s v="C060"/>
    <n v="58"/>
    <s v="Sed Pack"/>
    <s v="Cake"/>
    <n v="1"/>
    <n v="1492"/>
    <x v="29"/>
    <s v="February"/>
    <s v="Friday"/>
    <d v="1899-12-30T21:17:18"/>
    <x v="3"/>
    <x v="20"/>
    <s v="February"/>
    <x v="263"/>
    <x v="55"/>
    <s v="Gudivada"/>
    <s v="Valentine's Day"/>
    <n v="1492"/>
    <n v="8"/>
  </r>
  <r>
    <n v="266"/>
    <s v="C038"/>
    <n v="36"/>
    <s v="Cum Gift"/>
    <s v="Plants"/>
    <n v="1"/>
    <n v="203"/>
    <x v="140"/>
    <s v="May"/>
    <s v="Friday"/>
    <d v="1899-12-30T13:46:56"/>
    <x v="5"/>
    <x v="18"/>
    <s v="May"/>
    <x v="264"/>
    <x v="53"/>
    <s v="Sonipat"/>
    <s v="Birthday"/>
    <n v="203"/>
    <n v="1"/>
  </r>
  <r>
    <n v="267"/>
    <s v="C055"/>
    <n v="35"/>
    <s v="Nam Gift"/>
    <s v="Colors"/>
    <n v="3"/>
    <n v="1865"/>
    <x v="26"/>
    <s v="March"/>
    <s v="Saturday"/>
    <d v="1899-12-30T13:38:57"/>
    <x v="21"/>
    <x v="18"/>
    <s v="March"/>
    <x v="265"/>
    <x v="27"/>
    <s v="Chandrapur"/>
    <s v="Holi"/>
    <n v="5595"/>
    <n v="8"/>
  </r>
  <r>
    <n v="268"/>
    <s v="C053"/>
    <n v="38"/>
    <s v="Mollitia Set"/>
    <s v="Cake"/>
    <n v="1"/>
    <n v="562"/>
    <x v="141"/>
    <s v="August"/>
    <s v="Monday"/>
    <d v="1899-12-30T07:45:59"/>
    <x v="142"/>
    <x v="14"/>
    <s v="August"/>
    <x v="266"/>
    <x v="52"/>
    <s v="Katni"/>
    <s v="Birthday"/>
    <n v="562"/>
    <n v="9"/>
  </r>
  <r>
    <n v="269"/>
    <s v="C024"/>
    <n v="36"/>
    <s v="Cum Gift"/>
    <s v="Plants"/>
    <n v="1"/>
    <n v="203"/>
    <x v="142"/>
    <s v="October"/>
    <s v="Wednesday"/>
    <d v="1899-12-30T01:12:12"/>
    <x v="154"/>
    <x v="4"/>
    <s v="October"/>
    <x v="267"/>
    <x v="11"/>
    <s v="Raebareli"/>
    <s v="Birthday"/>
    <n v="203"/>
    <n v="1"/>
  </r>
  <r>
    <n v="270"/>
    <s v="C084"/>
    <n v="21"/>
    <s v="Quia Gift"/>
    <s v="Colors"/>
    <n v="5"/>
    <n v="1561"/>
    <x v="22"/>
    <s v="August"/>
    <s v="Tuesday"/>
    <d v="1899-12-30T20:21:29"/>
    <x v="141"/>
    <x v="6"/>
    <s v="September"/>
    <x v="268"/>
    <x v="68"/>
    <s v="Avadi"/>
    <s v="Raksha Bandhan"/>
    <n v="7805"/>
    <n v="10"/>
  </r>
  <r>
    <n v="271"/>
    <s v="C039"/>
    <n v="36"/>
    <s v="Cum Gift"/>
    <s v="Plants"/>
    <n v="5"/>
    <n v="203"/>
    <x v="143"/>
    <s v="June"/>
    <s v="Friday"/>
    <d v="1899-12-30T18:27:42"/>
    <x v="155"/>
    <x v="23"/>
    <s v="June"/>
    <x v="269"/>
    <x v="57"/>
    <s v="Patna"/>
    <s v="Birthday"/>
    <n v="1015"/>
    <n v="7"/>
  </r>
  <r>
    <n v="272"/>
    <s v="C016"/>
    <n v="12"/>
    <s v="Non Set"/>
    <s v="Plants"/>
    <n v="1"/>
    <n v="672"/>
    <x v="144"/>
    <s v="April"/>
    <s v="Saturday"/>
    <d v="1899-12-30T09:40:05"/>
    <x v="156"/>
    <x v="17"/>
    <s v="April"/>
    <x v="270"/>
    <x v="73"/>
    <s v="Kumbakonam"/>
    <s v="Anniversary"/>
    <n v="672"/>
    <n v="10"/>
  </r>
  <r>
    <n v="273"/>
    <s v="C047"/>
    <n v="10"/>
    <s v="Accusantium Gift"/>
    <s v="Cake"/>
    <n v="2"/>
    <n v="259"/>
    <x v="145"/>
    <s v="November"/>
    <s v="Wednesday"/>
    <d v="1899-12-30T16:12:35"/>
    <x v="157"/>
    <x v="8"/>
    <s v="November"/>
    <x v="271"/>
    <x v="25"/>
    <s v="Moradabad"/>
    <s v="Birthday"/>
    <n v="518"/>
    <n v="2"/>
  </r>
  <r>
    <n v="274"/>
    <s v="C078"/>
    <n v="41"/>
    <s v="Aut Box"/>
    <s v="Sweets"/>
    <n v="5"/>
    <n v="1977"/>
    <x v="31"/>
    <s v="November"/>
    <s v="Thursday"/>
    <d v="1899-12-30T06:37:51"/>
    <x v="60"/>
    <x v="22"/>
    <s v="November"/>
    <x v="272"/>
    <x v="4"/>
    <s v="Raebareli"/>
    <s v="Diwali"/>
    <n v="9885"/>
    <n v="10"/>
  </r>
  <r>
    <n v="275"/>
    <s v="C028"/>
    <n v="29"/>
    <s v="In Set"/>
    <s v="Colors"/>
    <n v="1"/>
    <n v="1252"/>
    <x v="9"/>
    <s v="March"/>
    <s v="Thursday"/>
    <d v="1899-12-30T04:13:47"/>
    <x v="0"/>
    <x v="2"/>
    <s v="March"/>
    <x v="273"/>
    <x v="48"/>
    <s v="Ranchi"/>
    <s v="Holi"/>
    <n v="1252"/>
    <n v="3"/>
  </r>
  <r>
    <n v="276"/>
    <s v="C065"/>
    <n v="15"/>
    <s v="Repudiandae Box"/>
    <s v="Raksha Bandhan"/>
    <n v="2"/>
    <n v="1488"/>
    <x v="146"/>
    <s v="May"/>
    <s v="Sunday"/>
    <d v="1899-12-30T01:34:06"/>
    <x v="158"/>
    <x v="4"/>
    <s v="June"/>
    <x v="274"/>
    <x v="10"/>
    <s v="Muzaffarpur"/>
    <s v="Anniversary"/>
    <n v="2976"/>
    <n v="4"/>
  </r>
  <r>
    <n v="277"/>
    <s v="C062"/>
    <n v="34"/>
    <s v="Placeat Pack"/>
    <s v="Soft Toys"/>
    <n v="5"/>
    <n v="1335"/>
    <x v="61"/>
    <s v="August"/>
    <s v="Wednesday"/>
    <d v="1899-12-30T19:16:40"/>
    <x v="7"/>
    <x v="1"/>
    <s v="August"/>
    <x v="275"/>
    <x v="49"/>
    <s v="Bhilai"/>
    <s v="Raksha Bandhan"/>
    <n v="6675"/>
    <n v="6"/>
  </r>
  <r>
    <n v="278"/>
    <s v="C044"/>
    <n v="1"/>
    <s v="Magnam Set"/>
    <s v="Soft Toys"/>
    <n v="2"/>
    <n v="1935"/>
    <x v="147"/>
    <s v="June"/>
    <s v="Tuesday"/>
    <d v="1899-12-30T23:33:52"/>
    <x v="159"/>
    <x v="0"/>
    <s v="June"/>
    <x v="276"/>
    <x v="8"/>
    <s v="Ballia"/>
    <s v="All Occasions"/>
    <n v="3870"/>
    <n v="4"/>
  </r>
  <r>
    <n v="279"/>
    <s v="C067"/>
    <n v="23"/>
    <s v="Dignissimos Pack"/>
    <s v="Sweets"/>
    <n v="4"/>
    <n v="1098"/>
    <x v="148"/>
    <s v="November"/>
    <s v="Friday"/>
    <d v="1899-12-30T09:14:46"/>
    <x v="160"/>
    <x v="17"/>
    <s v="November"/>
    <x v="277"/>
    <x v="29"/>
    <s v="Chinsurah"/>
    <s v="Anniversary"/>
    <n v="4392"/>
    <n v="2"/>
  </r>
  <r>
    <n v="280"/>
    <s v="C003"/>
    <n v="19"/>
    <s v="Iure Gift"/>
    <s v="Mugs"/>
    <n v="3"/>
    <n v="1234"/>
    <x v="106"/>
    <s v="February"/>
    <s v="Tuesday"/>
    <d v="1899-12-30T17:44:47"/>
    <x v="17"/>
    <x v="21"/>
    <s v="February"/>
    <x v="278"/>
    <x v="3"/>
    <s v="Mangalore"/>
    <s v="Valentine's Day"/>
    <n v="3702"/>
    <n v="5"/>
  </r>
  <r>
    <n v="281"/>
    <s v="C008"/>
    <n v="15"/>
    <s v="Repudiandae Box"/>
    <s v="Raksha Bandhan"/>
    <n v="3"/>
    <n v="1488"/>
    <x v="149"/>
    <s v="September"/>
    <s v="Thursday"/>
    <d v="1899-12-30T20:36:47"/>
    <x v="119"/>
    <x v="6"/>
    <s v="September"/>
    <x v="279"/>
    <x v="51"/>
    <s v="Nellore"/>
    <s v="Anniversary"/>
    <n v="4464"/>
    <n v="4"/>
  </r>
  <r>
    <n v="282"/>
    <s v="C092"/>
    <n v="41"/>
    <s v="Aut Box"/>
    <s v="Sweets"/>
    <n v="2"/>
    <n v="1977"/>
    <x v="30"/>
    <s v="November"/>
    <s v="Saturday"/>
    <d v="1899-12-30T10:20:49"/>
    <x v="161"/>
    <x v="13"/>
    <s v="November"/>
    <x v="280"/>
    <x v="38"/>
    <s v="Mangalore"/>
    <s v="Diwali"/>
    <n v="3954"/>
    <n v="8"/>
  </r>
  <r>
    <n v="283"/>
    <s v="C086"/>
    <n v="23"/>
    <s v="Dignissimos Pack"/>
    <s v="Sweets"/>
    <n v="2"/>
    <n v="1098"/>
    <x v="150"/>
    <s v="November"/>
    <s v="Thursday"/>
    <d v="1899-12-30T02:51:34"/>
    <x v="162"/>
    <x v="10"/>
    <s v="November"/>
    <x v="281"/>
    <x v="80"/>
    <s v="Erode"/>
    <s v="Anniversary"/>
    <n v="2196"/>
    <n v="7"/>
  </r>
  <r>
    <n v="284"/>
    <s v="C057"/>
    <n v="17"/>
    <s v="Delectus Gift"/>
    <s v="Soft Toys"/>
    <n v="1"/>
    <n v="1899"/>
    <x v="151"/>
    <s v="August"/>
    <s v="Thursday"/>
    <d v="1899-12-30T16:13:04"/>
    <x v="163"/>
    <x v="8"/>
    <s v="August"/>
    <x v="282"/>
    <x v="47"/>
    <s v="Aurangabad"/>
    <s v="Anniversary"/>
    <n v="1899"/>
    <n v="6"/>
  </r>
  <r>
    <n v="285"/>
    <s v="C082"/>
    <n v="7"/>
    <s v="Quos Set"/>
    <s v="Soft Toys"/>
    <n v="5"/>
    <n v="409"/>
    <x v="8"/>
    <s v="February"/>
    <s v="Sunday"/>
    <d v="1899-12-30T17:26:44"/>
    <x v="81"/>
    <x v="21"/>
    <s v="March"/>
    <x v="283"/>
    <x v="59"/>
    <s v="Tirunelveli"/>
    <s v="Holi"/>
    <n v="2045"/>
    <n v="3"/>
  </r>
  <r>
    <n v="286"/>
    <s v="C098"/>
    <n v="50"/>
    <s v="Eligendi Set"/>
    <s v="Plants"/>
    <n v="3"/>
    <n v="422"/>
    <x v="21"/>
    <s v="March"/>
    <s v="Monday"/>
    <d v="1899-12-30T20:05:40"/>
    <x v="21"/>
    <x v="6"/>
    <s v="March"/>
    <x v="284"/>
    <x v="77"/>
    <s v="Mango"/>
    <s v="Holi"/>
    <n v="1266"/>
    <n v="6"/>
  </r>
  <r>
    <n v="287"/>
    <s v="C011"/>
    <n v="7"/>
    <s v="Quos Set"/>
    <s v="Soft Toys"/>
    <n v="5"/>
    <n v="409"/>
    <x v="52"/>
    <s v="March"/>
    <s v="Friday"/>
    <d v="1899-12-30T04:54:04"/>
    <x v="44"/>
    <x v="2"/>
    <s v="March"/>
    <x v="285"/>
    <x v="16"/>
    <s v="Muzaffarnagar"/>
    <s v="Holi"/>
    <n v="2045"/>
    <n v="3"/>
  </r>
  <r>
    <n v="288"/>
    <s v="C035"/>
    <n v="34"/>
    <s v="Placeat Pack"/>
    <s v="Soft Toys"/>
    <n v="2"/>
    <n v="1335"/>
    <x v="128"/>
    <s v="August"/>
    <s v="Monday"/>
    <d v="1899-12-30T15:58:58"/>
    <x v="142"/>
    <x v="11"/>
    <s v="August"/>
    <x v="286"/>
    <x v="61"/>
    <s v="Ballia"/>
    <s v="Raksha Bandhan"/>
    <n v="2670"/>
    <n v="2"/>
  </r>
  <r>
    <n v="289"/>
    <s v="C018"/>
    <n v="30"/>
    <s v="Recusandae Pack"/>
    <s v="Colors"/>
    <n v="4"/>
    <n v="751"/>
    <x v="39"/>
    <s v="August"/>
    <s v="Tuesday"/>
    <d v="1899-12-30T23:40:01"/>
    <x v="117"/>
    <x v="0"/>
    <s v="September"/>
    <x v="287"/>
    <x v="20"/>
    <s v="Imphal"/>
    <s v="Anniversary"/>
    <n v="3004"/>
    <n v="8"/>
  </r>
  <r>
    <n v="290"/>
    <s v="C079"/>
    <n v="69"/>
    <s v="Id Box"/>
    <s v="Cake"/>
    <n v="3"/>
    <n v="998"/>
    <x v="21"/>
    <s v="March"/>
    <s v="Monday"/>
    <d v="1899-12-30T10:27:18"/>
    <x v="101"/>
    <x v="13"/>
    <s v="March"/>
    <x v="288"/>
    <x v="79"/>
    <s v="Alwar"/>
    <s v="Holi"/>
    <n v="2994"/>
    <n v="4"/>
  </r>
  <r>
    <n v="291"/>
    <s v="C072"/>
    <n v="49"/>
    <s v="Voluptate Pack"/>
    <s v="Colors"/>
    <n v="2"/>
    <n v="903"/>
    <x v="29"/>
    <s v="February"/>
    <s v="Friday"/>
    <d v="1899-12-30T00:12:40"/>
    <x v="68"/>
    <x v="5"/>
    <s v="February"/>
    <x v="289"/>
    <x v="15"/>
    <s v="Nadiad"/>
    <s v="Valentine's Day"/>
    <n v="1806"/>
    <n v="1"/>
  </r>
  <r>
    <n v="292"/>
    <s v="C053"/>
    <n v="54"/>
    <s v="Occaecati Gift"/>
    <s v="Cake"/>
    <n v="1"/>
    <n v="1236"/>
    <x v="152"/>
    <s v="September"/>
    <s v="Wednesday"/>
    <d v="1899-12-30T22:43:35"/>
    <x v="55"/>
    <x v="3"/>
    <s v="October"/>
    <x v="290"/>
    <x v="52"/>
    <s v="Howrah"/>
    <s v="Anniversary"/>
    <n v="1236"/>
    <n v="6"/>
  </r>
  <r>
    <n v="293"/>
    <s v="C003"/>
    <n v="1"/>
    <s v="Magnam Set"/>
    <s v="Soft Toys"/>
    <n v="4"/>
    <n v="1935"/>
    <x v="153"/>
    <s v="September"/>
    <s v="Monday"/>
    <d v="1899-12-30T04:03:47"/>
    <x v="98"/>
    <x v="2"/>
    <s v="September"/>
    <x v="291"/>
    <x v="3"/>
    <s v="Tezpur"/>
    <s v="All Occasions"/>
    <n v="7740"/>
    <n v="5"/>
  </r>
  <r>
    <n v="294"/>
    <s v="C047"/>
    <n v="26"/>
    <s v="Aliquam Box"/>
    <s v="Colors"/>
    <n v="5"/>
    <n v="289"/>
    <x v="125"/>
    <s v="March"/>
    <s v="Wednesday"/>
    <d v="1899-12-30T21:04:18"/>
    <x v="9"/>
    <x v="20"/>
    <s v="March"/>
    <x v="292"/>
    <x v="25"/>
    <s v="Nagpur"/>
    <s v="Holi"/>
    <n v="1445"/>
    <n v="2"/>
  </r>
  <r>
    <n v="295"/>
    <s v="C079"/>
    <n v="18"/>
    <s v="Nemo Set"/>
    <s v="Plants"/>
    <n v="1"/>
    <n v="781"/>
    <x v="67"/>
    <s v="May"/>
    <s v="Monday"/>
    <d v="1899-12-30T15:54:09"/>
    <x v="164"/>
    <x v="11"/>
    <s v="June"/>
    <x v="293"/>
    <x v="79"/>
    <s v="Tadepalligudem"/>
    <s v="Birthday"/>
    <n v="781"/>
    <n v="4"/>
  </r>
  <r>
    <n v="296"/>
    <s v="C081"/>
    <n v="70"/>
    <s v="Error Gift"/>
    <s v="Sweets"/>
    <n v="5"/>
    <n v="866"/>
    <x v="154"/>
    <s v="April"/>
    <s v="Saturday"/>
    <d v="1899-12-30T11:55:14"/>
    <x v="165"/>
    <x v="12"/>
    <s v="April"/>
    <x v="294"/>
    <x v="58"/>
    <s v="Tirunelveli"/>
    <s v="Birthday"/>
    <n v="4330"/>
    <n v="10"/>
  </r>
  <r>
    <n v="297"/>
    <s v="C047"/>
    <n v="13"/>
    <s v="Et Set"/>
    <s v="Mugs"/>
    <n v="3"/>
    <n v="1141"/>
    <x v="25"/>
    <s v="February"/>
    <s v="Tuesday"/>
    <d v="1899-12-30T20:15:29"/>
    <x v="0"/>
    <x v="6"/>
    <s v="March"/>
    <x v="295"/>
    <x v="25"/>
    <s v="Phagwara"/>
    <s v="Holi"/>
    <n v="3423"/>
    <n v="5"/>
  </r>
  <r>
    <n v="298"/>
    <s v="C057"/>
    <n v="3"/>
    <s v="Eius Gift"/>
    <s v="Colors"/>
    <n v="1"/>
    <n v="1534"/>
    <x v="4"/>
    <s v="February"/>
    <s v="Saturday"/>
    <d v="1899-12-30T23:06:29"/>
    <x v="17"/>
    <x v="0"/>
    <s v="February"/>
    <x v="296"/>
    <x v="47"/>
    <s v="Bahraich"/>
    <s v="Valentine's Day"/>
    <n v="1534"/>
    <n v="1"/>
  </r>
  <r>
    <n v="299"/>
    <s v="C091"/>
    <n v="8"/>
    <s v="Qui Box"/>
    <s v="Sweets"/>
    <n v="5"/>
    <n v="252"/>
    <x v="7"/>
    <s v="November"/>
    <s v="Wednesday"/>
    <d v="1899-12-30T11:51:21"/>
    <x v="166"/>
    <x v="12"/>
    <s v="November"/>
    <x v="297"/>
    <x v="21"/>
    <s v="Vellore"/>
    <s v="Anniversary"/>
    <n v="1260"/>
    <n v="9"/>
  </r>
  <r>
    <n v="300"/>
    <s v="C032"/>
    <n v="22"/>
    <s v="Exercitationem Pack"/>
    <s v="Soft Toys"/>
    <n v="1"/>
    <n v="1639"/>
    <x v="39"/>
    <s v="August"/>
    <s v="Tuesday"/>
    <d v="1899-12-30T19:20:05"/>
    <x v="54"/>
    <x v="1"/>
    <s v="September"/>
    <x v="298"/>
    <x v="54"/>
    <s v="Tinsukia"/>
    <s v="All Occasions"/>
    <n v="1639"/>
    <n v="10"/>
  </r>
  <r>
    <n v="301"/>
    <s v="C070"/>
    <n v="6"/>
    <s v="Quos Box"/>
    <s v="Cake"/>
    <n v="3"/>
    <n v="1112"/>
    <x v="64"/>
    <s v="February"/>
    <s v="Monday"/>
    <d v="1899-12-30T06:24:22"/>
    <x v="11"/>
    <x v="22"/>
    <s v="March"/>
    <x v="299"/>
    <x v="66"/>
    <s v="Kota"/>
    <s v="Holi"/>
    <n v="3336"/>
    <n v="5"/>
  </r>
  <r>
    <n v="302"/>
    <s v="C071"/>
    <n v="25"/>
    <s v="Qui Gift"/>
    <s v="Plants"/>
    <n v="4"/>
    <n v="1202"/>
    <x v="155"/>
    <s v="October"/>
    <s v="Tuesday"/>
    <d v="1899-12-30T13:53:05"/>
    <x v="167"/>
    <x v="18"/>
    <s v="October"/>
    <x v="300"/>
    <x v="26"/>
    <s v="Dhanbad"/>
    <s v="Anniversary"/>
    <n v="4808"/>
    <n v="1"/>
  </r>
  <r>
    <n v="303"/>
    <s v="C051"/>
    <n v="14"/>
    <s v="Deserunt Box"/>
    <s v="Colors"/>
    <n v="1"/>
    <n v="1915"/>
    <x v="156"/>
    <s v="November"/>
    <s v="Monday"/>
    <d v="1899-12-30T06:42:57"/>
    <x v="168"/>
    <x v="22"/>
    <s v="November"/>
    <x v="301"/>
    <x v="65"/>
    <s v="Narasaraopet"/>
    <s v="Birthday"/>
    <n v="1915"/>
    <n v="9"/>
  </r>
  <r>
    <n v="304"/>
    <s v="C088"/>
    <n v="67"/>
    <s v="Maiores Box"/>
    <s v="Raksha Bandhan"/>
    <n v="3"/>
    <n v="1374"/>
    <x v="139"/>
    <s v="March"/>
    <s v="Sunday"/>
    <d v="1899-12-30T09:24:28"/>
    <x v="40"/>
    <x v="17"/>
    <s v="March"/>
    <x v="302"/>
    <x v="23"/>
    <s v="Tiruchirappalli"/>
    <s v="Anniversary"/>
    <n v="4122"/>
    <n v="7"/>
  </r>
  <r>
    <n v="305"/>
    <s v="C003"/>
    <n v="26"/>
    <s v="Aliquam Box"/>
    <s v="Colors"/>
    <n v="1"/>
    <n v="289"/>
    <x v="9"/>
    <s v="March"/>
    <s v="Thursday"/>
    <d v="1899-12-30T00:10:44"/>
    <x v="101"/>
    <x v="5"/>
    <s v="March"/>
    <x v="303"/>
    <x v="3"/>
    <s v="Lucknow"/>
    <s v="Holi"/>
    <n v="289"/>
    <n v="8"/>
  </r>
  <r>
    <n v="306"/>
    <s v="C085"/>
    <n v="49"/>
    <s v="Voluptate Pack"/>
    <s v="Colors"/>
    <n v="4"/>
    <n v="903"/>
    <x v="56"/>
    <s v="February"/>
    <s v="Saturday"/>
    <d v="1899-12-30T11:35:51"/>
    <x v="17"/>
    <x v="12"/>
    <s v="February"/>
    <x v="304"/>
    <x v="71"/>
    <s v="Bellary"/>
    <s v="Valentine's Day"/>
    <n v="3612"/>
    <n v="8"/>
  </r>
  <r>
    <n v="307"/>
    <s v="C042"/>
    <n v="3"/>
    <s v="Eius Gift"/>
    <s v="Colors"/>
    <n v="1"/>
    <n v="1534"/>
    <x v="56"/>
    <s v="February"/>
    <s v="Saturday"/>
    <d v="1899-12-30T21:37:54"/>
    <x v="62"/>
    <x v="20"/>
    <s v="February"/>
    <x v="305"/>
    <x v="12"/>
    <s v="Durgapur"/>
    <s v="Valentine's Day"/>
    <n v="1534"/>
    <n v="4"/>
  </r>
  <r>
    <n v="308"/>
    <s v="C005"/>
    <n v="57"/>
    <s v="Voluptatem Box"/>
    <s v="Colors"/>
    <n v="1"/>
    <n v="1582"/>
    <x v="157"/>
    <s v="March"/>
    <s v="Thursday"/>
    <d v="1899-12-30T07:54:11"/>
    <x v="21"/>
    <x v="14"/>
    <s v="March"/>
    <x v="306"/>
    <x v="81"/>
    <s v="Haldia"/>
    <s v="Birthday"/>
    <n v="1582"/>
    <n v="3"/>
  </r>
  <r>
    <n v="309"/>
    <s v="C071"/>
    <n v="60"/>
    <s v="Ea Set"/>
    <s v="Sweets"/>
    <n v="4"/>
    <n v="827"/>
    <x v="87"/>
    <s v="November"/>
    <s v="Friday"/>
    <d v="1899-12-30T06:38:43"/>
    <x v="1"/>
    <x v="22"/>
    <s v="November"/>
    <x v="307"/>
    <x v="26"/>
    <s v="Mangalore"/>
    <s v="Diwali"/>
    <n v="3308"/>
    <n v="3"/>
  </r>
  <r>
    <n v="310"/>
    <s v="C061"/>
    <n v="38"/>
    <s v="Mollitia Set"/>
    <s v="Cake"/>
    <n v="3"/>
    <n v="562"/>
    <x v="5"/>
    <s v="August"/>
    <s v="Sunday"/>
    <d v="1899-12-30T12:24:22"/>
    <x v="152"/>
    <x v="19"/>
    <s v="August"/>
    <x v="308"/>
    <x v="11"/>
    <s v="Bhalswa Jahangir Pur"/>
    <s v="Birthday"/>
    <n v="1686"/>
    <n v="4"/>
  </r>
  <r>
    <n v="311"/>
    <s v="C051"/>
    <n v="39"/>
    <s v="Voluptate Set"/>
    <s v="Mugs"/>
    <n v="2"/>
    <n v="387"/>
    <x v="50"/>
    <s v="September"/>
    <s v="Saturday"/>
    <d v="1899-12-30T09:26:47"/>
    <x v="139"/>
    <x v="17"/>
    <s v="September"/>
    <x v="309"/>
    <x v="65"/>
    <s v="Mehsana"/>
    <s v="All Occasions"/>
    <n v="774"/>
    <n v="10"/>
  </r>
  <r>
    <n v="312"/>
    <s v="C044"/>
    <n v="9"/>
    <s v="Aperiam Box"/>
    <s v="Colors"/>
    <n v="1"/>
    <n v="1605"/>
    <x v="22"/>
    <s v="August"/>
    <s v="Tuesday"/>
    <d v="1899-12-30T18:27:36"/>
    <x v="42"/>
    <x v="23"/>
    <s v="August"/>
    <x v="310"/>
    <x v="8"/>
    <s v="Akola"/>
    <s v="Raksha Bandhan"/>
    <n v="1605"/>
    <n v="5"/>
  </r>
  <r>
    <n v="313"/>
    <s v="C056"/>
    <n v="30"/>
    <s v="Recusandae Pack"/>
    <s v="Colors"/>
    <n v="2"/>
    <n v="751"/>
    <x v="158"/>
    <s v="July"/>
    <s v="Saturday"/>
    <d v="1899-12-30T19:24:29"/>
    <x v="169"/>
    <x v="1"/>
    <s v="July"/>
    <x v="311"/>
    <x v="2"/>
    <s v="Thane"/>
    <s v="Anniversary"/>
    <n v="1502"/>
    <n v="4"/>
  </r>
  <r>
    <n v="314"/>
    <s v="C029"/>
    <n v="43"/>
    <s v="Quisquam Pack"/>
    <s v="Raksha Bandhan"/>
    <n v="4"/>
    <n v="750"/>
    <x v="159"/>
    <s v="November"/>
    <s v="Sunday"/>
    <d v="1899-12-30T11:48:41"/>
    <x v="12"/>
    <x v="12"/>
    <s v="November"/>
    <x v="312"/>
    <x v="2"/>
    <s v="Patiala"/>
    <s v="Diwali"/>
    <n v="3000"/>
    <n v="10"/>
  </r>
  <r>
    <n v="315"/>
    <s v="C063"/>
    <n v="26"/>
    <s v="Aliquam Box"/>
    <s v="Colors"/>
    <n v="5"/>
    <n v="289"/>
    <x v="21"/>
    <s v="March"/>
    <s v="Monday"/>
    <d v="1899-12-30T14:21:31"/>
    <x v="170"/>
    <x v="15"/>
    <s v="March"/>
    <x v="313"/>
    <x v="22"/>
    <s v="Ambattur"/>
    <s v="Holi"/>
    <n v="1445"/>
    <n v="3"/>
  </r>
  <r>
    <n v="316"/>
    <s v="C048"/>
    <n v="2"/>
    <s v="Voluptas Box"/>
    <s v="Plants"/>
    <n v="5"/>
    <n v="441"/>
    <x v="4"/>
    <s v="February"/>
    <s v="Saturday"/>
    <d v="1899-12-30T21:35:05"/>
    <x v="28"/>
    <x v="20"/>
    <s v="February"/>
    <x v="314"/>
    <x v="42"/>
    <s v="Muzaffarnagar"/>
    <s v="Valentine's Day"/>
    <n v="2205"/>
    <n v="4"/>
  </r>
  <r>
    <n v="317"/>
    <s v="C014"/>
    <n v="29"/>
    <s v="In Set"/>
    <s v="Colors"/>
    <n v="3"/>
    <n v="1252"/>
    <x v="15"/>
    <s v="March"/>
    <s v="Tuesday"/>
    <d v="1899-12-30T18:51:27"/>
    <x v="137"/>
    <x v="23"/>
    <s v="March"/>
    <x v="315"/>
    <x v="37"/>
    <s v="Ahmednagar"/>
    <s v="Holi"/>
    <n v="3756"/>
    <n v="8"/>
  </r>
  <r>
    <n v="318"/>
    <s v="C038"/>
    <n v="26"/>
    <s v="Aliquam Box"/>
    <s v="Colors"/>
    <n v="5"/>
    <n v="289"/>
    <x v="15"/>
    <s v="March"/>
    <s v="Tuesday"/>
    <d v="1899-12-30T12:15:49"/>
    <x v="57"/>
    <x v="19"/>
    <s v="March"/>
    <x v="316"/>
    <x v="53"/>
    <s v="Hosur"/>
    <s v="Holi"/>
    <n v="1445"/>
    <n v="4"/>
  </r>
  <r>
    <n v="319"/>
    <s v="C044"/>
    <n v="64"/>
    <s v="Nostrum Box"/>
    <s v="Soft Toys"/>
    <n v="1"/>
    <n v="1878"/>
    <x v="5"/>
    <s v="August"/>
    <s v="Sunday"/>
    <d v="1899-12-30T06:23:07"/>
    <x v="4"/>
    <x v="22"/>
    <s v="August"/>
    <x v="317"/>
    <x v="8"/>
    <s v="Bikaner"/>
    <s v="Raksha Bandhan"/>
    <n v="1878"/>
    <n v="6"/>
  </r>
  <r>
    <n v="320"/>
    <s v="C007"/>
    <n v="13"/>
    <s v="Et Set"/>
    <s v="Mugs"/>
    <n v="1"/>
    <n v="1141"/>
    <x v="125"/>
    <s v="March"/>
    <s v="Wednesday"/>
    <d v="1899-12-30T07:49:55"/>
    <x v="8"/>
    <x v="14"/>
    <s v="March"/>
    <x v="318"/>
    <x v="70"/>
    <s v="Bijapur"/>
    <s v="Holi"/>
    <n v="1141"/>
    <n v="7"/>
  </r>
  <r>
    <n v="321"/>
    <s v="C049"/>
    <n v="12"/>
    <s v="Non Set"/>
    <s v="Plants"/>
    <n v="5"/>
    <n v="672"/>
    <x v="160"/>
    <s v="March"/>
    <s v="Wednesday"/>
    <d v="1899-12-30T11:27:05"/>
    <x v="171"/>
    <x v="12"/>
    <s v="March"/>
    <x v="319"/>
    <x v="27"/>
    <s v="Rampur"/>
    <s v="Anniversary"/>
    <n v="3360"/>
    <n v="9"/>
  </r>
  <r>
    <n v="322"/>
    <s v="C056"/>
    <n v="15"/>
    <s v="Repudiandae Box"/>
    <s v="Raksha Bandhan"/>
    <n v="1"/>
    <n v="1488"/>
    <x v="161"/>
    <s v="April"/>
    <s v="Tuesday"/>
    <d v="1899-12-30T08:32:11"/>
    <x v="172"/>
    <x v="7"/>
    <s v="April"/>
    <x v="320"/>
    <x v="2"/>
    <s v="Udaipur"/>
    <s v="Anniversary"/>
    <n v="1488"/>
    <n v="4"/>
  </r>
  <r>
    <n v="323"/>
    <s v="C013"/>
    <n v="23"/>
    <s v="Dignissimos Pack"/>
    <s v="Sweets"/>
    <n v="2"/>
    <n v="1098"/>
    <x v="16"/>
    <s v="February"/>
    <s v="Thursday"/>
    <d v="1899-12-30T18:13:04"/>
    <x v="145"/>
    <x v="23"/>
    <s v="February"/>
    <x v="321"/>
    <x v="14"/>
    <s v="Khora "/>
    <s v="Anniversary"/>
    <n v="2196"/>
    <n v="1"/>
  </r>
  <r>
    <n v="324"/>
    <s v="C073"/>
    <n v="14"/>
    <s v="Deserunt Box"/>
    <s v="Colors"/>
    <n v="2"/>
    <n v="1915"/>
    <x v="162"/>
    <s v="February"/>
    <s v="Thursday"/>
    <d v="1899-12-30T18:47:28"/>
    <x v="68"/>
    <x v="23"/>
    <s v="February"/>
    <x v="322"/>
    <x v="82"/>
    <s v="North Dumdum"/>
    <s v="Birthday"/>
    <n v="3830"/>
    <n v="9"/>
  </r>
  <r>
    <n v="325"/>
    <s v="C091"/>
    <n v="27"/>
    <s v="Architecto Gift"/>
    <s v="Cake"/>
    <n v="5"/>
    <n v="548"/>
    <x v="49"/>
    <s v="August"/>
    <s v="Friday"/>
    <d v="1899-12-30T18:30:45"/>
    <x v="126"/>
    <x v="23"/>
    <s v="September"/>
    <x v="323"/>
    <x v="21"/>
    <s v="Amritsar"/>
    <s v="Raksha Bandhan"/>
    <n v="2740"/>
    <n v="10"/>
  </r>
  <r>
    <n v="326"/>
    <s v="C088"/>
    <n v="34"/>
    <s v="Placeat Pack"/>
    <s v="Soft Toys"/>
    <n v="3"/>
    <n v="1335"/>
    <x v="100"/>
    <s v="August"/>
    <s v="Sunday"/>
    <d v="1899-12-30T15:39:05"/>
    <x v="104"/>
    <x v="11"/>
    <s v="September"/>
    <x v="324"/>
    <x v="23"/>
    <s v="Panchkula"/>
    <s v="Raksha Bandhan"/>
    <n v="4005"/>
    <n v="7"/>
  </r>
  <r>
    <n v="327"/>
    <s v="C048"/>
    <n v="51"/>
    <s v="Fugit Set"/>
    <s v="Soft Toys"/>
    <n v="1"/>
    <n v="1084"/>
    <x v="163"/>
    <s v="September"/>
    <s v="Sunday"/>
    <d v="1899-12-30T09:29:05"/>
    <x v="173"/>
    <x v="17"/>
    <s v="September"/>
    <x v="325"/>
    <x v="42"/>
    <s v="Muzaffarnagar"/>
    <s v="All Occasions"/>
    <n v="1084"/>
    <n v="2"/>
  </r>
  <r>
    <n v="328"/>
    <s v="C024"/>
    <n v="23"/>
    <s v="Dignissimos Pack"/>
    <s v="Sweets"/>
    <n v="3"/>
    <n v="1098"/>
    <x v="164"/>
    <s v="April"/>
    <s v="Monday"/>
    <d v="1899-12-30T17:51:38"/>
    <x v="174"/>
    <x v="21"/>
    <s v="April"/>
    <x v="326"/>
    <x v="11"/>
    <s v="Maheshtala"/>
    <s v="Anniversary"/>
    <n v="3294"/>
    <n v="5"/>
  </r>
  <r>
    <n v="329"/>
    <s v="C095"/>
    <n v="17"/>
    <s v="Delectus Gift"/>
    <s v="Soft Toys"/>
    <n v="3"/>
    <n v="1899"/>
    <x v="11"/>
    <s v="August"/>
    <s v="Saturday"/>
    <d v="1899-12-30T02:22:03"/>
    <x v="126"/>
    <x v="10"/>
    <s v="September"/>
    <x v="327"/>
    <x v="40"/>
    <s v="Nashik"/>
    <s v="Anniversary"/>
    <n v="5697"/>
    <n v="9"/>
  </r>
  <r>
    <n v="330"/>
    <s v="C059"/>
    <n v="59"/>
    <s v="Pariatur Box"/>
    <s v="Cake"/>
    <n v="2"/>
    <n v="811"/>
    <x v="109"/>
    <s v="August"/>
    <s v="Thursday"/>
    <d v="1899-12-30T20:25:09"/>
    <x v="141"/>
    <x v="6"/>
    <s v="September"/>
    <x v="328"/>
    <x v="34"/>
    <s v="Shahjahanpur"/>
    <s v="Raksha Bandhan"/>
    <n v="1622"/>
    <n v="8"/>
  </r>
  <r>
    <n v="331"/>
    <s v="C023"/>
    <n v="41"/>
    <s v="Aut Box"/>
    <s v="Sweets"/>
    <n v="5"/>
    <n v="1977"/>
    <x v="13"/>
    <s v="November"/>
    <s v="Saturday"/>
    <d v="1899-12-30T21:49:56"/>
    <x v="30"/>
    <x v="20"/>
    <s v="November"/>
    <x v="329"/>
    <x v="18"/>
    <s v="Patna"/>
    <s v="Diwali"/>
    <n v="9885"/>
    <n v="1"/>
  </r>
  <r>
    <n v="332"/>
    <s v="C052"/>
    <n v="20"/>
    <s v="Reiciendis Box"/>
    <s v="Colors"/>
    <n v="5"/>
    <n v="697"/>
    <x v="161"/>
    <s v="April"/>
    <s v="Tuesday"/>
    <d v="1899-12-30T20:14:13"/>
    <x v="156"/>
    <x v="6"/>
    <s v="April"/>
    <x v="330"/>
    <x v="9"/>
    <s v="Khammam"/>
    <s v="Anniversary"/>
    <n v="3485"/>
    <n v="7"/>
  </r>
  <r>
    <n v="333"/>
    <s v="C100"/>
    <n v="22"/>
    <s v="Exercitationem Pack"/>
    <s v="Soft Toys"/>
    <n v="5"/>
    <n v="1639"/>
    <x v="16"/>
    <s v="February"/>
    <s v="Thursday"/>
    <d v="1899-12-30T06:19:15"/>
    <x v="145"/>
    <x v="22"/>
    <s v="February"/>
    <x v="331"/>
    <x v="56"/>
    <s v="South Dumdum"/>
    <s v="All Occasions"/>
    <n v="8195"/>
    <n v="1"/>
  </r>
  <r>
    <n v="334"/>
    <s v="C066"/>
    <n v="53"/>
    <s v="Ipsam Set"/>
    <s v="Sweets"/>
    <n v="1"/>
    <n v="1672"/>
    <x v="110"/>
    <s v="August"/>
    <s v="Monday"/>
    <d v="1899-12-30T21:19:46"/>
    <x v="141"/>
    <x v="20"/>
    <s v="September"/>
    <x v="332"/>
    <x v="30"/>
    <s v="Patiala"/>
    <s v="Raksha Bandhan"/>
    <n v="1672"/>
    <n v="4"/>
  </r>
  <r>
    <n v="335"/>
    <s v="C013"/>
    <n v="17"/>
    <s v="Delectus Gift"/>
    <s v="Soft Toys"/>
    <n v="2"/>
    <n v="1899"/>
    <x v="76"/>
    <s v="November"/>
    <s v="Monday"/>
    <d v="1899-12-30T02:09:35"/>
    <x v="74"/>
    <x v="10"/>
    <s v="November"/>
    <x v="333"/>
    <x v="14"/>
    <s v="Sri Ganganagar"/>
    <s v="Anniversary"/>
    <n v="3798"/>
    <n v="2"/>
  </r>
  <r>
    <n v="336"/>
    <s v="C069"/>
    <n v="53"/>
    <s v="Ipsam Set"/>
    <s v="Sweets"/>
    <n v="1"/>
    <n v="1672"/>
    <x v="5"/>
    <s v="August"/>
    <s v="Sunday"/>
    <d v="1899-12-30T04:32:24"/>
    <x v="175"/>
    <x v="2"/>
    <s v="August"/>
    <x v="334"/>
    <x v="13"/>
    <s v="Tiruchirappalli"/>
    <s v="Raksha Bandhan"/>
    <n v="1672"/>
    <n v="5"/>
  </r>
  <r>
    <n v="337"/>
    <s v="C008"/>
    <n v="24"/>
    <s v="Ad Box"/>
    <s v="Mugs"/>
    <n v="3"/>
    <n v="535"/>
    <x v="165"/>
    <s v="May"/>
    <s v="Tuesday"/>
    <d v="1899-12-30T14:21:12"/>
    <x v="176"/>
    <x v="15"/>
    <s v="May"/>
    <x v="335"/>
    <x v="51"/>
    <s v="Siwan"/>
    <s v="Birthday"/>
    <n v="1605"/>
    <n v="6"/>
  </r>
  <r>
    <n v="338"/>
    <s v="C087"/>
    <n v="21"/>
    <s v="Quia Gift"/>
    <s v="Colors"/>
    <n v="3"/>
    <n v="1561"/>
    <x v="5"/>
    <s v="August"/>
    <s v="Sunday"/>
    <d v="1899-12-30T14:15:51"/>
    <x v="56"/>
    <x v="15"/>
    <s v="August"/>
    <x v="336"/>
    <x v="10"/>
    <s v="Panchkula"/>
    <s v="Raksha Bandhan"/>
    <n v="4683"/>
    <n v="8"/>
  </r>
  <r>
    <n v="339"/>
    <s v="C083"/>
    <n v="8"/>
    <s v="Qui Box"/>
    <s v="Sweets"/>
    <n v="1"/>
    <n v="252"/>
    <x v="166"/>
    <s v="September"/>
    <s v="Wednesday"/>
    <d v="1899-12-30T20:07:19"/>
    <x v="177"/>
    <x v="6"/>
    <s v="September"/>
    <x v="337"/>
    <x v="62"/>
    <s v="Sirsa"/>
    <s v="Anniversary"/>
    <n v="252"/>
    <n v="9"/>
  </r>
  <r>
    <n v="340"/>
    <s v="C076"/>
    <n v="38"/>
    <s v="Mollitia Set"/>
    <s v="Cake"/>
    <n v="3"/>
    <n v="562"/>
    <x v="2"/>
    <s v="July"/>
    <s v="Friday"/>
    <d v="1899-12-30T07:53:01"/>
    <x v="178"/>
    <x v="14"/>
    <s v="July"/>
    <x v="338"/>
    <x v="78"/>
    <s v="Davanagere"/>
    <s v="Birthday"/>
    <n v="1686"/>
    <n v="8"/>
  </r>
  <r>
    <n v="341"/>
    <s v="C028"/>
    <n v="9"/>
    <s v="Aperiam Box"/>
    <s v="Colors"/>
    <n v="2"/>
    <n v="1605"/>
    <x v="5"/>
    <s v="August"/>
    <s v="Sunday"/>
    <d v="1899-12-30T14:54:35"/>
    <x v="13"/>
    <x v="15"/>
    <s v="August"/>
    <x v="339"/>
    <x v="48"/>
    <s v="Ongole"/>
    <s v="Raksha Bandhan"/>
    <n v="3210"/>
    <n v="10"/>
  </r>
  <r>
    <n v="342"/>
    <s v="C062"/>
    <n v="36"/>
    <s v="Cum Gift"/>
    <s v="Plants"/>
    <n v="5"/>
    <n v="203"/>
    <x v="69"/>
    <s v="November"/>
    <s v="Friday"/>
    <d v="1899-12-30T04:03:43"/>
    <x v="74"/>
    <x v="2"/>
    <s v="November"/>
    <x v="340"/>
    <x v="49"/>
    <s v="Salem"/>
    <s v="Birthday"/>
    <n v="1015"/>
    <n v="5"/>
  </r>
  <r>
    <n v="343"/>
    <s v="C006"/>
    <n v="66"/>
    <s v="Quas Box"/>
    <s v="Colors"/>
    <n v="3"/>
    <n v="610"/>
    <x v="21"/>
    <s v="March"/>
    <s v="Monday"/>
    <d v="1899-12-30T14:12:40"/>
    <x v="170"/>
    <x v="15"/>
    <s v="March"/>
    <x v="341"/>
    <x v="33"/>
    <s v="Parbhani"/>
    <s v="Holi"/>
    <n v="1830"/>
    <n v="3"/>
  </r>
  <r>
    <n v="344"/>
    <s v="C020"/>
    <n v="28"/>
    <s v="Velit Set"/>
    <s v="Sweets"/>
    <n v="5"/>
    <n v="1778"/>
    <x v="39"/>
    <s v="August"/>
    <s v="Tuesday"/>
    <d v="1899-12-30T17:06:22"/>
    <x v="104"/>
    <x v="21"/>
    <s v="September"/>
    <x v="342"/>
    <x v="36"/>
    <s v="Tiruvottiyur"/>
    <s v="Raksha Bandhan"/>
    <n v="8890"/>
    <n v="5"/>
  </r>
  <r>
    <n v="345"/>
    <s v="C056"/>
    <n v="45"/>
    <s v="Iusto Set"/>
    <s v="Raksha Bandhan"/>
    <n v="4"/>
    <n v="722"/>
    <x v="167"/>
    <s v="September"/>
    <s v="Friday"/>
    <d v="1899-12-30T15:40:42"/>
    <x v="179"/>
    <x v="11"/>
    <s v="September"/>
    <x v="343"/>
    <x v="2"/>
    <s v="Bellary"/>
    <s v="Birthday"/>
    <n v="2888"/>
    <n v="8"/>
  </r>
  <r>
    <n v="346"/>
    <s v="C090"/>
    <n v="50"/>
    <s v="Eligendi Set"/>
    <s v="Plants"/>
    <n v="1"/>
    <n v="422"/>
    <x v="26"/>
    <s v="March"/>
    <s v="Saturday"/>
    <d v="1899-12-30T23:24:17"/>
    <x v="21"/>
    <x v="0"/>
    <s v="March"/>
    <x v="344"/>
    <x v="17"/>
    <s v="Pondicherry"/>
    <s v="Holi"/>
    <n v="422"/>
    <n v="8"/>
  </r>
  <r>
    <n v="347"/>
    <s v="C034"/>
    <n v="34"/>
    <s v="Placeat Pack"/>
    <s v="Soft Toys"/>
    <n v="2"/>
    <n v="1335"/>
    <x v="39"/>
    <s v="August"/>
    <s v="Tuesday"/>
    <d v="1899-12-30T09:46:21"/>
    <x v="54"/>
    <x v="17"/>
    <s v="September"/>
    <x v="345"/>
    <x v="66"/>
    <s v="Shimoga"/>
    <s v="Raksha Bandhan"/>
    <n v="2670"/>
    <n v="10"/>
  </r>
  <r>
    <n v="348"/>
    <s v="C060"/>
    <n v="30"/>
    <s v="Recusandae Pack"/>
    <s v="Colors"/>
    <n v="2"/>
    <n v="751"/>
    <x v="168"/>
    <s v="November"/>
    <s v="Tuesday"/>
    <d v="1899-12-30T20:33:37"/>
    <x v="105"/>
    <x v="6"/>
    <s v="December"/>
    <x v="346"/>
    <x v="55"/>
    <s v="Kalyan-Dombivli"/>
    <s v="Anniversary"/>
    <n v="1502"/>
    <n v="9"/>
  </r>
  <r>
    <n v="349"/>
    <s v="C017"/>
    <n v="44"/>
    <s v="Dolorum Set"/>
    <s v="Plants"/>
    <n v="4"/>
    <n v="794"/>
    <x v="30"/>
    <s v="November"/>
    <s v="Saturday"/>
    <d v="1899-12-30T03:32:37"/>
    <x v="60"/>
    <x v="9"/>
    <s v="November"/>
    <x v="347"/>
    <x v="46"/>
    <s v="Junagadh"/>
    <s v="Diwali"/>
    <n v="3176"/>
    <n v="1"/>
  </r>
  <r>
    <n v="350"/>
    <s v="C020"/>
    <n v="19"/>
    <s v="Iure Gift"/>
    <s v="Mugs"/>
    <n v="3"/>
    <n v="1234"/>
    <x v="94"/>
    <s v="February"/>
    <s v="Monday"/>
    <d v="1899-12-30T12:22:57"/>
    <x v="180"/>
    <x v="19"/>
    <s v="February"/>
    <x v="348"/>
    <x v="36"/>
    <s v="Kolkata"/>
    <s v="Valentine's Day"/>
    <n v="3702"/>
    <n v="9"/>
  </r>
  <r>
    <n v="351"/>
    <s v="C099"/>
    <n v="1"/>
    <s v="Magnam Set"/>
    <s v="Soft Toys"/>
    <n v="1"/>
    <n v="1935"/>
    <x v="169"/>
    <s v="January"/>
    <s v="Monday"/>
    <d v="1899-12-30T15:11:07"/>
    <x v="92"/>
    <x v="11"/>
    <s v="January"/>
    <x v="349"/>
    <x v="9"/>
    <s v="Bhilai"/>
    <s v="All Occasions"/>
    <n v="1935"/>
    <n v="9"/>
  </r>
  <r>
    <n v="352"/>
    <s v="C080"/>
    <n v="28"/>
    <s v="Velit Set"/>
    <s v="Sweets"/>
    <n v="1"/>
    <n v="1778"/>
    <x v="61"/>
    <s v="August"/>
    <s v="Wednesday"/>
    <d v="1899-12-30T23:49:45"/>
    <x v="66"/>
    <x v="0"/>
    <s v="September"/>
    <x v="350"/>
    <x v="31"/>
    <s v="Bellary"/>
    <s v="Raksha Bandhan"/>
    <n v="1778"/>
    <n v="10"/>
  </r>
  <r>
    <n v="353"/>
    <s v="C089"/>
    <n v="55"/>
    <s v="Dolores Gift"/>
    <s v="Soft Toys"/>
    <n v="2"/>
    <n v="1904"/>
    <x v="128"/>
    <s v="August"/>
    <s v="Monday"/>
    <d v="1899-12-30T09:43:27"/>
    <x v="152"/>
    <x v="17"/>
    <s v="August"/>
    <x v="351"/>
    <x v="76"/>
    <s v="Korba"/>
    <s v="Raksha Bandhan"/>
    <n v="3808"/>
    <n v="3"/>
  </r>
  <r>
    <n v="354"/>
    <s v="C087"/>
    <n v="13"/>
    <s v="Et Set"/>
    <s v="Mugs"/>
    <n v="5"/>
    <n v="1141"/>
    <x v="8"/>
    <s v="February"/>
    <s v="Sunday"/>
    <d v="1899-12-30T17:25:28"/>
    <x v="44"/>
    <x v="21"/>
    <s v="March"/>
    <x v="352"/>
    <x v="10"/>
    <s v="Narasaraopet"/>
    <s v="Holi"/>
    <n v="5705"/>
    <n v="8"/>
  </r>
  <r>
    <n v="355"/>
    <s v="C099"/>
    <n v="10"/>
    <s v="Accusantium Gift"/>
    <s v="Cake"/>
    <n v="1"/>
    <n v="259"/>
    <x v="170"/>
    <s v="December"/>
    <s v="Sunday"/>
    <d v="1899-12-30T04:52:44"/>
    <x v="181"/>
    <x v="2"/>
    <s v="January"/>
    <x v="353"/>
    <x v="9"/>
    <s v="Satara"/>
    <s v="Birthday"/>
    <n v="259"/>
    <n v="9"/>
  </r>
  <r>
    <n v="356"/>
    <s v="C028"/>
    <n v="14"/>
    <s v="Deserunt Box"/>
    <s v="Colors"/>
    <n v="1"/>
    <n v="1915"/>
    <x v="171"/>
    <s v="July"/>
    <s v="Saturday"/>
    <d v="1899-12-30T00:41:40"/>
    <x v="129"/>
    <x v="5"/>
    <s v="July"/>
    <x v="354"/>
    <x v="48"/>
    <s v="Panvel"/>
    <s v="Birthday"/>
    <n v="1915"/>
    <n v="1"/>
  </r>
  <r>
    <n v="357"/>
    <s v="C063"/>
    <n v="62"/>
    <s v="Sed Set"/>
    <s v="Colors"/>
    <n v="4"/>
    <n v="1356"/>
    <x v="52"/>
    <s v="March"/>
    <s v="Friday"/>
    <d v="1899-12-30T20:01:18"/>
    <x v="82"/>
    <x v="6"/>
    <s v="March"/>
    <x v="355"/>
    <x v="22"/>
    <s v="Kavali"/>
    <s v="Holi"/>
    <n v="5424"/>
    <n v="10"/>
  </r>
  <r>
    <n v="358"/>
    <s v="C040"/>
    <n v="55"/>
    <s v="Dolores Gift"/>
    <s v="Soft Toys"/>
    <n v="1"/>
    <n v="1904"/>
    <x v="5"/>
    <s v="August"/>
    <s v="Sunday"/>
    <d v="1899-12-30T16:53:29"/>
    <x v="175"/>
    <x v="8"/>
    <s v="August"/>
    <x v="356"/>
    <x v="5"/>
    <s v="Secunderabad"/>
    <s v="Raksha Bandhan"/>
    <n v="1904"/>
    <n v="5"/>
  </r>
  <r>
    <n v="359"/>
    <s v="C052"/>
    <n v="47"/>
    <s v="Harum Pack"/>
    <s v="Colors"/>
    <n v="2"/>
    <n v="1638"/>
    <x v="25"/>
    <s v="February"/>
    <s v="Tuesday"/>
    <d v="1899-12-30T12:13:36"/>
    <x v="0"/>
    <x v="19"/>
    <s v="March"/>
    <x v="357"/>
    <x v="9"/>
    <s v="Nagpur"/>
    <s v="Holi"/>
    <n v="3276"/>
    <n v="5"/>
  </r>
  <r>
    <n v="360"/>
    <s v="C099"/>
    <n v="41"/>
    <s v="Aut Box"/>
    <s v="Sweets"/>
    <n v="1"/>
    <n v="1977"/>
    <x v="76"/>
    <s v="November"/>
    <s v="Monday"/>
    <d v="1899-12-30T03:11:57"/>
    <x v="148"/>
    <x v="9"/>
    <s v="November"/>
    <x v="358"/>
    <x v="9"/>
    <s v="Belgaum"/>
    <s v="Diwali"/>
    <n v="1977"/>
    <n v="3"/>
  </r>
  <r>
    <n v="361"/>
    <s v="C049"/>
    <n v="47"/>
    <s v="Harum Pack"/>
    <s v="Colors"/>
    <n v="4"/>
    <n v="1638"/>
    <x v="52"/>
    <s v="March"/>
    <s v="Friday"/>
    <d v="1899-12-30T06:09:56"/>
    <x v="57"/>
    <x v="22"/>
    <s v="March"/>
    <x v="359"/>
    <x v="27"/>
    <s v="Rajkot"/>
    <s v="Holi"/>
    <n v="6552"/>
    <n v="8"/>
  </r>
  <r>
    <n v="362"/>
    <s v="C041"/>
    <n v="31"/>
    <s v="Nihil Box"/>
    <s v="Colors"/>
    <n v="2"/>
    <n v="1804"/>
    <x v="108"/>
    <s v="March"/>
    <s v="Friday"/>
    <d v="1899-12-30T03:40:01"/>
    <x v="171"/>
    <x v="9"/>
    <s v="March"/>
    <x v="360"/>
    <x v="19"/>
    <s v="Nashik"/>
    <s v="All Occasions"/>
    <n v="3608"/>
    <n v="7"/>
  </r>
  <r>
    <n v="363"/>
    <s v="C022"/>
    <n v="15"/>
    <s v="Repudiandae Box"/>
    <s v="Raksha Bandhan"/>
    <n v="2"/>
    <n v="1488"/>
    <x v="172"/>
    <s v="November"/>
    <s v="Monday"/>
    <d v="1899-12-30T19:01:01"/>
    <x v="182"/>
    <x v="1"/>
    <s v="December"/>
    <x v="361"/>
    <x v="67"/>
    <s v="Bhavnagar"/>
    <s v="Anniversary"/>
    <n v="2976"/>
    <n v="8"/>
  </r>
  <r>
    <n v="364"/>
    <s v="C003"/>
    <n v="43"/>
    <s v="Quisquam Pack"/>
    <s v="Raksha Bandhan"/>
    <n v="3"/>
    <n v="750"/>
    <x v="7"/>
    <s v="November"/>
    <s v="Wednesday"/>
    <d v="1899-12-30T06:09:01"/>
    <x v="148"/>
    <x v="22"/>
    <s v="November"/>
    <x v="362"/>
    <x v="3"/>
    <s v="Satara"/>
    <s v="Diwali"/>
    <n v="2250"/>
    <n v="1"/>
  </r>
  <r>
    <n v="365"/>
    <s v="C028"/>
    <n v="8"/>
    <s v="Qui Box"/>
    <s v="Sweets"/>
    <n v="5"/>
    <n v="252"/>
    <x v="57"/>
    <s v="June"/>
    <s v="Thursday"/>
    <d v="1899-12-30T15:31:47"/>
    <x v="183"/>
    <x v="11"/>
    <s v="June"/>
    <x v="363"/>
    <x v="48"/>
    <s v="Agra"/>
    <s v="Anniversary"/>
    <n v="1260"/>
    <n v="3"/>
  </r>
  <r>
    <n v="366"/>
    <s v="C033"/>
    <n v="3"/>
    <s v="Eius Gift"/>
    <s v="Colors"/>
    <n v="3"/>
    <n v="1534"/>
    <x v="41"/>
    <s v="February"/>
    <s v="Wednesday"/>
    <d v="1899-12-30T23:15:47"/>
    <x v="33"/>
    <x v="0"/>
    <s v="February"/>
    <x v="364"/>
    <x v="45"/>
    <s v="Kolkata"/>
    <s v="Valentine's Day"/>
    <n v="4602"/>
    <n v="8"/>
  </r>
  <r>
    <n v="367"/>
    <s v="C010"/>
    <n v="47"/>
    <s v="Harum Pack"/>
    <s v="Colors"/>
    <n v="5"/>
    <n v="1638"/>
    <x v="52"/>
    <s v="March"/>
    <s v="Friday"/>
    <d v="1899-12-30T00:44:09"/>
    <x v="21"/>
    <x v="5"/>
    <s v="March"/>
    <x v="365"/>
    <x v="50"/>
    <s v="South Dumdum"/>
    <s v="Holi"/>
    <n v="8190"/>
    <n v="9"/>
  </r>
  <r>
    <n v="368"/>
    <s v="C042"/>
    <n v="6"/>
    <s v="Quos Box"/>
    <s v="Cake"/>
    <n v="3"/>
    <n v="1112"/>
    <x v="26"/>
    <s v="March"/>
    <s v="Saturday"/>
    <d v="1899-12-30T23:03:22"/>
    <x v="44"/>
    <x v="0"/>
    <s v="March"/>
    <x v="366"/>
    <x v="12"/>
    <s v="Nashik"/>
    <s v="Holi"/>
    <n v="3336"/>
    <n v="2"/>
  </r>
  <r>
    <n v="369"/>
    <s v="C014"/>
    <n v="63"/>
    <s v="Adipisci Set"/>
    <s v="Sweets"/>
    <n v="3"/>
    <n v="1348"/>
    <x v="173"/>
    <s v="August"/>
    <s v="Monday"/>
    <d v="1899-12-30T07:23:44"/>
    <x v="184"/>
    <x v="14"/>
    <s v="August"/>
    <x v="367"/>
    <x v="37"/>
    <s v="Jammu"/>
    <s v="All Occasions"/>
    <n v="4044"/>
    <n v="8"/>
  </r>
  <r>
    <n v="370"/>
    <s v="C073"/>
    <n v="54"/>
    <s v="Occaecati Gift"/>
    <s v="Cake"/>
    <n v="2"/>
    <n v="1236"/>
    <x v="174"/>
    <s v="July"/>
    <s v="Sunday"/>
    <d v="1899-12-30T05:57:39"/>
    <x v="185"/>
    <x v="16"/>
    <s v="July"/>
    <x v="368"/>
    <x v="82"/>
    <s v="Danapur"/>
    <s v="Anniversary"/>
    <n v="2472"/>
    <n v="4"/>
  </r>
  <r>
    <n v="371"/>
    <s v="C090"/>
    <n v="23"/>
    <s v="Dignissimos Pack"/>
    <s v="Sweets"/>
    <n v="4"/>
    <n v="1098"/>
    <x v="65"/>
    <s v="May"/>
    <s v="Monday"/>
    <d v="1899-12-30T01:27:58"/>
    <x v="186"/>
    <x v="4"/>
    <s v="May"/>
    <x v="369"/>
    <x v="17"/>
    <s v="Davanagere"/>
    <s v="Anniversary"/>
    <n v="4392"/>
    <n v="4"/>
  </r>
  <r>
    <n v="372"/>
    <s v="C006"/>
    <n v="25"/>
    <s v="Qui Gift"/>
    <s v="Plants"/>
    <n v="3"/>
    <n v="1202"/>
    <x v="7"/>
    <s v="November"/>
    <s v="Wednesday"/>
    <d v="1899-12-30T19:04:25"/>
    <x v="39"/>
    <x v="1"/>
    <s v="November"/>
    <x v="370"/>
    <x v="33"/>
    <s v="Kamarhati"/>
    <s v="Anniversary"/>
    <n v="3606"/>
    <n v="10"/>
  </r>
  <r>
    <n v="373"/>
    <s v="C026"/>
    <n v="65"/>
    <s v="Error Gift"/>
    <s v="Raksha Bandhan"/>
    <n v="2"/>
    <n v="1895"/>
    <x v="175"/>
    <s v="June"/>
    <s v="Wednesday"/>
    <d v="1899-12-30T20:49:11"/>
    <x v="31"/>
    <x v="6"/>
    <s v="June"/>
    <x v="371"/>
    <x v="63"/>
    <s v="North Dumdum"/>
    <s v="All Occasions"/>
    <n v="3790"/>
    <n v="3"/>
  </r>
  <r>
    <n v="374"/>
    <s v="C087"/>
    <n v="4"/>
    <s v="Accusantium Set"/>
    <s v="Sweets"/>
    <n v="1"/>
    <n v="1199"/>
    <x v="1"/>
    <s v="November"/>
    <s v="Tuesday"/>
    <d v="1899-12-30T07:47:32"/>
    <x v="148"/>
    <x v="14"/>
    <s v="November"/>
    <x v="372"/>
    <x v="10"/>
    <s v="Guna"/>
    <s v="Diwali"/>
    <n v="1199"/>
    <n v="2"/>
  </r>
  <r>
    <n v="375"/>
    <s v="C091"/>
    <n v="46"/>
    <s v="Pariatur Set"/>
    <s v="Cake"/>
    <n v="1"/>
    <n v="758"/>
    <x v="4"/>
    <s v="February"/>
    <s v="Saturday"/>
    <d v="1899-12-30T04:16:25"/>
    <x v="14"/>
    <x v="2"/>
    <s v="February"/>
    <x v="373"/>
    <x v="21"/>
    <s v="Mysore"/>
    <s v="Anniversary"/>
    <n v="758"/>
    <n v="9"/>
  </r>
  <r>
    <n v="376"/>
    <s v="C097"/>
    <n v="10"/>
    <s v="Accusantium Gift"/>
    <s v="Cake"/>
    <n v="2"/>
    <n v="259"/>
    <x v="176"/>
    <s v="May"/>
    <s v="Sunday"/>
    <d v="1899-12-30T20:18:32"/>
    <x v="186"/>
    <x v="6"/>
    <s v="May"/>
    <x v="374"/>
    <x v="7"/>
    <s v="Bulandshahr"/>
    <s v="Birthday"/>
    <n v="518"/>
    <n v="5"/>
  </r>
  <r>
    <n v="377"/>
    <s v="C013"/>
    <n v="55"/>
    <s v="Dolores Gift"/>
    <s v="Soft Toys"/>
    <n v="4"/>
    <n v="1904"/>
    <x v="11"/>
    <s v="August"/>
    <s v="Saturday"/>
    <d v="1899-12-30T08:34:06"/>
    <x v="53"/>
    <x v="7"/>
    <s v="August"/>
    <x v="375"/>
    <x v="14"/>
    <s v="Ghaziabad"/>
    <s v="Raksha Bandhan"/>
    <n v="7616"/>
    <n v="5"/>
  </r>
  <r>
    <n v="378"/>
    <s v="C040"/>
    <n v="6"/>
    <s v="Quos Box"/>
    <s v="Cake"/>
    <n v="2"/>
    <n v="1112"/>
    <x v="125"/>
    <s v="March"/>
    <s v="Wednesday"/>
    <d v="1899-12-30T11:30:20"/>
    <x v="8"/>
    <x v="12"/>
    <s v="March"/>
    <x v="376"/>
    <x v="5"/>
    <s v="Hindupur"/>
    <s v="Holi"/>
    <n v="2224"/>
    <n v="7"/>
  </r>
  <r>
    <n v="379"/>
    <s v="C078"/>
    <n v="66"/>
    <s v="Quas Box"/>
    <s v="Colors"/>
    <n v="1"/>
    <n v="610"/>
    <x v="52"/>
    <s v="March"/>
    <s v="Friday"/>
    <d v="1899-12-30T23:31:41"/>
    <x v="44"/>
    <x v="0"/>
    <s v="March"/>
    <x v="377"/>
    <x v="4"/>
    <s v="Bhavnagar"/>
    <s v="Holi"/>
    <n v="610"/>
    <n v="3"/>
  </r>
  <r>
    <n v="380"/>
    <s v="C009"/>
    <n v="60"/>
    <s v="Ea Set"/>
    <s v="Sweets"/>
    <n v="4"/>
    <n v="827"/>
    <x v="7"/>
    <s v="November"/>
    <s v="Wednesday"/>
    <d v="1899-12-30T13:33:02"/>
    <x v="12"/>
    <x v="18"/>
    <s v="November"/>
    <x v="378"/>
    <x v="6"/>
    <s v="Bidhannagar"/>
    <s v="Diwali"/>
    <n v="3308"/>
    <n v="7"/>
  </r>
  <r>
    <n v="381"/>
    <s v="C013"/>
    <n v="25"/>
    <s v="Qui Gift"/>
    <s v="Plants"/>
    <n v="3"/>
    <n v="1202"/>
    <x v="177"/>
    <s v="January"/>
    <s v="Wednesday"/>
    <d v="1899-12-30T18:30:03"/>
    <x v="187"/>
    <x v="23"/>
    <s v="January"/>
    <x v="379"/>
    <x v="14"/>
    <s v="Tiruchirappalli"/>
    <s v="Anniversary"/>
    <n v="3606"/>
    <n v="3"/>
  </r>
  <r>
    <n v="382"/>
    <s v="C003"/>
    <n v="24"/>
    <s v="Ad Box"/>
    <s v="Mugs"/>
    <n v="1"/>
    <n v="535"/>
    <x v="178"/>
    <s v="June"/>
    <s v="Saturday"/>
    <d v="1899-12-30T10:02:19"/>
    <x v="188"/>
    <x v="13"/>
    <s v="June"/>
    <x v="380"/>
    <x v="3"/>
    <s v="Kamarhati"/>
    <s v="Birthday"/>
    <n v="535"/>
    <n v="10"/>
  </r>
  <r>
    <n v="383"/>
    <s v="C016"/>
    <n v="37"/>
    <s v="Officiis Pack"/>
    <s v="Colors"/>
    <n v="1"/>
    <n v="1428"/>
    <x v="76"/>
    <s v="November"/>
    <s v="Monday"/>
    <d v="1899-12-30T00:16:45"/>
    <x v="74"/>
    <x v="5"/>
    <s v="November"/>
    <x v="381"/>
    <x v="73"/>
    <s v="Panchkula"/>
    <s v="Diwali"/>
    <n v="1428"/>
    <n v="2"/>
  </r>
  <r>
    <n v="384"/>
    <s v="C004"/>
    <n v="25"/>
    <s v="Qui Gift"/>
    <s v="Plants"/>
    <n v="3"/>
    <n v="1202"/>
    <x v="91"/>
    <s v="May"/>
    <s v="Thursday"/>
    <d v="1899-12-30T16:57:57"/>
    <x v="189"/>
    <x v="8"/>
    <s v="May"/>
    <x v="382"/>
    <x v="75"/>
    <s v="Bhilai"/>
    <s v="Anniversary"/>
    <n v="3606"/>
    <n v="4"/>
  </r>
  <r>
    <n v="385"/>
    <s v="C002"/>
    <n v="50"/>
    <s v="Eligendi Set"/>
    <s v="Plants"/>
    <n v="4"/>
    <n v="422"/>
    <x v="52"/>
    <s v="March"/>
    <s v="Friday"/>
    <d v="1899-12-30T01:16:01"/>
    <x v="8"/>
    <x v="4"/>
    <s v="March"/>
    <x v="383"/>
    <x v="83"/>
    <s v="Alwar"/>
    <s v="Holi"/>
    <n v="1688"/>
    <n v="5"/>
  </r>
  <r>
    <n v="386"/>
    <s v="C091"/>
    <n v="5"/>
    <s v="Natus Gift"/>
    <s v="Colors"/>
    <n v="4"/>
    <n v="1444"/>
    <x v="179"/>
    <s v="June"/>
    <s v="Sunday"/>
    <d v="1899-12-30T12:47:45"/>
    <x v="190"/>
    <x v="19"/>
    <s v="June"/>
    <x v="384"/>
    <x v="21"/>
    <s v="Jalandhar"/>
    <s v="All Occasions"/>
    <n v="5776"/>
    <n v="10"/>
  </r>
  <r>
    <n v="387"/>
    <s v="C061"/>
    <n v="1"/>
    <s v="Magnam Set"/>
    <s v="Soft Toys"/>
    <n v="2"/>
    <n v="1935"/>
    <x v="180"/>
    <s v="April"/>
    <s v="Sunday"/>
    <d v="1899-12-30T05:38:25"/>
    <x v="191"/>
    <x v="16"/>
    <s v="May"/>
    <x v="385"/>
    <x v="11"/>
    <s v="Ahmedabad"/>
    <s v="All Occasions"/>
    <n v="3870"/>
    <n v="9"/>
  </r>
  <r>
    <n v="388"/>
    <s v="C066"/>
    <n v="36"/>
    <s v="Cum Gift"/>
    <s v="Plants"/>
    <n v="2"/>
    <n v="203"/>
    <x v="87"/>
    <s v="November"/>
    <s v="Friday"/>
    <d v="1899-12-30T00:15:10"/>
    <x v="39"/>
    <x v="5"/>
    <s v="November"/>
    <x v="386"/>
    <x v="30"/>
    <s v="Jalna"/>
    <s v="Birthday"/>
    <n v="406"/>
    <n v="8"/>
  </r>
  <r>
    <n v="389"/>
    <s v="C061"/>
    <n v="29"/>
    <s v="In Set"/>
    <s v="Colors"/>
    <n v="2"/>
    <n v="1252"/>
    <x v="21"/>
    <s v="March"/>
    <s v="Monday"/>
    <d v="1899-12-30T03:26:18"/>
    <x v="116"/>
    <x v="9"/>
    <s v="March"/>
    <x v="387"/>
    <x v="11"/>
    <s v="Mahbubnagar"/>
    <s v="Holi"/>
    <n v="2504"/>
    <n v="10"/>
  </r>
  <r>
    <n v="390"/>
    <s v="C043"/>
    <n v="26"/>
    <s v="Aliquam Box"/>
    <s v="Colors"/>
    <n v="4"/>
    <n v="289"/>
    <x v="52"/>
    <s v="March"/>
    <s v="Friday"/>
    <d v="1899-12-30T15:40:56"/>
    <x v="101"/>
    <x v="11"/>
    <s v="March"/>
    <x v="388"/>
    <x v="61"/>
    <s v="Akola"/>
    <s v="Holi"/>
    <n v="1156"/>
    <n v="7"/>
  </r>
  <r>
    <n v="391"/>
    <s v="C083"/>
    <n v="22"/>
    <s v="Exercitationem Pack"/>
    <s v="Soft Toys"/>
    <n v="4"/>
    <n v="1639"/>
    <x v="75"/>
    <s v="December"/>
    <s v="Friday"/>
    <d v="1899-12-30T13:44:06"/>
    <x v="192"/>
    <x v="18"/>
    <s v="January"/>
    <x v="389"/>
    <x v="62"/>
    <s v="Bareilly"/>
    <s v="All Occasions"/>
    <n v="6556"/>
    <n v="9"/>
  </r>
  <r>
    <n v="392"/>
    <s v="C085"/>
    <n v="4"/>
    <s v="Accusantium Set"/>
    <s v="Sweets"/>
    <n v="2"/>
    <n v="1199"/>
    <x v="159"/>
    <s v="November"/>
    <s v="Sunday"/>
    <d v="1899-12-30T03:18:55"/>
    <x v="78"/>
    <x v="9"/>
    <s v="November"/>
    <x v="390"/>
    <x v="71"/>
    <s v="Gangtok"/>
    <s v="Diwali"/>
    <n v="2398"/>
    <n v="1"/>
  </r>
  <r>
    <n v="393"/>
    <s v="C087"/>
    <n v="17"/>
    <s v="Delectus Gift"/>
    <s v="Soft Toys"/>
    <n v="5"/>
    <n v="1899"/>
    <x v="78"/>
    <s v="November"/>
    <s v="Tuesday"/>
    <d v="1899-12-30T11:01:18"/>
    <x v="120"/>
    <x v="12"/>
    <s v="November"/>
    <x v="391"/>
    <x v="10"/>
    <s v="Solapur"/>
    <s v="Anniversary"/>
    <n v="9495"/>
    <n v="8"/>
  </r>
  <r>
    <n v="394"/>
    <s v="C028"/>
    <n v="38"/>
    <s v="Mollitia Set"/>
    <s v="Cake"/>
    <n v="5"/>
    <n v="562"/>
    <x v="181"/>
    <s v="March"/>
    <s v="Thursday"/>
    <d v="1899-12-30T04:26:37"/>
    <x v="193"/>
    <x v="2"/>
    <s v="March"/>
    <x v="392"/>
    <x v="48"/>
    <s v="Dewas"/>
    <s v="Birthday"/>
    <n v="2810"/>
    <n v="8"/>
  </r>
  <r>
    <n v="395"/>
    <s v="C067"/>
    <n v="26"/>
    <s v="Aliquam Box"/>
    <s v="Colors"/>
    <n v="2"/>
    <n v="289"/>
    <x v="52"/>
    <s v="March"/>
    <s v="Friday"/>
    <d v="1899-12-30T23:14:54"/>
    <x v="44"/>
    <x v="0"/>
    <s v="March"/>
    <x v="393"/>
    <x v="29"/>
    <s v="Hosur"/>
    <s v="Holi"/>
    <n v="578"/>
    <n v="3"/>
  </r>
  <r>
    <n v="396"/>
    <s v="C068"/>
    <n v="10"/>
    <s v="Accusantium Gift"/>
    <s v="Cake"/>
    <n v="5"/>
    <n v="259"/>
    <x v="38"/>
    <s v="March"/>
    <s v="Wednesday"/>
    <d v="1899-12-30T15:30:58"/>
    <x v="116"/>
    <x v="11"/>
    <s v="March"/>
    <x v="394"/>
    <x v="34"/>
    <s v="Tiruvottiyur"/>
    <s v="Birthday"/>
    <n v="1295"/>
    <n v="1"/>
  </r>
  <r>
    <n v="397"/>
    <s v="C034"/>
    <n v="4"/>
    <s v="Accusantium Set"/>
    <s v="Sweets"/>
    <n v="5"/>
    <n v="1199"/>
    <x v="17"/>
    <s v="November"/>
    <s v="Thursday"/>
    <d v="1899-12-30T06:48:09"/>
    <x v="6"/>
    <x v="22"/>
    <s v="November"/>
    <x v="395"/>
    <x v="66"/>
    <s v="Junagadh"/>
    <s v="Diwali"/>
    <n v="5995"/>
    <n v="5"/>
  </r>
  <r>
    <n v="398"/>
    <s v="C080"/>
    <n v="54"/>
    <s v="Occaecati Gift"/>
    <s v="Cake"/>
    <n v="1"/>
    <n v="1236"/>
    <x v="18"/>
    <s v="May"/>
    <s v="Friday"/>
    <d v="1899-12-30T08:45:21"/>
    <x v="189"/>
    <x v="7"/>
    <s v="May"/>
    <x v="396"/>
    <x v="31"/>
    <s v="Dehradun"/>
    <s v="Anniversary"/>
    <n v="1236"/>
    <n v="10"/>
  </r>
  <r>
    <n v="399"/>
    <s v="C008"/>
    <n v="68"/>
    <s v="Quas Gift"/>
    <s v="Soft Toys"/>
    <n v="1"/>
    <n v="597"/>
    <x v="41"/>
    <s v="February"/>
    <s v="Wednesday"/>
    <d v="1899-12-30T06:21:47"/>
    <x v="28"/>
    <x v="22"/>
    <s v="February"/>
    <x v="397"/>
    <x v="51"/>
    <s v="Bareilly"/>
    <s v="Valentine's Day"/>
    <n v="597"/>
    <n v="7"/>
  </r>
  <r>
    <n v="400"/>
    <s v="C083"/>
    <n v="45"/>
    <s v="Iusto Set"/>
    <s v="Raksha Bandhan"/>
    <n v="3"/>
    <n v="722"/>
    <x v="111"/>
    <s v="May"/>
    <s v="Sunday"/>
    <d v="1899-12-30T14:05:01"/>
    <x v="189"/>
    <x v="15"/>
    <s v="May"/>
    <x v="398"/>
    <x v="62"/>
    <s v="Kumbakonam"/>
    <s v="Birthday"/>
    <n v="2166"/>
    <n v="8"/>
  </r>
  <r>
    <n v="401"/>
    <s v="C089"/>
    <n v="9"/>
    <s v="Aperiam Box"/>
    <s v="Colors"/>
    <n v="5"/>
    <n v="1605"/>
    <x v="39"/>
    <s v="August"/>
    <s v="Tuesday"/>
    <d v="1899-12-30T19:53:33"/>
    <x v="126"/>
    <x v="1"/>
    <s v="September"/>
    <x v="399"/>
    <x v="76"/>
    <s v="Bharatpur"/>
    <s v="Raksha Bandhan"/>
    <n v="8025"/>
    <n v="6"/>
  </r>
  <r>
    <n v="402"/>
    <s v="C037"/>
    <n v="29"/>
    <s v="In Set"/>
    <s v="Colors"/>
    <n v="1"/>
    <n v="1252"/>
    <x v="88"/>
    <s v="March"/>
    <s v="Sunday"/>
    <d v="1899-12-30T16:42:29"/>
    <x v="8"/>
    <x v="8"/>
    <s v="March"/>
    <x v="400"/>
    <x v="0"/>
    <s v="Thrissur"/>
    <s v="Holi"/>
    <n v="1252"/>
    <n v="3"/>
  </r>
  <r>
    <n v="403"/>
    <s v="C075"/>
    <n v="57"/>
    <s v="Voluptatem Box"/>
    <s v="Colors"/>
    <n v="1"/>
    <n v="1582"/>
    <x v="42"/>
    <s v="January"/>
    <s v="Friday"/>
    <d v="1899-12-30T11:45:28"/>
    <x v="194"/>
    <x v="12"/>
    <s v="January"/>
    <x v="401"/>
    <x v="60"/>
    <s v="Chapra"/>
    <s v="Birthday"/>
    <n v="1582"/>
    <n v="10"/>
  </r>
  <r>
    <n v="404"/>
    <s v="C055"/>
    <n v="21"/>
    <s v="Quia Gift"/>
    <s v="Colors"/>
    <n v="5"/>
    <n v="1561"/>
    <x v="22"/>
    <s v="August"/>
    <s v="Tuesday"/>
    <d v="1899-12-30T07:55:20"/>
    <x v="152"/>
    <x v="14"/>
    <s v="August"/>
    <x v="402"/>
    <x v="27"/>
    <s v="South Dumdum"/>
    <s v="Raksha Bandhan"/>
    <n v="7805"/>
    <n v="2"/>
  </r>
  <r>
    <n v="405"/>
    <s v="C033"/>
    <n v="49"/>
    <s v="Voluptate Pack"/>
    <s v="Colors"/>
    <n v="1"/>
    <n v="903"/>
    <x v="29"/>
    <s v="February"/>
    <s v="Friday"/>
    <d v="1899-12-30T23:05:14"/>
    <x v="3"/>
    <x v="0"/>
    <s v="February"/>
    <x v="403"/>
    <x v="45"/>
    <s v="Guwahati"/>
    <s v="Valentine's Day"/>
    <n v="903"/>
    <n v="8"/>
  </r>
  <r>
    <n v="406"/>
    <s v="C049"/>
    <n v="55"/>
    <s v="Dolores Gift"/>
    <s v="Soft Toys"/>
    <n v="4"/>
    <n v="1904"/>
    <x v="49"/>
    <s v="August"/>
    <s v="Friday"/>
    <d v="1899-12-30T15:59:17"/>
    <x v="66"/>
    <x v="11"/>
    <s v="September"/>
    <x v="404"/>
    <x v="27"/>
    <s v="Srikakulam"/>
    <s v="Raksha Bandhan"/>
    <n v="7616"/>
    <n v="8"/>
  </r>
  <r>
    <n v="407"/>
    <s v="C074"/>
    <n v="69"/>
    <s v="Id Box"/>
    <s v="Cake"/>
    <n v="3"/>
    <n v="998"/>
    <x v="8"/>
    <s v="February"/>
    <s v="Sunday"/>
    <d v="1899-12-30T08:52:11"/>
    <x v="37"/>
    <x v="7"/>
    <s v="February"/>
    <x v="405"/>
    <x v="43"/>
    <s v="Jamalpur"/>
    <s v="Holi"/>
    <n v="2994"/>
    <n v="2"/>
  </r>
  <r>
    <n v="408"/>
    <s v="C063"/>
    <n v="31"/>
    <s v="Nihil Box"/>
    <s v="Colors"/>
    <n v="2"/>
    <n v="1804"/>
    <x v="88"/>
    <s v="March"/>
    <s v="Sunday"/>
    <d v="1899-12-30T12:19:26"/>
    <x v="57"/>
    <x v="19"/>
    <s v="March"/>
    <x v="406"/>
    <x v="22"/>
    <s v="Haldia"/>
    <s v="All Occasions"/>
    <n v="3608"/>
    <n v="6"/>
  </r>
  <r>
    <n v="409"/>
    <s v="C049"/>
    <n v="50"/>
    <s v="Eligendi Set"/>
    <s v="Plants"/>
    <n v="4"/>
    <n v="422"/>
    <x v="8"/>
    <s v="February"/>
    <s v="Sunday"/>
    <d v="1899-12-30T17:43:59"/>
    <x v="37"/>
    <x v="21"/>
    <s v="February"/>
    <x v="407"/>
    <x v="27"/>
    <s v="Khammam"/>
    <s v="Holi"/>
    <n v="1688"/>
    <n v="2"/>
  </r>
  <r>
    <n v="410"/>
    <s v="C025"/>
    <n v="24"/>
    <s v="Ad Box"/>
    <s v="Mugs"/>
    <n v="1"/>
    <n v="535"/>
    <x v="53"/>
    <s v="January"/>
    <s v="Sunday"/>
    <d v="1899-12-30T20:20:49"/>
    <x v="195"/>
    <x v="6"/>
    <s v="January"/>
    <x v="408"/>
    <x v="84"/>
    <s v="Surendranagar Dudhrej"/>
    <s v="Birthday"/>
    <n v="535"/>
    <n v="1"/>
  </r>
  <r>
    <n v="411"/>
    <s v="C006"/>
    <n v="48"/>
    <s v="Maiores Gift"/>
    <s v="Colors"/>
    <n v="1"/>
    <n v="433"/>
    <x v="159"/>
    <s v="November"/>
    <s v="Sunday"/>
    <d v="1899-12-30T16:31:34"/>
    <x v="74"/>
    <x v="8"/>
    <s v="November"/>
    <x v="409"/>
    <x v="33"/>
    <s v="Nadiad"/>
    <s v="Diwali"/>
    <n v="433"/>
    <n v="3"/>
  </r>
  <r>
    <n v="412"/>
    <s v="C081"/>
    <n v="67"/>
    <s v="Maiores Box"/>
    <s v="Raksha Bandhan"/>
    <n v="2"/>
    <n v="1374"/>
    <x v="73"/>
    <s v="October"/>
    <s v="Saturday"/>
    <d v="1899-12-30T09:28:24"/>
    <x v="196"/>
    <x v="17"/>
    <s v="October"/>
    <x v="410"/>
    <x v="58"/>
    <s v="Maheshtala"/>
    <s v="Anniversary"/>
    <n v="2748"/>
    <n v="3"/>
  </r>
  <r>
    <n v="413"/>
    <s v="C050"/>
    <n v="59"/>
    <s v="Pariatur Box"/>
    <s v="Cake"/>
    <n v="5"/>
    <n v="811"/>
    <x v="22"/>
    <s v="August"/>
    <s v="Tuesday"/>
    <d v="1899-12-30T05:32:17"/>
    <x v="13"/>
    <x v="16"/>
    <s v="August"/>
    <x v="411"/>
    <x v="27"/>
    <s v="Amritsar"/>
    <s v="Raksha Bandhan"/>
    <n v="4055"/>
    <n v="8"/>
  </r>
  <r>
    <n v="414"/>
    <s v="C034"/>
    <n v="7"/>
    <s v="Quos Set"/>
    <s v="Soft Toys"/>
    <n v="4"/>
    <n v="409"/>
    <x v="25"/>
    <s v="February"/>
    <s v="Tuesday"/>
    <d v="1899-12-30T21:18:11"/>
    <x v="32"/>
    <x v="20"/>
    <s v="March"/>
    <x v="412"/>
    <x v="66"/>
    <s v="Raurkela Industrial Township"/>
    <s v="Holi"/>
    <n v="1636"/>
    <n v="7"/>
  </r>
  <r>
    <n v="415"/>
    <s v="C065"/>
    <n v="14"/>
    <s v="Deserunt Box"/>
    <s v="Colors"/>
    <n v="4"/>
    <n v="1915"/>
    <x v="32"/>
    <s v="June"/>
    <s v="Thursday"/>
    <d v="1899-12-30T20:08:30"/>
    <x v="31"/>
    <x v="6"/>
    <s v="June"/>
    <x v="413"/>
    <x v="10"/>
    <s v="Hajipur"/>
    <s v="Birthday"/>
    <n v="7660"/>
    <n v="2"/>
  </r>
  <r>
    <n v="416"/>
    <s v="C006"/>
    <n v="58"/>
    <s v="Sed Pack"/>
    <s v="Cake"/>
    <n v="5"/>
    <n v="1492"/>
    <x v="33"/>
    <s v="February"/>
    <s v="Sunday"/>
    <d v="1899-12-30T16:41:02"/>
    <x v="197"/>
    <x v="8"/>
    <s v="February"/>
    <x v="414"/>
    <x v="33"/>
    <s v="Saharanpur"/>
    <s v="Valentine's Day"/>
    <n v="7460"/>
    <n v="5"/>
  </r>
  <r>
    <n v="417"/>
    <s v="C004"/>
    <n v="62"/>
    <s v="Sed Set"/>
    <s v="Colors"/>
    <n v="4"/>
    <n v="1356"/>
    <x v="15"/>
    <s v="March"/>
    <s v="Tuesday"/>
    <d v="1899-12-30T22:40:40"/>
    <x v="57"/>
    <x v="3"/>
    <s v="March"/>
    <x v="415"/>
    <x v="75"/>
    <s v="Khammam"/>
    <s v="Holi"/>
    <n v="5424"/>
    <n v="4"/>
  </r>
  <r>
    <n v="418"/>
    <s v="C069"/>
    <n v="64"/>
    <s v="Nostrum Box"/>
    <s v="Soft Toys"/>
    <n v="3"/>
    <n v="1878"/>
    <x v="109"/>
    <s v="August"/>
    <s v="Thursday"/>
    <d v="1899-12-30T13:17:22"/>
    <x v="141"/>
    <x v="18"/>
    <s v="September"/>
    <x v="416"/>
    <x v="13"/>
    <s v="Karimnagar"/>
    <s v="Raksha Bandhan"/>
    <n v="5634"/>
    <n v="8"/>
  </r>
  <r>
    <n v="419"/>
    <s v="C065"/>
    <n v="47"/>
    <s v="Harum Pack"/>
    <s v="Colors"/>
    <n v="3"/>
    <n v="1638"/>
    <x v="88"/>
    <s v="March"/>
    <s v="Sunday"/>
    <d v="1899-12-30T17:18:51"/>
    <x v="57"/>
    <x v="21"/>
    <s v="March"/>
    <x v="417"/>
    <x v="10"/>
    <s v="Agartala"/>
    <s v="Holi"/>
    <n v="4914"/>
    <n v="6"/>
  </r>
  <r>
    <n v="420"/>
    <s v="C039"/>
    <n v="6"/>
    <s v="Quos Box"/>
    <s v="Cake"/>
    <n v="3"/>
    <n v="1112"/>
    <x v="64"/>
    <s v="February"/>
    <s v="Monday"/>
    <d v="1899-12-30T08:36:20"/>
    <x v="37"/>
    <x v="7"/>
    <s v="February"/>
    <x v="418"/>
    <x v="57"/>
    <s v="Kota"/>
    <s v="Holi"/>
    <n v="3336"/>
    <n v="1"/>
  </r>
  <r>
    <n v="421"/>
    <s v="C066"/>
    <n v="38"/>
    <s v="Mollitia Set"/>
    <s v="Cake"/>
    <n v="4"/>
    <n v="562"/>
    <x v="182"/>
    <s v="August"/>
    <s v="Tuesday"/>
    <d v="1899-12-30T20:16:30"/>
    <x v="198"/>
    <x v="6"/>
    <s v="August"/>
    <x v="419"/>
    <x v="30"/>
    <s v="Serampore"/>
    <s v="Birthday"/>
    <n v="2248"/>
    <n v="4"/>
  </r>
  <r>
    <n v="422"/>
    <s v="C044"/>
    <n v="53"/>
    <s v="Ipsam Set"/>
    <s v="Sweets"/>
    <n v="2"/>
    <n v="1672"/>
    <x v="5"/>
    <s v="August"/>
    <s v="Sunday"/>
    <d v="1899-12-30T03:03:58"/>
    <x v="7"/>
    <x v="9"/>
    <s v="August"/>
    <x v="420"/>
    <x v="8"/>
    <s v="Eluru"/>
    <s v="Raksha Bandhan"/>
    <n v="3344"/>
    <n v="9"/>
  </r>
  <r>
    <n v="423"/>
    <s v="C067"/>
    <n v="19"/>
    <s v="Iure Gift"/>
    <s v="Mugs"/>
    <n v="1"/>
    <n v="1234"/>
    <x v="4"/>
    <s v="February"/>
    <s v="Saturday"/>
    <d v="1899-12-30T16:46:58"/>
    <x v="197"/>
    <x v="8"/>
    <s v="February"/>
    <x v="421"/>
    <x v="29"/>
    <s v="Alappuzha"/>
    <s v="Valentine's Day"/>
    <n v="1234"/>
    <n v="6"/>
  </r>
  <r>
    <n v="424"/>
    <s v="C072"/>
    <n v="7"/>
    <s v="Quos Set"/>
    <s v="Soft Toys"/>
    <n v="4"/>
    <n v="409"/>
    <x v="125"/>
    <s v="March"/>
    <s v="Wednesday"/>
    <d v="1899-12-30T03:04:56"/>
    <x v="170"/>
    <x v="9"/>
    <s v="March"/>
    <x v="422"/>
    <x v="15"/>
    <s v="Kishanganj"/>
    <s v="Holi"/>
    <n v="1636"/>
    <n v="8"/>
  </r>
  <r>
    <n v="425"/>
    <s v="C071"/>
    <n v="56"/>
    <s v="Quia Gift"/>
    <s v="Raksha Bandhan"/>
    <n v="1"/>
    <n v="1272"/>
    <x v="183"/>
    <s v="September"/>
    <s v="Saturday"/>
    <d v="1899-12-30T00:02:06"/>
    <x v="106"/>
    <x v="5"/>
    <s v="October"/>
    <x v="423"/>
    <x v="26"/>
    <s v="North Dumdum"/>
    <s v="Anniversary"/>
    <n v="1272"/>
    <n v="9"/>
  </r>
  <r>
    <n v="426"/>
    <s v="C073"/>
    <n v="2"/>
    <s v="Voluptas Box"/>
    <s v="Plants"/>
    <n v="2"/>
    <n v="441"/>
    <x v="94"/>
    <s v="February"/>
    <s v="Monday"/>
    <d v="1899-12-30T22:59:54"/>
    <x v="197"/>
    <x v="3"/>
    <s v="February"/>
    <x v="424"/>
    <x v="82"/>
    <s v="Kharagpur"/>
    <s v="Valentine's Day"/>
    <n v="882"/>
    <n v="4"/>
  </r>
  <r>
    <n v="427"/>
    <s v="C042"/>
    <n v="48"/>
    <s v="Maiores Gift"/>
    <s v="Colors"/>
    <n v="5"/>
    <n v="433"/>
    <x v="69"/>
    <s v="November"/>
    <s v="Friday"/>
    <d v="1899-12-30T07:56:32"/>
    <x v="1"/>
    <x v="14"/>
    <s v="November"/>
    <x v="425"/>
    <x v="12"/>
    <s v="Gudivada"/>
    <s v="Diwali"/>
    <n v="2165"/>
    <n v="10"/>
  </r>
  <r>
    <n v="428"/>
    <s v="C038"/>
    <n v="10"/>
    <s v="Accusantium Gift"/>
    <s v="Cake"/>
    <n v="2"/>
    <n v="259"/>
    <x v="184"/>
    <s v="December"/>
    <s v="Wednesday"/>
    <d v="1899-12-30T03:32:38"/>
    <x v="199"/>
    <x v="9"/>
    <s v="December"/>
    <x v="426"/>
    <x v="53"/>
    <s v="Khora "/>
    <s v="Birthday"/>
    <n v="518"/>
    <n v="6"/>
  </r>
  <r>
    <n v="429"/>
    <s v="C007"/>
    <n v="9"/>
    <s v="Aperiam Box"/>
    <s v="Colors"/>
    <n v="5"/>
    <n v="1605"/>
    <x v="22"/>
    <s v="August"/>
    <s v="Tuesday"/>
    <d v="1899-12-30T22:46:57"/>
    <x v="53"/>
    <x v="3"/>
    <s v="August"/>
    <x v="427"/>
    <x v="70"/>
    <s v="Bahraich"/>
    <s v="Raksha Bandhan"/>
    <n v="8025"/>
    <n v="9"/>
  </r>
  <r>
    <n v="430"/>
    <s v="C045"/>
    <n v="27"/>
    <s v="Architecto Gift"/>
    <s v="Cake"/>
    <n v="2"/>
    <n v="548"/>
    <x v="100"/>
    <s v="August"/>
    <s v="Sunday"/>
    <d v="1899-12-30T07:20:30"/>
    <x v="53"/>
    <x v="14"/>
    <s v="August"/>
    <x v="428"/>
    <x v="39"/>
    <s v="Rourkela"/>
    <s v="Raksha Bandhan"/>
    <n v="1096"/>
    <n v="4"/>
  </r>
  <r>
    <n v="431"/>
    <s v="C057"/>
    <n v="1"/>
    <s v="Magnam Set"/>
    <s v="Soft Toys"/>
    <n v="4"/>
    <n v="1935"/>
    <x v="44"/>
    <s v="December"/>
    <s v="Wednesday"/>
    <d v="1899-12-30T19:13:43"/>
    <x v="200"/>
    <x v="1"/>
    <s v="December"/>
    <x v="429"/>
    <x v="47"/>
    <s v="Varanasi"/>
    <s v="All Occasions"/>
    <n v="7740"/>
    <n v="6"/>
  </r>
  <r>
    <n v="432"/>
    <s v="C092"/>
    <n v="12"/>
    <s v="Non Set"/>
    <s v="Plants"/>
    <n v="4"/>
    <n v="672"/>
    <x v="185"/>
    <s v="January"/>
    <s v="Thursday"/>
    <d v="1899-12-30T12:09:27"/>
    <x v="201"/>
    <x v="19"/>
    <s v="January"/>
    <x v="430"/>
    <x v="38"/>
    <s v="Ballia"/>
    <s v="Anniversary"/>
    <n v="2688"/>
    <n v="8"/>
  </r>
  <r>
    <n v="433"/>
    <s v="C068"/>
    <n v="7"/>
    <s v="Quos Set"/>
    <s v="Soft Toys"/>
    <n v="5"/>
    <n v="409"/>
    <x v="8"/>
    <s v="February"/>
    <s v="Sunday"/>
    <d v="1899-12-30T23:33:51"/>
    <x v="149"/>
    <x v="0"/>
    <s v="March"/>
    <x v="431"/>
    <x v="34"/>
    <s v="Amravati"/>
    <s v="Holi"/>
    <n v="2045"/>
    <n v="4"/>
  </r>
  <r>
    <n v="434"/>
    <s v="C020"/>
    <n v="51"/>
    <s v="Fugit Set"/>
    <s v="Soft Toys"/>
    <n v="4"/>
    <n v="1084"/>
    <x v="168"/>
    <s v="November"/>
    <s v="Tuesday"/>
    <d v="1899-12-30T07:23:06"/>
    <x v="168"/>
    <x v="14"/>
    <s v="November"/>
    <x v="432"/>
    <x v="36"/>
    <s v="Kirari Suleman Nagar"/>
    <s v="All Occasions"/>
    <n v="4336"/>
    <n v="1"/>
  </r>
  <r>
    <n v="435"/>
    <s v="C017"/>
    <n v="53"/>
    <s v="Ipsam Set"/>
    <s v="Sweets"/>
    <n v="4"/>
    <n v="1672"/>
    <x v="22"/>
    <s v="August"/>
    <s v="Tuesday"/>
    <d v="1899-12-30T17:27:30"/>
    <x v="42"/>
    <x v="21"/>
    <s v="August"/>
    <x v="433"/>
    <x v="46"/>
    <s v="Mira-Bhayandar"/>
    <s v="Raksha Bandhan"/>
    <n v="6688"/>
    <n v="5"/>
  </r>
  <r>
    <n v="436"/>
    <s v="C058"/>
    <n v="8"/>
    <s v="Qui Box"/>
    <s v="Sweets"/>
    <n v="1"/>
    <n v="252"/>
    <x v="186"/>
    <s v="January"/>
    <s v="Friday"/>
    <d v="1899-12-30T06:08:00"/>
    <x v="202"/>
    <x v="22"/>
    <s v="February"/>
    <x v="434"/>
    <x v="42"/>
    <s v="Salem"/>
    <s v="Anniversary"/>
    <n v="252"/>
    <n v="7"/>
  </r>
  <r>
    <n v="437"/>
    <s v="C010"/>
    <n v="55"/>
    <s v="Dolores Gift"/>
    <s v="Soft Toys"/>
    <n v="1"/>
    <n v="1904"/>
    <x v="109"/>
    <s v="August"/>
    <s v="Thursday"/>
    <d v="1899-12-30T06:30:47"/>
    <x v="42"/>
    <x v="22"/>
    <s v="August"/>
    <x v="435"/>
    <x v="50"/>
    <s v="Uluberia"/>
    <s v="Raksha Bandhan"/>
    <n v="1904"/>
    <n v="3"/>
  </r>
  <r>
    <n v="438"/>
    <s v="C037"/>
    <n v="34"/>
    <s v="Placeat Pack"/>
    <s v="Soft Toys"/>
    <n v="2"/>
    <n v="1335"/>
    <x v="11"/>
    <s v="August"/>
    <s v="Saturday"/>
    <d v="1899-12-30T09:27:17"/>
    <x v="42"/>
    <x v="17"/>
    <s v="August"/>
    <x v="436"/>
    <x v="0"/>
    <s v="Tadepalligudem"/>
    <s v="Raksha Bandhan"/>
    <n v="2670"/>
    <n v="1"/>
  </r>
  <r>
    <n v="439"/>
    <s v="C037"/>
    <n v="12"/>
    <s v="Non Set"/>
    <s v="Plants"/>
    <n v="3"/>
    <n v="672"/>
    <x v="44"/>
    <s v="December"/>
    <s v="Wednesday"/>
    <d v="1899-12-30T08:56:11"/>
    <x v="203"/>
    <x v="7"/>
    <s v="December"/>
    <x v="437"/>
    <x v="0"/>
    <s v="Hyderabad"/>
    <s v="Anniversary"/>
    <n v="2016"/>
    <n v="9"/>
  </r>
  <r>
    <n v="440"/>
    <s v="C018"/>
    <n v="13"/>
    <s v="Et Set"/>
    <s v="Mugs"/>
    <n v="4"/>
    <n v="1141"/>
    <x v="15"/>
    <s v="March"/>
    <s v="Tuesday"/>
    <d v="1899-12-30T09:33:31"/>
    <x v="170"/>
    <x v="17"/>
    <s v="March"/>
    <x v="438"/>
    <x v="20"/>
    <s v="Gudivada"/>
    <s v="Holi"/>
    <n v="4564"/>
    <n v="2"/>
  </r>
  <r>
    <n v="441"/>
    <s v="C052"/>
    <n v="26"/>
    <s v="Aliquam Box"/>
    <s v="Colors"/>
    <n v="2"/>
    <n v="289"/>
    <x v="8"/>
    <s v="February"/>
    <s v="Sunday"/>
    <d v="1899-12-30T11:23:56"/>
    <x v="44"/>
    <x v="12"/>
    <s v="March"/>
    <x v="439"/>
    <x v="9"/>
    <s v="Kurnool"/>
    <s v="Holi"/>
    <n v="578"/>
    <n v="8"/>
  </r>
  <r>
    <n v="442"/>
    <s v="C023"/>
    <n v="3"/>
    <s v="Eius Gift"/>
    <s v="Colors"/>
    <n v="3"/>
    <n v="1534"/>
    <x v="41"/>
    <s v="February"/>
    <s v="Wednesday"/>
    <d v="1899-12-30T18:03:20"/>
    <x v="28"/>
    <x v="23"/>
    <s v="February"/>
    <x v="440"/>
    <x v="18"/>
    <s v="Khandwa"/>
    <s v="Valentine's Day"/>
    <n v="4602"/>
    <n v="7"/>
  </r>
  <r>
    <n v="443"/>
    <s v="C046"/>
    <n v="49"/>
    <s v="Voluptate Pack"/>
    <s v="Colors"/>
    <n v="3"/>
    <n v="903"/>
    <x v="56"/>
    <s v="February"/>
    <s v="Saturday"/>
    <d v="1899-12-30T22:22:19"/>
    <x v="43"/>
    <x v="3"/>
    <s v="February"/>
    <x v="441"/>
    <x v="32"/>
    <s v="Secunderabad"/>
    <s v="Valentine's Day"/>
    <n v="2709"/>
    <n v="9"/>
  </r>
  <r>
    <n v="444"/>
    <s v="C021"/>
    <n v="60"/>
    <s v="Ea Set"/>
    <s v="Sweets"/>
    <n v="3"/>
    <n v="827"/>
    <x v="31"/>
    <s v="November"/>
    <s v="Thursday"/>
    <d v="1899-12-30T01:01:13"/>
    <x v="148"/>
    <x v="4"/>
    <s v="November"/>
    <x v="442"/>
    <x v="85"/>
    <s v="Jalna"/>
    <s v="Diwali"/>
    <n v="2481"/>
    <n v="7"/>
  </r>
  <r>
    <n v="445"/>
    <s v="C047"/>
    <n v="30"/>
    <s v="Recusandae Pack"/>
    <s v="Colors"/>
    <n v="5"/>
    <n v="751"/>
    <x v="187"/>
    <s v="June"/>
    <s v="Wednesday"/>
    <d v="1899-12-30T20:08:42"/>
    <x v="49"/>
    <x v="6"/>
    <s v="June"/>
    <x v="443"/>
    <x v="25"/>
    <s v="Karnal"/>
    <s v="Anniversary"/>
    <n v="3755"/>
    <n v="1"/>
  </r>
  <r>
    <n v="446"/>
    <s v="C079"/>
    <n v="33"/>
    <s v="Earum Set"/>
    <s v="Colors"/>
    <n v="5"/>
    <n v="314"/>
    <x v="33"/>
    <s v="February"/>
    <s v="Sunday"/>
    <d v="1899-12-30T02:54:04"/>
    <x v="28"/>
    <x v="10"/>
    <s v="February"/>
    <x v="444"/>
    <x v="79"/>
    <s v="Bokaro"/>
    <s v="Valentine's Day"/>
    <n v="1570"/>
    <n v="3"/>
  </r>
  <r>
    <n v="447"/>
    <s v="C032"/>
    <n v="47"/>
    <s v="Harum Pack"/>
    <s v="Colors"/>
    <n v="4"/>
    <n v="1638"/>
    <x v="64"/>
    <s v="February"/>
    <s v="Monday"/>
    <d v="1899-12-30T02:45:34"/>
    <x v="11"/>
    <x v="10"/>
    <s v="March"/>
    <x v="445"/>
    <x v="54"/>
    <s v="Bhilwara"/>
    <s v="Holi"/>
    <n v="6552"/>
    <n v="5"/>
  </r>
  <r>
    <n v="448"/>
    <s v="C086"/>
    <n v="16"/>
    <s v="Ut Pack"/>
    <s v="Sweets"/>
    <n v="1"/>
    <n v="1721"/>
    <x v="9"/>
    <s v="March"/>
    <s v="Thursday"/>
    <d v="1899-12-30T02:42:54"/>
    <x v="9"/>
    <x v="10"/>
    <s v="March"/>
    <x v="446"/>
    <x v="80"/>
    <s v="Bulandshahr"/>
    <s v="Holi"/>
    <n v="1721"/>
    <n v="1"/>
  </r>
  <r>
    <n v="449"/>
    <s v="C045"/>
    <n v="49"/>
    <s v="Voluptate Pack"/>
    <s v="Colors"/>
    <n v="4"/>
    <n v="903"/>
    <x v="94"/>
    <s v="February"/>
    <s v="Monday"/>
    <d v="1899-12-30T03:18:26"/>
    <x v="33"/>
    <x v="9"/>
    <s v="February"/>
    <x v="447"/>
    <x v="39"/>
    <s v="Ichalkaranji"/>
    <s v="Valentine's Day"/>
    <n v="3612"/>
    <n v="3"/>
  </r>
  <r>
    <n v="450"/>
    <s v="C096"/>
    <n v="39"/>
    <s v="Voluptate Set"/>
    <s v="Mugs"/>
    <n v="5"/>
    <n v="387"/>
    <x v="188"/>
    <s v="December"/>
    <s v="Saturday"/>
    <d v="1899-12-30T07:58:05"/>
    <x v="199"/>
    <x v="14"/>
    <s v="December"/>
    <x v="448"/>
    <x v="28"/>
    <s v="Sri Ganganagar"/>
    <s v="All Occasions"/>
    <n v="1935"/>
    <n v="10"/>
  </r>
  <r>
    <n v="451"/>
    <s v="C079"/>
    <n v="33"/>
    <s v="Earum Set"/>
    <s v="Colors"/>
    <n v="5"/>
    <n v="314"/>
    <x v="106"/>
    <s v="February"/>
    <s v="Tuesday"/>
    <d v="1899-12-30T00:16:52"/>
    <x v="43"/>
    <x v="5"/>
    <s v="February"/>
    <x v="449"/>
    <x v="79"/>
    <s v="Ujjain"/>
    <s v="Valentine's Day"/>
    <n v="1570"/>
    <n v="6"/>
  </r>
  <r>
    <n v="452"/>
    <s v="C045"/>
    <n v="70"/>
    <s v="Error Gift"/>
    <s v="Sweets"/>
    <n v="3"/>
    <n v="866"/>
    <x v="174"/>
    <s v="July"/>
    <s v="Sunday"/>
    <d v="1899-12-30T19:57:29"/>
    <x v="204"/>
    <x v="1"/>
    <s v="July"/>
    <x v="450"/>
    <x v="39"/>
    <s v="Mahbubnagar"/>
    <s v="Birthday"/>
    <n v="2598"/>
    <n v="8"/>
  </r>
  <r>
    <n v="453"/>
    <s v="C032"/>
    <n v="27"/>
    <s v="Architecto Gift"/>
    <s v="Cake"/>
    <n v="2"/>
    <n v="548"/>
    <x v="128"/>
    <s v="August"/>
    <s v="Monday"/>
    <d v="1899-12-30T10:11:39"/>
    <x v="53"/>
    <x v="13"/>
    <s v="August"/>
    <x v="451"/>
    <x v="54"/>
    <s v="Varanasi"/>
    <s v="Raksha Bandhan"/>
    <n v="1096"/>
    <n v="10"/>
  </r>
  <r>
    <n v="454"/>
    <s v="C088"/>
    <n v="3"/>
    <s v="Eius Gift"/>
    <s v="Colors"/>
    <n v="2"/>
    <n v="1534"/>
    <x v="106"/>
    <s v="February"/>
    <s v="Tuesday"/>
    <d v="1899-12-30T23:26:49"/>
    <x v="90"/>
    <x v="0"/>
    <s v="February"/>
    <x v="452"/>
    <x v="23"/>
    <s v="Suryapet"/>
    <s v="Valentine's Day"/>
    <n v="3068"/>
    <n v="2"/>
  </r>
  <r>
    <n v="455"/>
    <s v="C072"/>
    <n v="1"/>
    <s v="Magnam Set"/>
    <s v="Soft Toys"/>
    <n v="2"/>
    <n v="1935"/>
    <x v="189"/>
    <s v="October"/>
    <s v="Friday"/>
    <d v="1899-12-30T22:33:50"/>
    <x v="167"/>
    <x v="3"/>
    <s v="October"/>
    <x v="453"/>
    <x v="15"/>
    <s v="Eluru"/>
    <s v="All Occasions"/>
    <n v="3870"/>
    <n v="5"/>
  </r>
  <r>
    <n v="456"/>
    <s v="C071"/>
    <n v="33"/>
    <s v="Earum Set"/>
    <s v="Colors"/>
    <n v="2"/>
    <n v="314"/>
    <x v="33"/>
    <s v="February"/>
    <s v="Sunday"/>
    <d v="1899-12-30T22:51:39"/>
    <x v="28"/>
    <x v="3"/>
    <s v="February"/>
    <x v="454"/>
    <x v="26"/>
    <s v="Nangloi Jat"/>
    <s v="Valentine's Day"/>
    <n v="628"/>
    <n v="3"/>
  </r>
  <r>
    <n v="457"/>
    <s v="C036"/>
    <n v="22"/>
    <s v="Exercitationem Pack"/>
    <s v="Soft Toys"/>
    <n v="5"/>
    <n v="1639"/>
    <x v="190"/>
    <s v="May"/>
    <s v="Saturday"/>
    <d v="1899-12-30T13:55:39"/>
    <x v="205"/>
    <x v="18"/>
    <s v="May"/>
    <x v="455"/>
    <x v="38"/>
    <s v="Mirzapur"/>
    <s v="All Occasions"/>
    <n v="8195"/>
    <n v="2"/>
  </r>
  <r>
    <n v="458"/>
    <s v="C054"/>
    <n v="32"/>
    <s v="Fuga Set"/>
    <s v="Soft Toys"/>
    <n v="2"/>
    <n v="1792"/>
    <x v="191"/>
    <s v="July"/>
    <s v="Wednesday"/>
    <d v="1899-12-30T17:21:30"/>
    <x v="20"/>
    <x v="21"/>
    <s v="July"/>
    <x v="456"/>
    <x v="18"/>
    <s v="Ramgarh"/>
    <s v="Birthday"/>
    <n v="3584"/>
    <n v="5"/>
  </r>
  <r>
    <n v="459"/>
    <s v="C093"/>
    <n v="12"/>
    <s v="Non Set"/>
    <s v="Plants"/>
    <n v="2"/>
    <n v="672"/>
    <x v="192"/>
    <s v="March"/>
    <s v="Wednesday"/>
    <d v="1899-12-30T07:24:55"/>
    <x v="144"/>
    <x v="14"/>
    <s v="March"/>
    <x v="457"/>
    <x v="74"/>
    <s v="Ranchi"/>
    <s v="Anniversary"/>
    <n v="1344"/>
    <n v="1"/>
  </r>
  <r>
    <n v="460"/>
    <s v="C007"/>
    <n v="29"/>
    <s v="In Set"/>
    <s v="Colors"/>
    <n v="2"/>
    <n v="1252"/>
    <x v="26"/>
    <s v="March"/>
    <s v="Saturday"/>
    <d v="1899-12-30T07:58:33"/>
    <x v="44"/>
    <x v="14"/>
    <s v="March"/>
    <x v="458"/>
    <x v="70"/>
    <s v="Kolhapur"/>
    <s v="Holi"/>
    <n v="2504"/>
    <n v="2"/>
  </r>
  <r>
    <n v="461"/>
    <s v="C083"/>
    <n v="12"/>
    <s v="Non Set"/>
    <s v="Plants"/>
    <n v="4"/>
    <n v="672"/>
    <x v="122"/>
    <s v="June"/>
    <s v="Thursday"/>
    <d v="1899-12-30T08:12:37"/>
    <x v="206"/>
    <x v="7"/>
    <s v="June"/>
    <x v="459"/>
    <x v="62"/>
    <s v="Srinagar"/>
    <s v="Anniversary"/>
    <n v="2688"/>
    <n v="5"/>
  </r>
  <r>
    <n v="462"/>
    <s v="C069"/>
    <n v="60"/>
    <s v="Ea Set"/>
    <s v="Sweets"/>
    <n v="5"/>
    <n v="827"/>
    <x v="13"/>
    <s v="November"/>
    <s v="Saturday"/>
    <d v="1899-12-30T18:10:06"/>
    <x v="1"/>
    <x v="23"/>
    <s v="November"/>
    <x v="460"/>
    <x v="13"/>
    <s v="Kirari Suleman Nagar"/>
    <s v="Diwali"/>
    <n v="4135"/>
    <n v="9"/>
  </r>
  <r>
    <n v="463"/>
    <s v="C078"/>
    <n v="18"/>
    <s v="Nemo Set"/>
    <s v="Plants"/>
    <n v="3"/>
    <n v="781"/>
    <x v="163"/>
    <s v="September"/>
    <s v="Sunday"/>
    <d v="1899-12-30T22:23:47"/>
    <x v="207"/>
    <x v="3"/>
    <s v="September"/>
    <x v="461"/>
    <x v="4"/>
    <s v="Hazaribagh"/>
    <s v="Birthday"/>
    <n v="2343"/>
    <n v="6"/>
  </r>
  <r>
    <n v="464"/>
    <s v="C014"/>
    <n v="18"/>
    <s v="Nemo Set"/>
    <s v="Plants"/>
    <n v="3"/>
    <n v="781"/>
    <x v="193"/>
    <s v="July"/>
    <s v="Wednesday"/>
    <d v="1899-12-30T03:04:25"/>
    <x v="114"/>
    <x v="9"/>
    <s v="July"/>
    <x v="462"/>
    <x v="37"/>
    <s v="Buxar"/>
    <s v="Birthday"/>
    <n v="2343"/>
    <n v="3"/>
  </r>
  <r>
    <n v="465"/>
    <s v="C029"/>
    <n v="55"/>
    <s v="Dolores Gift"/>
    <s v="Soft Toys"/>
    <n v="5"/>
    <n v="1904"/>
    <x v="61"/>
    <s v="August"/>
    <s v="Wednesday"/>
    <d v="1899-12-30T23:46:12"/>
    <x v="4"/>
    <x v="0"/>
    <s v="August"/>
    <x v="463"/>
    <x v="2"/>
    <s v="Madurai"/>
    <s v="Raksha Bandhan"/>
    <n v="9520"/>
    <n v="3"/>
  </r>
  <r>
    <n v="466"/>
    <s v="C053"/>
    <n v="23"/>
    <s v="Dignissimos Pack"/>
    <s v="Sweets"/>
    <n v="1"/>
    <n v="1098"/>
    <x v="82"/>
    <s v="October"/>
    <s v="Tuesday"/>
    <d v="1899-12-30T13:58:22"/>
    <x v="208"/>
    <x v="18"/>
    <s v="October"/>
    <x v="464"/>
    <x v="52"/>
    <s v="Bally"/>
    <s v="Anniversary"/>
    <n v="1098"/>
    <n v="8"/>
  </r>
  <r>
    <n v="467"/>
    <s v="C056"/>
    <n v="53"/>
    <s v="Ipsam Set"/>
    <s v="Sweets"/>
    <n v="1"/>
    <n v="1672"/>
    <x v="110"/>
    <s v="August"/>
    <s v="Monday"/>
    <d v="1899-12-30T14:18:44"/>
    <x v="66"/>
    <x v="15"/>
    <s v="September"/>
    <x v="465"/>
    <x v="2"/>
    <s v="Gandhidham"/>
    <s v="Raksha Bandhan"/>
    <n v="1672"/>
    <n v="5"/>
  </r>
  <r>
    <n v="468"/>
    <s v="C007"/>
    <n v="5"/>
    <s v="Natus Gift"/>
    <s v="Colors"/>
    <n v="2"/>
    <n v="1444"/>
    <x v="19"/>
    <s v="July"/>
    <s v="Tuesday"/>
    <d v="1899-12-30T07:57:26"/>
    <x v="209"/>
    <x v="14"/>
    <s v="August"/>
    <x v="466"/>
    <x v="70"/>
    <s v="Rajahmundry"/>
    <s v="All Occasions"/>
    <n v="2888"/>
    <n v="10"/>
  </r>
  <r>
    <n v="469"/>
    <s v="C051"/>
    <n v="42"/>
    <s v="Expedita Gift"/>
    <s v="Sweets"/>
    <n v="4"/>
    <n v="1744"/>
    <x v="194"/>
    <s v="December"/>
    <s v="Friday"/>
    <d v="1899-12-30T07:06:00"/>
    <x v="200"/>
    <x v="14"/>
    <s v="December"/>
    <x v="467"/>
    <x v="65"/>
    <s v="Kamarhati"/>
    <s v="All Occasions"/>
    <n v="6976"/>
    <n v="4"/>
  </r>
  <r>
    <n v="470"/>
    <s v="C031"/>
    <n v="47"/>
    <s v="Harum Pack"/>
    <s v="Colors"/>
    <n v="5"/>
    <n v="1638"/>
    <x v="25"/>
    <s v="February"/>
    <s v="Tuesday"/>
    <d v="1899-12-30T17:34:04"/>
    <x v="44"/>
    <x v="21"/>
    <s v="March"/>
    <x v="468"/>
    <x v="35"/>
    <s v="Bhavnagar"/>
    <s v="Holi"/>
    <n v="8190"/>
    <n v="6"/>
  </r>
  <r>
    <n v="471"/>
    <s v="C092"/>
    <n v="23"/>
    <s v="Dignissimos Pack"/>
    <s v="Sweets"/>
    <n v="2"/>
    <n v="1098"/>
    <x v="195"/>
    <s v="January"/>
    <s v="Tuesday"/>
    <d v="1899-12-30T12:09:01"/>
    <x v="145"/>
    <x v="19"/>
    <s v="February"/>
    <x v="469"/>
    <x v="38"/>
    <s v="Tirunelveli"/>
    <s v="Anniversary"/>
    <n v="2196"/>
    <n v="10"/>
  </r>
  <r>
    <n v="472"/>
    <s v="C015"/>
    <n v="56"/>
    <s v="Quia Gift"/>
    <s v="Raksha Bandhan"/>
    <n v="1"/>
    <n v="1272"/>
    <x v="170"/>
    <s v="December"/>
    <s v="Sunday"/>
    <d v="1899-12-30T07:32:38"/>
    <x v="210"/>
    <x v="14"/>
    <s v="December"/>
    <x v="470"/>
    <x v="44"/>
    <s v="Khammam"/>
    <s v="Anniversary"/>
    <n v="1272"/>
    <n v="6"/>
  </r>
  <r>
    <n v="473"/>
    <s v="C061"/>
    <n v="22"/>
    <s v="Exercitationem Pack"/>
    <s v="Soft Toys"/>
    <n v="3"/>
    <n v="1639"/>
    <x v="196"/>
    <s v="March"/>
    <s v="Tuesday"/>
    <d v="1899-12-30T08:13:57"/>
    <x v="211"/>
    <x v="7"/>
    <s v="April"/>
    <x v="471"/>
    <x v="11"/>
    <s v="Giridih"/>
    <s v="All Occasions"/>
    <n v="4917"/>
    <n v="7"/>
  </r>
  <r>
    <n v="474"/>
    <s v="C051"/>
    <n v="1"/>
    <s v="Magnam Set"/>
    <s v="Soft Toys"/>
    <n v="4"/>
    <n v="1935"/>
    <x v="106"/>
    <s v="February"/>
    <s v="Tuesday"/>
    <d v="1899-12-30T06:31:59"/>
    <x v="16"/>
    <x v="22"/>
    <s v="February"/>
    <x v="472"/>
    <x v="65"/>
    <s v="Dibrugarh"/>
    <s v="All Occasions"/>
    <n v="7740"/>
    <n v="7"/>
  </r>
  <r>
    <n v="475"/>
    <s v="C099"/>
    <n v="46"/>
    <s v="Pariatur Set"/>
    <s v="Cake"/>
    <n v="2"/>
    <n v="758"/>
    <x v="197"/>
    <s v="December"/>
    <s v="Monday"/>
    <d v="1899-12-30T07:21:23"/>
    <x v="212"/>
    <x v="14"/>
    <s v="December"/>
    <x v="473"/>
    <x v="9"/>
    <s v="Jalgaon"/>
    <s v="Anniversary"/>
    <n v="1516"/>
    <n v="4"/>
  </r>
  <r>
    <n v="476"/>
    <s v="C067"/>
    <n v="40"/>
    <s v="Provident Pack"/>
    <s v="Sweets"/>
    <n v="2"/>
    <n v="1923"/>
    <x v="112"/>
    <s v="September"/>
    <s v="Monday"/>
    <d v="1899-12-30T01:17:18"/>
    <x v="213"/>
    <x v="4"/>
    <s v="September"/>
    <x v="474"/>
    <x v="29"/>
    <s v="Moradabad"/>
    <s v="Anniversary"/>
    <n v="3846"/>
    <n v="2"/>
  </r>
  <r>
    <n v="477"/>
    <s v="C099"/>
    <n v="33"/>
    <s v="Earum Set"/>
    <s v="Colors"/>
    <n v="4"/>
    <n v="314"/>
    <x v="33"/>
    <s v="February"/>
    <s v="Sunday"/>
    <d v="1899-12-30T17:18:09"/>
    <x v="16"/>
    <x v="21"/>
    <s v="February"/>
    <x v="475"/>
    <x v="9"/>
    <s v="Gangtok"/>
    <s v="Valentine's Day"/>
    <n v="1256"/>
    <n v="2"/>
  </r>
  <r>
    <n v="478"/>
    <s v="C003"/>
    <n v="11"/>
    <s v="Maxime Set"/>
    <s v="Mugs"/>
    <n v="5"/>
    <n v="1096"/>
    <x v="41"/>
    <s v="February"/>
    <s v="Wednesday"/>
    <d v="1899-12-30T01:11:21"/>
    <x v="90"/>
    <x v="4"/>
    <s v="February"/>
    <x v="476"/>
    <x v="3"/>
    <s v="Ambarnath"/>
    <s v="Valentine's Day"/>
    <n v="5480"/>
    <n v="1"/>
  </r>
  <r>
    <n v="479"/>
    <s v="C071"/>
    <n v="11"/>
    <s v="Maxime Set"/>
    <s v="Mugs"/>
    <n v="1"/>
    <n v="1096"/>
    <x v="106"/>
    <s v="February"/>
    <s v="Tuesday"/>
    <d v="1899-12-30T17:48:21"/>
    <x v="68"/>
    <x v="21"/>
    <s v="February"/>
    <x v="477"/>
    <x v="26"/>
    <s v="Ghaziabad"/>
    <s v="Valentine's Day"/>
    <n v="1096"/>
    <n v="4"/>
  </r>
  <r>
    <n v="480"/>
    <s v="C059"/>
    <n v="62"/>
    <s v="Sed Set"/>
    <s v="Colors"/>
    <n v="4"/>
    <n v="1356"/>
    <x v="21"/>
    <s v="March"/>
    <s v="Monday"/>
    <d v="1899-12-30T04:29:31"/>
    <x v="116"/>
    <x v="2"/>
    <s v="March"/>
    <x v="478"/>
    <x v="34"/>
    <s v="Sagar"/>
    <s v="Holi"/>
    <n v="5424"/>
    <n v="10"/>
  </r>
  <r>
    <n v="481"/>
    <s v="C044"/>
    <n v="12"/>
    <s v="Non Set"/>
    <s v="Plants"/>
    <n v="5"/>
    <n v="672"/>
    <x v="128"/>
    <s v="August"/>
    <s v="Monday"/>
    <d v="1899-12-30T00:00:53"/>
    <x v="175"/>
    <x v="5"/>
    <s v="August"/>
    <x v="479"/>
    <x v="8"/>
    <s v="Bhiwandi"/>
    <s v="Anniversary"/>
    <n v="3360"/>
    <n v="4"/>
  </r>
  <r>
    <n v="482"/>
    <s v="C050"/>
    <n v="23"/>
    <s v="Dignissimos Pack"/>
    <s v="Sweets"/>
    <n v="3"/>
    <n v="1098"/>
    <x v="198"/>
    <s v="June"/>
    <s v="Monday"/>
    <d v="1899-12-30T20:33:38"/>
    <x v="190"/>
    <x v="6"/>
    <s v="June"/>
    <x v="480"/>
    <x v="27"/>
    <s v="Ludhiana"/>
    <s v="Anniversary"/>
    <n v="3294"/>
    <n v="9"/>
  </r>
  <r>
    <n v="483"/>
    <s v="C007"/>
    <n v="59"/>
    <s v="Pariatur Box"/>
    <s v="Cake"/>
    <n v="2"/>
    <n v="811"/>
    <x v="110"/>
    <s v="August"/>
    <s v="Monday"/>
    <d v="1899-12-30T06:25:03"/>
    <x v="53"/>
    <x v="22"/>
    <s v="August"/>
    <x v="481"/>
    <x v="70"/>
    <s v="Pallavaram"/>
    <s v="Raksha Bandhan"/>
    <n v="1622"/>
    <n v="3"/>
  </r>
  <r>
    <n v="484"/>
    <s v="C034"/>
    <n v="1"/>
    <s v="Magnam Set"/>
    <s v="Soft Toys"/>
    <n v="5"/>
    <n v="1935"/>
    <x v="199"/>
    <s v="May"/>
    <s v="Friday"/>
    <d v="1899-12-30T19:03:55"/>
    <x v="72"/>
    <x v="1"/>
    <s v="June"/>
    <x v="482"/>
    <x v="66"/>
    <s v="Morena"/>
    <s v="All Occasions"/>
    <n v="9675"/>
    <n v="8"/>
  </r>
  <r>
    <n v="485"/>
    <s v="C029"/>
    <n v="43"/>
    <s v="Quisquam Pack"/>
    <s v="Raksha Bandhan"/>
    <n v="4"/>
    <n v="750"/>
    <x v="76"/>
    <s v="November"/>
    <s v="Monday"/>
    <d v="1899-12-30T19:20:24"/>
    <x v="6"/>
    <x v="1"/>
    <s v="November"/>
    <x v="483"/>
    <x v="2"/>
    <s v="Bhubaneswar"/>
    <s v="Diwali"/>
    <n v="3000"/>
    <n v="8"/>
  </r>
  <r>
    <n v="486"/>
    <s v="C030"/>
    <n v="24"/>
    <s v="Ad Box"/>
    <s v="Mugs"/>
    <n v="1"/>
    <n v="535"/>
    <x v="19"/>
    <s v="July"/>
    <s v="Tuesday"/>
    <d v="1899-12-30T14:34:30"/>
    <x v="214"/>
    <x v="15"/>
    <s v="July"/>
    <x v="484"/>
    <x v="64"/>
    <s v="Ambattur"/>
    <s v="Birthday"/>
    <n v="535"/>
    <n v="5"/>
  </r>
  <r>
    <n v="487"/>
    <s v="C053"/>
    <n v="51"/>
    <s v="Fugit Set"/>
    <s v="Soft Toys"/>
    <n v="1"/>
    <n v="1084"/>
    <x v="185"/>
    <s v="January"/>
    <s v="Thursday"/>
    <d v="1899-12-30T16:46:57"/>
    <x v="215"/>
    <x v="8"/>
    <s v="January"/>
    <x v="485"/>
    <x v="52"/>
    <s v="Sasaram"/>
    <s v="All Occasions"/>
    <n v="1084"/>
    <n v="4"/>
  </r>
  <r>
    <n v="488"/>
    <s v="C025"/>
    <n v="21"/>
    <s v="Quia Gift"/>
    <s v="Colors"/>
    <n v="4"/>
    <n v="1561"/>
    <x v="110"/>
    <s v="August"/>
    <s v="Monday"/>
    <d v="1899-12-30T22:13:30"/>
    <x v="7"/>
    <x v="3"/>
    <s v="August"/>
    <x v="486"/>
    <x v="84"/>
    <s v="Nizamabad"/>
    <s v="Raksha Bandhan"/>
    <n v="6244"/>
    <n v="1"/>
  </r>
  <r>
    <n v="489"/>
    <s v="C072"/>
    <n v="10"/>
    <s v="Accusantium Gift"/>
    <s v="Cake"/>
    <n v="1"/>
    <n v="259"/>
    <x v="110"/>
    <s v="August"/>
    <s v="Monday"/>
    <d v="1899-12-30T22:26:56"/>
    <x v="66"/>
    <x v="3"/>
    <s v="September"/>
    <x v="487"/>
    <x v="15"/>
    <s v="Kirari Suleman Nagar"/>
    <s v="Birthday"/>
    <n v="259"/>
    <n v="5"/>
  </r>
  <r>
    <n v="490"/>
    <s v="C075"/>
    <n v="2"/>
    <s v="Voluptas Box"/>
    <s v="Plants"/>
    <n v="1"/>
    <n v="441"/>
    <x v="33"/>
    <s v="February"/>
    <s v="Sunday"/>
    <d v="1899-12-30T12:28:03"/>
    <x v="16"/>
    <x v="19"/>
    <s v="February"/>
    <x v="488"/>
    <x v="60"/>
    <s v="Eluru"/>
    <s v="Valentine's Day"/>
    <n v="441"/>
    <n v="2"/>
  </r>
  <r>
    <n v="491"/>
    <s v="C095"/>
    <n v="30"/>
    <s v="Recusandae Pack"/>
    <s v="Colors"/>
    <n v="1"/>
    <n v="751"/>
    <x v="155"/>
    <s v="October"/>
    <s v="Tuesday"/>
    <d v="1899-12-30T06:14:34"/>
    <x v="216"/>
    <x v="22"/>
    <s v="November"/>
    <x v="489"/>
    <x v="40"/>
    <s v="Muzaffarnagar"/>
    <s v="Anniversary"/>
    <n v="751"/>
    <n v="9"/>
  </r>
  <r>
    <n v="492"/>
    <s v="C047"/>
    <n v="33"/>
    <s v="Earum Set"/>
    <s v="Colors"/>
    <n v="2"/>
    <n v="314"/>
    <x v="56"/>
    <s v="February"/>
    <s v="Saturday"/>
    <d v="1899-12-30T13:54:25"/>
    <x v="43"/>
    <x v="18"/>
    <s v="February"/>
    <x v="490"/>
    <x v="25"/>
    <s v="Salem"/>
    <s v="Valentine's Day"/>
    <n v="628"/>
    <n v="9"/>
  </r>
  <r>
    <n v="493"/>
    <s v="C035"/>
    <n v="11"/>
    <s v="Maxime Set"/>
    <s v="Mugs"/>
    <n v="1"/>
    <n v="1096"/>
    <x v="81"/>
    <s v="February"/>
    <s v="Sunday"/>
    <d v="1899-12-30T22:11:24"/>
    <x v="138"/>
    <x v="3"/>
    <s v="February"/>
    <x v="491"/>
    <x v="61"/>
    <s v="Gopalpur"/>
    <s v="Valentine's Day"/>
    <n v="1096"/>
    <n v="1"/>
  </r>
  <r>
    <n v="494"/>
    <s v="C082"/>
    <n v="7"/>
    <s v="Quos Set"/>
    <s v="Soft Toys"/>
    <n v="4"/>
    <n v="409"/>
    <x v="25"/>
    <s v="February"/>
    <s v="Tuesday"/>
    <d v="1899-12-30T03:11:22"/>
    <x v="8"/>
    <x v="9"/>
    <s v="March"/>
    <x v="492"/>
    <x v="59"/>
    <s v="Rewa"/>
    <s v="Holi"/>
    <n v="1636"/>
    <n v="8"/>
  </r>
  <r>
    <n v="495"/>
    <s v="C007"/>
    <n v="20"/>
    <s v="Reiciendis Box"/>
    <s v="Colors"/>
    <n v="1"/>
    <n v="697"/>
    <x v="110"/>
    <s v="August"/>
    <s v="Monday"/>
    <d v="1899-12-30T17:42:29"/>
    <x v="7"/>
    <x v="21"/>
    <s v="August"/>
    <x v="493"/>
    <x v="70"/>
    <s v="Pimpri-Chinchwad"/>
    <s v="Anniversary"/>
    <n v="697"/>
    <n v="1"/>
  </r>
  <r>
    <n v="496"/>
    <s v="C021"/>
    <n v="11"/>
    <s v="Maxime Set"/>
    <s v="Mugs"/>
    <n v="4"/>
    <n v="1096"/>
    <x v="16"/>
    <s v="February"/>
    <s v="Thursday"/>
    <d v="1899-12-30T14:31:57"/>
    <x v="33"/>
    <x v="15"/>
    <s v="February"/>
    <x v="494"/>
    <x v="85"/>
    <s v="Sambhal"/>
    <s v="Valentine's Day"/>
    <n v="4384"/>
    <n v="7"/>
  </r>
  <r>
    <n v="497"/>
    <s v="C081"/>
    <n v="64"/>
    <s v="Nostrum Box"/>
    <s v="Soft Toys"/>
    <n v="2"/>
    <n v="1878"/>
    <x v="39"/>
    <s v="August"/>
    <s v="Tuesday"/>
    <d v="1899-12-30T20:14:01"/>
    <x v="141"/>
    <x v="6"/>
    <s v="September"/>
    <x v="495"/>
    <x v="58"/>
    <s v="Alwar"/>
    <s v="Raksha Bandhan"/>
    <n v="3756"/>
    <n v="3"/>
  </r>
  <r>
    <n v="498"/>
    <s v="C100"/>
    <n v="19"/>
    <s v="Iure Gift"/>
    <s v="Mugs"/>
    <n v="4"/>
    <n v="1234"/>
    <x v="94"/>
    <s v="February"/>
    <s v="Monday"/>
    <d v="1899-12-30T21:34:44"/>
    <x v="14"/>
    <x v="20"/>
    <s v="February"/>
    <x v="496"/>
    <x v="56"/>
    <s v="Bhusawal"/>
    <s v="Valentine's Day"/>
    <n v="4936"/>
    <n v="7"/>
  </r>
  <r>
    <n v="499"/>
    <s v="C031"/>
    <n v="59"/>
    <s v="Pariatur Box"/>
    <s v="Cake"/>
    <n v="1"/>
    <n v="811"/>
    <x v="100"/>
    <s v="August"/>
    <s v="Sunday"/>
    <d v="1899-12-30T12:09:20"/>
    <x v="66"/>
    <x v="19"/>
    <s v="September"/>
    <x v="428"/>
    <x v="35"/>
    <s v="Ichalkaranji"/>
    <s v="Raksha Bandhan"/>
    <n v="811"/>
    <n v="6"/>
  </r>
  <r>
    <n v="500"/>
    <s v="C013"/>
    <n v="61"/>
    <s v="Iusto Box"/>
    <s v="Plants"/>
    <n v="2"/>
    <n v="810"/>
    <x v="200"/>
    <s v="June"/>
    <s v="Thursday"/>
    <d v="1899-12-30T10:07:52"/>
    <x v="217"/>
    <x v="13"/>
    <s v="July"/>
    <x v="497"/>
    <x v="14"/>
    <s v="Bongaigaon"/>
    <s v="Anniversary"/>
    <n v="1620"/>
    <n v="6"/>
  </r>
  <r>
    <n v="501"/>
    <s v="C066"/>
    <n v="46"/>
    <s v="Pariatur Set"/>
    <s v="Cake"/>
    <n v="2"/>
    <n v="758"/>
    <x v="50"/>
    <s v="September"/>
    <s v="Saturday"/>
    <d v="1899-12-30T16:27:41"/>
    <x v="54"/>
    <x v="8"/>
    <s v="September"/>
    <x v="498"/>
    <x v="30"/>
    <s v="Navi Mumbai"/>
    <s v="Anniversary"/>
    <n v="1516"/>
    <n v="6"/>
  </r>
  <r>
    <n v="502"/>
    <s v="C099"/>
    <n v="22"/>
    <s v="Exercitationem Pack"/>
    <s v="Soft Toys"/>
    <n v="5"/>
    <n v="1639"/>
    <x v="201"/>
    <s v="June"/>
    <s v="Saturday"/>
    <d v="1899-12-30T05:33:20"/>
    <x v="155"/>
    <x v="16"/>
    <s v="June"/>
    <x v="499"/>
    <x v="9"/>
    <s v="Munger"/>
    <s v="All Occasions"/>
    <n v="8195"/>
    <n v="6"/>
  </r>
  <r>
    <n v="503"/>
    <s v="C020"/>
    <n v="34"/>
    <s v="Placeat Pack"/>
    <s v="Soft Toys"/>
    <n v="1"/>
    <n v="1335"/>
    <x v="39"/>
    <s v="August"/>
    <s v="Tuesday"/>
    <d v="1899-12-30T20:45:45"/>
    <x v="117"/>
    <x v="6"/>
    <s v="September"/>
    <x v="500"/>
    <x v="36"/>
    <s v="Dehri"/>
    <s v="Raksha Bandhan"/>
    <n v="1335"/>
    <n v="8"/>
  </r>
  <r>
    <n v="504"/>
    <s v="C058"/>
    <n v="25"/>
    <s v="Qui Gift"/>
    <s v="Plants"/>
    <n v="1"/>
    <n v="1202"/>
    <x v="2"/>
    <s v="July"/>
    <s v="Friday"/>
    <d v="1899-12-30T13:04:42"/>
    <x v="20"/>
    <x v="18"/>
    <s v="July"/>
    <x v="501"/>
    <x v="42"/>
    <s v="Meerut"/>
    <s v="Anniversary"/>
    <n v="1202"/>
    <n v="10"/>
  </r>
  <r>
    <n v="505"/>
    <s v="C028"/>
    <n v="45"/>
    <s v="Iusto Set"/>
    <s v="Raksha Bandhan"/>
    <n v="3"/>
    <n v="722"/>
    <x v="99"/>
    <s v="June"/>
    <s v="Friday"/>
    <d v="1899-12-30T13:19:25"/>
    <x v="218"/>
    <x v="18"/>
    <s v="June"/>
    <x v="502"/>
    <x v="48"/>
    <s v="Allahabad"/>
    <s v="Birthday"/>
    <n v="2166"/>
    <n v="3"/>
  </r>
  <r>
    <n v="506"/>
    <s v="C058"/>
    <n v="55"/>
    <s v="Dolores Gift"/>
    <s v="Soft Toys"/>
    <n v="4"/>
    <n v="1904"/>
    <x v="100"/>
    <s v="August"/>
    <s v="Sunday"/>
    <d v="1899-12-30T08:52:04"/>
    <x v="66"/>
    <x v="7"/>
    <s v="September"/>
    <x v="503"/>
    <x v="42"/>
    <s v="Thrissur"/>
    <s v="Raksha Bandhan"/>
    <n v="7616"/>
    <n v="6"/>
  </r>
  <r>
    <n v="507"/>
    <s v="C028"/>
    <n v="13"/>
    <s v="Et Set"/>
    <s v="Mugs"/>
    <n v="4"/>
    <n v="1141"/>
    <x v="15"/>
    <s v="March"/>
    <s v="Tuesday"/>
    <d v="1899-12-30T00:28:11"/>
    <x v="82"/>
    <x v="5"/>
    <s v="March"/>
    <x v="504"/>
    <x v="48"/>
    <s v="Malda"/>
    <s v="Holi"/>
    <n v="4564"/>
    <n v="6"/>
  </r>
  <r>
    <n v="508"/>
    <s v="C035"/>
    <n v="69"/>
    <s v="Id Box"/>
    <s v="Cake"/>
    <n v="1"/>
    <n v="998"/>
    <x v="8"/>
    <s v="February"/>
    <s v="Sunday"/>
    <d v="1899-12-30T17:29:28"/>
    <x v="11"/>
    <x v="21"/>
    <s v="March"/>
    <x v="505"/>
    <x v="61"/>
    <s v="Varanasi"/>
    <s v="Holi"/>
    <n v="998"/>
    <n v="6"/>
  </r>
  <r>
    <n v="509"/>
    <s v="C003"/>
    <n v="13"/>
    <s v="Et Set"/>
    <s v="Mugs"/>
    <n v="5"/>
    <n v="1141"/>
    <x v="88"/>
    <s v="March"/>
    <s v="Sunday"/>
    <d v="1899-12-30T12:48:55"/>
    <x v="170"/>
    <x v="19"/>
    <s v="March"/>
    <x v="506"/>
    <x v="3"/>
    <s v="Uluberia"/>
    <s v="Holi"/>
    <n v="5705"/>
    <n v="4"/>
  </r>
  <r>
    <n v="510"/>
    <s v="C017"/>
    <n v="54"/>
    <s v="Occaecati Gift"/>
    <s v="Cake"/>
    <n v="5"/>
    <n v="1236"/>
    <x v="202"/>
    <s v="December"/>
    <s v="Friday"/>
    <d v="1899-12-30T13:00:05"/>
    <x v="219"/>
    <x v="18"/>
    <s v="December"/>
    <x v="507"/>
    <x v="46"/>
    <s v="Panipat"/>
    <s v="Anniversary"/>
    <n v="6180"/>
    <n v="9"/>
  </r>
  <r>
    <n v="511"/>
    <s v="C055"/>
    <n v="47"/>
    <s v="Harum Pack"/>
    <s v="Colors"/>
    <n v="2"/>
    <n v="1638"/>
    <x v="64"/>
    <s v="February"/>
    <s v="Monday"/>
    <d v="1899-12-30T12:58:05"/>
    <x v="11"/>
    <x v="19"/>
    <s v="March"/>
    <x v="508"/>
    <x v="27"/>
    <s v="Dibrugarh"/>
    <s v="Holi"/>
    <n v="3276"/>
    <n v="5"/>
  </r>
  <r>
    <n v="512"/>
    <s v="C008"/>
    <n v="41"/>
    <s v="Aut Box"/>
    <s v="Sweets"/>
    <n v="1"/>
    <n v="1977"/>
    <x v="159"/>
    <s v="November"/>
    <s v="Sunday"/>
    <d v="1899-12-30T02:42:41"/>
    <x v="108"/>
    <x v="10"/>
    <s v="November"/>
    <x v="509"/>
    <x v="51"/>
    <s v="Ranchi"/>
    <s v="Diwali"/>
    <n v="1977"/>
    <n v="6"/>
  </r>
  <r>
    <n v="513"/>
    <s v="C088"/>
    <n v="1"/>
    <s v="Magnam Set"/>
    <s v="Soft Toys"/>
    <n v="4"/>
    <n v="1935"/>
    <x v="203"/>
    <s v="March"/>
    <s v="Monday"/>
    <d v="1899-12-30T09:57:32"/>
    <x v="220"/>
    <x v="17"/>
    <s v="April"/>
    <x v="510"/>
    <x v="23"/>
    <s v="Nandyal"/>
    <s v="All Occasions"/>
    <n v="7740"/>
    <n v="6"/>
  </r>
  <r>
    <n v="514"/>
    <s v="C090"/>
    <n v="24"/>
    <s v="Ad Box"/>
    <s v="Mugs"/>
    <n v="1"/>
    <n v="535"/>
    <x v="53"/>
    <s v="January"/>
    <s v="Sunday"/>
    <d v="1899-12-30T09:56:10"/>
    <x v="215"/>
    <x v="17"/>
    <s v="January"/>
    <x v="511"/>
    <x v="17"/>
    <s v="Allahabad"/>
    <s v="Birthday"/>
    <n v="535"/>
    <n v="8"/>
  </r>
  <r>
    <n v="515"/>
    <s v="C078"/>
    <n v="14"/>
    <s v="Deserunt Box"/>
    <s v="Colors"/>
    <n v="5"/>
    <n v="1915"/>
    <x v="204"/>
    <s v="October"/>
    <s v="Saturday"/>
    <d v="1899-12-30T23:22:39"/>
    <x v="102"/>
    <x v="0"/>
    <s v="October"/>
    <x v="512"/>
    <x v="4"/>
    <s v="Unnao"/>
    <s v="Birthday"/>
    <n v="9575"/>
    <n v="6"/>
  </r>
  <r>
    <n v="516"/>
    <s v="C020"/>
    <n v="22"/>
    <s v="Exercitationem Pack"/>
    <s v="Soft Toys"/>
    <n v="2"/>
    <n v="1639"/>
    <x v="193"/>
    <s v="July"/>
    <s v="Wednesday"/>
    <d v="1899-12-30T20:52:56"/>
    <x v="221"/>
    <x v="6"/>
    <s v="July"/>
    <x v="513"/>
    <x v="36"/>
    <s v="Gaya"/>
    <s v="All Occasions"/>
    <n v="3278"/>
    <n v="1"/>
  </r>
  <r>
    <n v="517"/>
    <s v="C064"/>
    <n v="60"/>
    <s v="Ea Set"/>
    <s v="Sweets"/>
    <n v="5"/>
    <n v="827"/>
    <x v="17"/>
    <s v="November"/>
    <s v="Thursday"/>
    <d v="1899-12-30T01:01:13"/>
    <x v="166"/>
    <x v="4"/>
    <s v="November"/>
    <x v="514"/>
    <x v="24"/>
    <s v="Aligarh"/>
    <s v="Diwali"/>
    <n v="4135"/>
    <n v="8"/>
  </r>
  <r>
    <n v="518"/>
    <s v="C045"/>
    <n v="45"/>
    <s v="Iusto Set"/>
    <s v="Raksha Bandhan"/>
    <n v="3"/>
    <n v="722"/>
    <x v="205"/>
    <s v="April"/>
    <s v="Sunday"/>
    <d v="1899-12-30T04:46:41"/>
    <x v="172"/>
    <x v="2"/>
    <s v="April"/>
    <x v="515"/>
    <x v="39"/>
    <s v="Ahmednagar"/>
    <s v="Birthday"/>
    <n v="2166"/>
    <n v="6"/>
  </r>
  <r>
    <n v="519"/>
    <s v="C014"/>
    <n v="52"/>
    <s v="Dolorum Box"/>
    <s v="Raksha Bandhan"/>
    <n v="4"/>
    <n v="236"/>
    <x v="106"/>
    <s v="February"/>
    <s v="Tuesday"/>
    <d v="1899-12-30T23:10:38"/>
    <x v="28"/>
    <x v="0"/>
    <s v="February"/>
    <x v="516"/>
    <x v="37"/>
    <s v="Hindupur"/>
    <s v="Valentine's Day"/>
    <n v="944"/>
    <n v="8"/>
  </r>
  <r>
    <n v="520"/>
    <s v="C026"/>
    <n v="14"/>
    <s v="Deserunt Box"/>
    <s v="Colors"/>
    <n v="5"/>
    <n v="1915"/>
    <x v="206"/>
    <s v="April"/>
    <s v="Friday"/>
    <d v="1899-12-30T04:43:51"/>
    <x v="222"/>
    <x v="2"/>
    <s v="April"/>
    <x v="517"/>
    <x v="63"/>
    <s v="Mysore"/>
    <s v="Birthday"/>
    <n v="9575"/>
    <n v="1"/>
  </r>
  <r>
    <n v="521"/>
    <s v="C062"/>
    <n v="33"/>
    <s v="Earum Set"/>
    <s v="Colors"/>
    <n v="5"/>
    <n v="314"/>
    <x v="56"/>
    <s v="February"/>
    <s v="Saturday"/>
    <d v="1899-12-30T21:00:17"/>
    <x v="62"/>
    <x v="20"/>
    <s v="February"/>
    <x v="518"/>
    <x v="49"/>
    <s v="Noida"/>
    <s v="Valentine's Day"/>
    <n v="1570"/>
    <n v="4"/>
  </r>
  <r>
    <n v="522"/>
    <s v="C011"/>
    <n v="50"/>
    <s v="Eligendi Set"/>
    <s v="Plants"/>
    <n v="3"/>
    <n v="422"/>
    <x v="64"/>
    <s v="February"/>
    <s v="Monday"/>
    <d v="1899-12-30T21:04:28"/>
    <x v="8"/>
    <x v="20"/>
    <s v="March"/>
    <x v="519"/>
    <x v="16"/>
    <s v="Avadi"/>
    <s v="Holi"/>
    <n v="1266"/>
    <n v="9"/>
  </r>
  <r>
    <n v="523"/>
    <s v="C071"/>
    <n v="30"/>
    <s v="Recusandae Pack"/>
    <s v="Colors"/>
    <n v="3"/>
    <n v="751"/>
    <x v="207"/>
    <s v="July"/>
    <s v="Sunday"/>
    <d v="1899-12-30T13:37:08"/>
    <x v="129"/>
    <x v="18"/>
    <s v="July"/>
    <x v="520"/>
    <x v="26"/>
    <s v="Muzaffarpur"/>
    <s v="Anniversary"/>
    <n v="2253"/>
    <n v="7"/>
  </r>
  <r>
    <n v="524"/>
    <s v="C084"/>
    <n v="45"/>
    <s v="Iusto Set"/>
    <s v="Raksha Bandhan"/>
    <n v="1"/>
    <n v="722"/>
    <x v="208"/>
    <s v="August"/>
    <s v="Tuesday"/>
    <d v="1899-12-30T13:54:54"/>
    <x v="88"/>
    <x v="18"/>
    <s v="August"/>
    <x v="521"/>
    <x v="68"/>
    <s v="Jalandhar"/>
    <s v="Birthday"/>
    <n v="722"/>
    <n v="7"/>
  </r>
  <r>
    <n v="525"/>
    <s v="C033"/>
    <n v="16"/>
    <s v="Ut Pack"/>
    <s v="Sweets"/>
    <n v="2"/>
    <n v="1721"/>
    <x v="9"/>
    <s v="March"/>
    <s v="Thursday"/>
    <d v="1899-12-30T20:06:08"/>
    <x v="57"/>
    <x v="6"/>
    <s v="March"/>
    <x v="522"/>
    <x v="45"/>
    <s v="Bhagalpur"/>
    <s v="Holi"/>
    <n v="3442"/>
    <n v="9"/>
  </r>
  <r>
    <n v="526"/>
    <s v="C008"/>
    <n v="13"/>
    <s v="Et Set"/>
    <s v="Mugs"/>
    <n v="5"/>
    <n v="1141"/>
    <x v="9"/>
    <s v="March"/>
    <s v="Thursday"/>
    <d v="1899-12-30T06:06:20"/>
    <x v="8"/>
    <x v="22"/>
    <s v="March"/>
    <x v="523"/>
    <x v="51"/>
    <s v="Bangalore"/>
    <s v="Holi"/>
    <n v="5705"/>
    <n v="6"/>
  </r>
  <r>
    <n v="527"/>
    <s v="C036"/>
    <n v="33"/>
    <s v="Earum Set"/>
    <s v="Colors"/>
    <n v="3"/>
    <n v="314"/>
    <x v="4"/>
    <s v="February"/>
    <s v="Saturday"/>
    <d v="1899-12-30T12:51:40"/>
    <x v="223"/>
    <x v="19"/>
    <s v="February"/>
    <x v="524"/>
    <x v="38"/>
    <s v="Bardhaman"/>
    <s v="Valentine's Day"/>
    <n v="942"/>
    <n v="8"/>
  </r>
  <r>
    <n v="528"/>
    <s v="C001"/>
    <n v="27"/>
    <s v="Architecto Gift"/>
    <s v="Cake"/>
    <n v="3"/>
    <n v="548"/>
    <x v="100"/>
    <s v="August"/>
    <s v="Sunday"/>
    <d v="1899-12-30T05:01:16"/>
    <x v="13"/>
    <x v="16"/>
    <s v="August"/>
    <x v="525"/>
    <x v="41"/>
    <s v="Tirunelveli"/>
    <s v="Raksha Bandhan"/>
    <n v="1644"/>
    <n v="3"/>
  </r>
  <r>
    <n v="529"/>
    <s v="C013"/>
    <n v="64"/>
    <s v="Nostrum Box"/>
    <s v="Soft Toys"/>
    <n v="2"/>
    <n v="1878"/>
    <x v="49"/>
    <s v="August"/>
    <s v="Friday"/>
    <d v="1899-12-30T15:47:28"/>
    <x v="56"/>
    <x v="11"/>
    <s v="August"/>
    <x v="526"/>
    <x v="14"/>
    <s v="Madurai"/>
    <s v="Raksha Bandhan"/>
    <n v="3756"/>
    <n v="3"/>
  </r>
  <r>
    <n v="530"/>
    <s v="C008"/>
    <n v="5"/>
    <s v="Natus Gift"/>
    <s v="Colors"/>
    <n v="2"/>
    <n v="1444"/>
    <x v="209"/>
    <s v="August"/>
    <s v="Saturday"/>
    <d v="1899-12-30T10:45:21"/>
    <x v="42"/>
    <x v="13"/>
    <s v="August"/>
    <x v="527"/>
    <x v="51"/>
    <s v="Delhi"/>
    <s v="All Occasions"/>
    <n v="2888"/>
    <n v="8"/>
  </r>
  <r>
    <n v="531"/>
    <s v="C029"/>
    <n v="28"/>
    <s v="Velit Set"/>
    <s v="Sweets"/>
    <n v="5"/>
    <n v="1778"/>
    <x v="39"/>
    <s v="August"/>
    <s v="Tuesday"/>
    <d v="1899-12-30T13:32:08"/>
    <x v="41"/>
    <x v="18"/>
    <s v="September"/>
    <x v="528"/>
    <x v="2"/>
    <s v="Dehradun"/>
    <s v="Raksha Bandhan"/>
    <n v="8890"/>
    <n v="9"/>
  </r>
  <r>
    <n v="532"/>
    <s v="C036"/>
    <n v="30"/>
    <s v="Recusandae Pack"/>
    <s v="Colors"/>
    <n v="5"/>
    <n v="751"/>
    <x v="50"/>
    <s v="September"/>
    <s v="Saturday"/>
    <d v="1899-12-30T13:25:06"/>
    <x v="224"/>
    <x v="18"/>
    <s v="September"/>
    <x v="529"/>
    <x v="38"/>
    <s v="Bharatpur"/>
    <s v="Anniversary"/>
    <n v="3755"/>
    <n v="8"/>
  </r>
  <r>
    <n v="533"/>
    <s v="C006"/>
    <n v="14"/>
    <s v="Deserunt Box"/>
    <s v="Colors"/>
    <n v="3"/>
    <n v="1915"/>
    <x v="36"/>
    <s v="April"/>
    <s v="Tuesday"/>
    <d v="1899-12-30T07:19:52"/>
    <x v="153"/>
    <x v="14"/>
    <s v="April"/>
    <x v="530"/>
    <x v="33"/>
    <s v="Raurkela Industrial Township"/>
    <s v="Birthday"/>
    <n v="5745"/>
    <n v="2"/>
  </r>
  <r>
    <n v="534"/>
    <s v="C061"/>
    <n v="31"/>
    <s v="Nihil Box"/>
    <s v="Colors"/>
    <n v="2"/>
    <n v="1804"/>
    <x v="172"/>
    <s v="November"/>
    <s v="Monday"/>
    <d v="1899-12-30T03:40:16"/>
    <x v="225"/>
    <x v="9"/>
    <s v="December"/>
    <x v="531"/>
    <x v="11"/>
    <s v="Naihati"/>
    <s v="All Occasions"/>
    <n v="3608"/>
    <n v="7"/>
  </r>
  <r>
    <n v="535"/>
    <s v="C017"/>
    <n v="25"/>
    <s v="Qui Gift"/>
    <s v="Plants"/>
    <n v="3"/>
    <n v="1202"/>
    <x v="171"/>
    <s v="July"/>
    <s v="Saturday"/>
    <d v="1899-12-30T21:59:28"/>
    <x v="226"/>
    <x v="20"/>
    <s v="July"/>
    <x v="532"/>
    <x v="46"/>
    <s v="Saharsa"/>
    <s v="Anniversary"/>
    <n v="3606"/>
    <n v="3"/>
  </r>
  <r>
    <n v="536"/>
    <s v="C048"/>
    <n v="59"/>
    <s v="Pariatur Box"/>
    <s v="Cake"/>
    <n v="3"/>
    <n v="811"/>
    <x v="49"/>
    <s v="August"/>
    <s v="Friday"/>
    <d v="1899-12-30T15:14:52"/>
    <x v="13"/>
    <x v="11"/>
    <s v="August"/>
    <x v="533"/>
    <x v="42"/>
    <s v="Kota"/>
    <s v="Raksha Bandhan"/>
    <n v="2433"/>
    <n v="5"/>
  </r>
  <r>
    <n v="537"/>
    <s v="C064"/>
    <n v="42"/>
    <s v="Expedita Gift"/>
    <s v="Sweets"/>
    <n v="3"/>
    <n v="1744"/>
    <x v="210"/>
    <s v="October"/>
    <s v="Tuesday"/>
    <d v="1899-12-30T06:19:24"/>
    <x v="167"/>
    <x v="22"/>
    <s v="October"/>
    <x v="534"/>
    <x v="24"/>
    <s v="Korba"/>
    <s v="All Occasions"/>
    <n v="5232"/>
    <n v="8"/>
  </r>
  <r>
    <n v="538"/>
    <s v="C097"/>
    <n v="24"/>
    <s v="Ad Box"/>
    <s v="Mugs"/>
    <n v="5"/>
    <n v="535"/>
    <x v="211"/>
    <s v="May"/>
    <s v="Thursday"/>
    <d v="1899-12-30T13:09:06"/>
    <x v="186"/>
    <x v="18"/>
    <s v="May"/>
    <x v="535"/>
    <x v="7"/>
    <s v="Ghaziabad"/>
    <s v="Birthday"/>
    <n v="2675"/>
    <n v="1"/>
  </r>
  <r>
    <n v="539"/>
    <s v="C056"/>
    <n v="20"/>
    <s v="Reiciendis Box"/>
    <s v="Colors"/>
    <n v="3"/>
    <n v="697"/>
    <x v="212"/>
    <s v="June"/>
    <s v="Friday"/>
    <d v="1899-12-30T15:39:18"/>
    <x v="136"/>
    <x v="11"/>
    <s v="June"/>
    <x v="536"/>
    <x v="2"/>
    <s v="Jehanabad"/>
    <s v="Anniversary"/>
    <n v="2091"/>
    <n v="7"/>
  </r>
  <r>
    <n v="540"/>
    <s v="C082"/>
    <n v="22"/>
    <s v="Exercitationem Pack"/>
    <s v="Soft Toys"/>
    <n v="4"/>
    <n v="1639"/>
    <x v="213"/>
    <s v="September"/>
    <s v="Wednesday"/>
    <d v="1899-12-30T19:07:35"/>
    <x v="98"/>
    <x v="1"/>
    <s v="September"/>
    <x v="537"/>
    <x v="59"/>
    <s v="Morbi"/>
    <s v="All Occasions"/>
    <n v="6556"/>
    <n v="3"/>
  </r>
  <r>
    <n v="541"/>
    <s v="C007"/>
    <n v="24"/>
    <s v="Ad Box"/>
    <s v="Mugs"/>
    <n v="3"/>
    <n v="535"/>
    <x v="214"/>
    <s v="November"/>
    <s v="Monday"/>
    <d v="1899-12-30T05:51:09"/>
    <x v="38"/>
    <x v="16"/>
    <s v="November"/>
    <x v="538"/>
    <x v="70"/>
    <s v="Sasaram"/>
    <s v="Birthday"/>
    <n v="1605"/>
    <n v="3"/>
  </r>
  <r>
    <n v="542"/>
    <s v="C051"/>
    <n v="54"/>
    <s v="Occaecati Gift"/>
    <s v="Cake"/>
    <n v="5"/>
    <n v="1236"/>
    <x v="136"/>
    <s v="July"/>
    <s v="Friday"/>
    <d v="1899-12-30T19:41:20"/>
    <x v="227"/>
    <x v="1"/>
    <s v="July"/>
    <x v="539"/>
    <x v="65"/>
    <s v="Satara"/>
    <s v="Anniversary"/>
    <n v="6180"/>
    <n v="5"/>
  </r>
  <r>
    <n v="543"/>
    <s v="C023"/>
    <n v="51"/>
    <s v="Fugit Set"/>
    <s v="Soft Toys"/>
    <n v="4"/>
    <n v="1084"/>
    <x v="33"/>
    <s v="February"/>
    <s v="Sunday"/>
    <d v="1899-12-30T21:51:10"/>
    <x v="197"/>
    <x v="20"/>
    <s v="February"/>
    <x v="540"/>
    <x v="18"/>
    <s v="Saharanpur"/>
    <s v="All Occasions"/>
    <n v="4336"/>
    <n v="5"/>
  </r>
  <r>
    <n v="544"/>
    <s v="C030"/>
    <n v="29"/>
    <s v="In Set"/>
    <s v="Colors"/>
    <n v="2"/>
    <n v="1252"/>
    <x v="125"/>
    <s v="March"/>
    <s v="Wednesday"/>
    <d v="1899-12-30T02:31:54"/>
    <x v="57"/>
    <x v="10"/>
    <s v="March"/>
    <x v="541"/>
    <x v="64"/>
    <s v="Belgaum"/>
    <s v="Holi"/>
    <n v="2504"/>
    <n v="10"/>
  </r>
  <r>
    <n v="545"/>
    <s v="C083"/>
    <n v="9"/>
    <s v="Aperiam Box"/>
    <s v="Colors"/>
    <n v="5"/>
    <n v="1605"/>
    <x v="5"/>
    <s v="August"/>
    <s v="Sunday"/>
    <d v="1899-12-30T01:54:52"/>
    <x v="4"/>
    <x v="4"/>
    <s v="August"/>
    <x v="542"/>
    <x v="62"/>
    <s v="Ratlam"/>
    <s v="Raksha Bandhan"/>
    <n v="8025"/>
    <n v="6"/>
  </r>
  <r>
    <n v="546"/>
    <s v="C064"/>
    <n v="25"/>
    <s v="Qui Gift"/>
    <s v="Plants"/>
    <n v="3"/>
    <n v="1202"/>
    <x v="162"/>
    <s v="February"/>
    <s v="Thursday"/>
    <d v="1899-12-30T22:04:53"/>
    <x v="68"/>
    <x v="3"/>
    <s v="February"/>
    <x v="543"/>
    <x v="24"/>
    <s v="Motihari"/>
    <s v="Anniversary"/>
    <n v="3606"/>
    <n v="9"/>
  </r>
  <r>
    <n v="547"/>
    <s v="C088"/>
    <n v="30"/>
    <s v="Recusandae Pack"/>
    <s v="Colors"/>
    <n v="5"/>
    <n v="751"/>
    <x v="215"/>
    <s v="January"/>
    <s v="Tuesday"/>
    <d v="1899-12-30T02:30:12"/>
    <x v="228"/>
    <x v="10"/>
    <s v="January"/>
    <x v="510"/>
    <x v="23"/>
    <s v="Ahmedabad"/>
    <s v="Anniversary"/>
    <n v="3755"/>
    <n v="9"/>
  </r>
  <r>
    <n v="548"/>
    <s v="C012"/>
    <n v="25"/>
    <s v="Qui Gift"/>
    <s v="Plants"/>
    <n v="2"/>
    <n v="1202"/>
    <x v="216"/>
    <s v="February"/>
    <s v="Tuesday"/>
    <d v="1899-12-30T12:32:50"/>
    <x v="180"/>
    <x v="19"/>
    <s v="February"/>
    <x v="544"/>
    <x v="3"/>
    <s v="Gorakhpur"/>
    <s v="Anniversary"/>
    <n v="2404"/>
    <n v="1"/>
  </r>
  <r>
    <n v="549"/>
    <s v="C021"/>
    <n v="64"/>
    <s v="Nostrum Box"/>
    <s v="Soft Toys"/>
    <n v="1"/>
    <n v="1878"/>
    <x v="22"/>
    <s v="August"/>
    <s v="Tuesday"/>
    <d v="1899-12-30T19:29:43"/>
    <x v="141"/>
    <x v="1"/>
    <s v="September"/>
    <x v="545"/>
    <x v="85"/>
    <s v="Erode"/>
    <s v="Raksha Bandhan"/>
    <n v="1878"/>
    <n v="10"/>
  </r>
  <r>
    <n v="550"/>
    <s v="C023"/>
    <n v="29"/>
    <s v="In Set"/>
    <s v="Colors"/>
    <n v="5"/>
    <n v="1252"/>
    <x v="64"/>
    <s v="February"/>
    <s v="Monday"/>
    <d v="1899-12-30T19:28:12"/>
    <x v="0"/>
    <x v="1"/>
    <s v="March"/>
    <x v="546"/>
    <x v="18"/>
    <s v="Bettiah"/>
    <s v="Holi"/>
    <n v="6260"/>
    <n v="6"/>
  </r>
  <r>
    <n v="551"/>
    <s v="C088"/>
    <n v="67"/>
    <s v="Maiores Box"/>
    <s v="Raksha Bandhan"/>
    <n v="1"/>
    <n v="1374"/>
    <x v="217"/>
    <s v="April"/>
    <s v="Wednesday"/>
    <d v="1899-12-30T20:43:42"/>
    <x v="36"/>
    <x v="6"/>
    <s v="April"/>
    <x v="547"/>
    <x v="23"/>
    <s v="Kurnool"/>
    <s v="Anniversary"/>
    <n v="1374"/>
    <n v="4"/>
  </r>
  <r>
    <n v="552"/>
    <s v="C064"/>
    <n v="31"/>
    <s v="Nihil Box"/>
    <s v="Colors"/>
    <n v="3"/>
    <n v="1804"/>
    <x v="218"/>
    <s v="May"/>
    <s v="Wednesday"/>
    <d v="1899-12-30T18:59:31"/>
    <x v="118"/>
    <x v="23"/>
    <s v="May"/>
    <x v="548"/>
    <x v="24"/>
    <s v="Tezpur"/>
    <s v="All Occasions"/>
    <n v="5412"/>
    <n v="1"/>
  </r>
  <r>
    <n v="553"/>
    <s v="C084"/>
    <n v="39"/>
    <s v="Voluptate Set"/>
    <s v="Mugs"/>
    <n v="2"/>
    <n v="387"/>
    <x v="22"/>
    <s v="August"/>
    <s v="Tuesday"/>
    <d v="1899-12-30T01:22:41"/>
    <x v="4"/>
    <x v="4"/>
    <s v="August"/>
    <x v="549"/>
    <x v="68"/>
    <s v="Alwar"/>
    <s v="All Occasions"/>
    <n v="774"/>
    <n v="4"/>
  </r>
  <r>
    <n v="554"/>
    <s v="C045"/>
    <n v="29"/>
    <s v="In Set"/>
    <s v="Colors"/>
    <n v="4"/>
    <n v="1252"/>
    <x v="25"/>
    <s v="February"/>
    <s v="Tuesday"/>
    <d v="1899-12-30T20:25:07"/>
    <x v="9"/>
    <x v="6"/>
    <s v="March"/>
    <x v="550"/>
    <x v="39"/>
    <s v="Sangli-Miraj &amp; Kupwad"/>
    <s v="Holi"/>
    <n v="5008"/>
    <n v="3"/>
  </r>
  <r>
    <n v="555"/>
    <s v="C100"/>
    <n v="56"/>
    <s v="Quia Gift"/>
    <s v="Raksha Bandhan"/>
    <n v="4"/>
    <n v="1272"/>
    <x v="219"/>
    <s v="June"/>
    <s v="Wednesday"/>
    <d v="1899-12-30T12:05:43"/>
    <x v="155"/>
    <x v="19"/>
    <s v="June"/>
    <x v="551"/>
    <x v="56"/>
    <s v="Ratlam"/>
    <s v="Anniversary"/>
    <n v="5088"/>
    <n v="2"/>
  </r>
  <r>
    <n v="556"/>
    <s v="C073"/>
    <n v="17"/>
    <s v="Delectus Gift"/>
    <s v="Soft Toys"/>
    <n v="1"/>
    <n v="1899"/>
    <x v="44"/>
    <s v="December"/>
    <s v="Wednesday"/>
    <d v="1899-12-30T15:34:22"/>
    <x v="229"/>
    <x v="11"/>
    <s v="December"/>
    <x v="552"/>
    <x v="82"/>
    <s v="Cuttack"/>
    <s v="Anniversary"/>
    <n v="1899"/>
    <n v="8"/>
  </r>
  <r>
    <n v="557"/>
    <s v="C039"/>
    <n v="47"/>
    <s v="Harum Pack"/>
    <s v="Colors"/>
    <n v="3"/>
    <n v="1638"/>
    <x v="125"/>
    <s v="March"/>
    <s v="Wednesday"/>
    <d v="1899-12-30T03:00:42"/>
    <x v="8"/>
    <x v="9"/>
    <s v="March"/>
    <x v="553"/>
    <x v="57"/>
    <s v="Kavali"/>
    <s v="Holi"/>
    <n v="4914"/>
    <n v="7"/>
  </r>
  <r>
    <n v="558"/>
    <s v="C091"/>
    <n v="64"/>
    <s v="Nostrum Box"/>
    <s v="Soft Toys"/>
    <n v="3"/>
    <n v="1878"/>
    <x v="22"/>
    <s v="August"/>
    <s v="Tuesday"/>
    <d v="1899-12-30T00:42:58"/>
    <x v="175"/>
    <x v="5"/>
    <s v="August"/>
    <x v="554"/>
    <x v="21"/>
    <s v="Muzaffarpur"/>
    <s v="Raksha Bandhan"/>
    <n v="5634"/>
    <n v="3"/>
  </r>
  <r>
    <n v="559"/>
    <s v="C084"/>
    <n v="45"/>
    <s v="Iusto Set"/>
    <s v="Raksha Bandhan"/>
    <n v="1"/>
    <n v="722"/>
    <x v="220"/>
    <s v="December"/>
    <s v="Tuesday"/>
    <d v="1899-12-30T16:37:11"/>
    <x v="140"/>
    <x v="8"/>
    <s v="December"/>
    <x v="555"/>
    <x v="68"/>
    <s v="Mau"/>
    <s v="Birthday"/>
    <n v="722"/>
    <n v="7"/>
  </r>
  <r>
    <n v="560"/>
    <s v="C019"/>
    <n v="39"/>
    <s v="Voluptate Set"/>
    <s v="Mugs"/>
    <n v="2"/>
    <n v="387"/>
    <x v="60"/>
    <s v="August"/>
    <s v="Friday"/>
    <d v="1899-12-30T12:52:20"/>
    <x v="230"/>
    <x v="19"/>
    <s v="August"/>
    <x v="556"/>
    <x v="1"/>
    <s v="Avadi"/>
    <s v="All Occasions"/>
    <n v="774"/>
    <n v="5"/>
  </r>
  <r>
    <n v="561"/>
    <s v="C099"/>
    <n v="49"/>
    <s v="Voluptate Pack"/>
    <s v="Colors"/>
    <n v="5"/>
    <n v="903"/>
    <x v="33"/>
    <s v="February"/>
    <s v="Sunday"/>
    <d v="1899-12-30T12:24:35"/>
    <x v="80"/>
    <x v="19"/>
    <s v="February"/>
    <x v="557"/>
    <x v="9"/>
    <s v="Ghaziabad"/>
    <s v="Valentine's Day"/>
    <n v="4515"/>
    <n v="9"/>
  </r>
  <r>
    <n v="562"/>
    <s v="C066"/>
    <n v="24"/>
    <s v="Ad Box"/>
    <s v="Mugs"/>
    <n v="4"/>
    <n v="535"/>
    <x v="221"/>
    <s v="August"/>
    <s v="Wednesday"/>
    <d v="1899-12-30T09:18:20"/>
    <x v="163"/>
    <x v="17"/>
    <s v="August"/>
    <x v="336"/>
    <x v="30"/>
    <s v="Ranchi"/>
    <s v="Birthday"/>
    <n v="2140"/>
    <n v="7"/>
  </r>
  <r>
    <n v="563"/>
    <s v="C077"/>
    <n v="58"/>
    <s v="Sed Pack"/>
    <s v="Cake"/>
    <n v="5"/>
    <n v="1492"/>
    <x v="4"/>
    <s v="February"/>
    <s v="Saturday"/>
    <d v="1899-12-30T11:43:18"/>
    <x v="223"/>
    <x v="12"/>
    <s v="February"/>
    <x v="558"/>
    <x v="41"/>
    <s v="Jorhat"/>
    <s v="Valentine's Day"/>
    <n v="7460"/>
    <n v="8"/>
  </r>
  <r>
    <n v="564"/>
    <s v="C007"/>
    <n v="40"/>
    <s v="Provident Pack"/>
    <s v="Sweets"/>
    <n v="1"/>
    <n v="1923"/>
    <x v="206"/>
    <s v="April"/>
    <s v="Friday"/>
    <d v="1899-12-30T00:40:20"/>
    <x v="172"/>
    <x v="5"/>
    <s v="April"/>
    <x v="559"/>
    <x v="70"/>
    <s v="Gandhinagar"/>
    <s v="Anniversary"/>
    <n v="1923"/>
    <n v="8"/>
  </r>
  <r>
    <n v="565"/>
    <s v="C011"/>
    <n v="50"/>
    <s v="Eligendi Set"/>
    <s v="Plants"/>
    <n v="3"/>
    <n v="422"/>
    <x v="21"/>
    <s v="March"/>
    <s v="Monday"/>
    <d v="1899-12-30T17:28:16"/>
    <x v="27"/>
    <x v="21"/>
    <s v="March"/>
    <x v="560"/>
    <x v="16"/>
    <s v="Mehsana"/>
    <s v="Holi"/>
    <n v="1266"/>
    <n v="8"/>
  </r>
  <r>
    <n v="566"/>
    <s v="C054"/>
    <n v="42"/>
    <s v="Expedita Gift"/>
    <s v="Sweets"/>
    <n v="4"/>
    <n v="1744"/>
    <x v="140"/>
    <s v="May"/>
    <s v="Friday"/>
    <d v="1899-12-30T12:48:03"/>
    <x v="231"/>
    <x v="19"/>
    <s v="May"/>
    <x v="561"/>
    <x v="18"/>
    <s v="Patna"/>
    <s v="All Occasions"/>
    <n v="6976"/>
    <n v="2"/>
  </r>
  <r>
    <n v="567"/>
    <s v="C090"/>
    <n v="66"/>
    <s v="Quas Box"/>
    <s v="Colors"/>
    <n v="1"/>
    <n v="610"/>
    <x v="21"/>
    <s v="March"/>
    <s v="Monday"/>
    <d v="1899-12-30T06:11:59"/>
    <x v="137"/>
    <x v="22"/>
    <s v="March"/>
    <x v="562"/>
    <x v="17"/>
    <s v="Unnao"/>
    <s v="Holi"/>
    <n v="610"/>
    <n v="9"/>
  </r>
  <r>
    <n v="568"/>
    <s v="C056"/>
    <n v="10"/>
    <s v="Accusantium Gift"/>
    <s v="Cake"/>
    <n v="1"/>
    <n v="259"/>
    <x v="200"/>
    <s v="June"/>
    <s v="Thursday"/>
    <d v="1899-12-30T20:55:39"/>
    <x v="114"/>
    <x v="6"/>
    <s v="July"/>
    <x v="563"/>
    <x v="2"/>
    <s v="Bhubaneswar"/>
    <s v="Birthday"/>
    <n v="259"/>
    <n v="9"/>
  </r>
  <r>
    <n v="569"/>
    <s v="C027"/>
    <n v="53"/>
    <s v="Ipsam Set"/>
    <s v="Sweets"/>
    <n v="2"/>
    <n v="1672"/>
    <x v="110"/>
    <s v="August"/>
    <s v="Monday"/>
    <d v="1899-12-30T14:00:43"/>
    <x v="126"/>
    <x v="15"/>
    <s v="September"/>
    <x v="564"/>
    <x v="72"/>
    <s v="Purnia"/>
    <s v="Raksha Bandhan"/>
    <n v="3344"/>
    <n v="7"/>
  </r>
  <r>
    <n v="570"/>
    <s v="C056"/>
    <n v="69"/>
    <s v="Id Box"/>
    <s v="Cake"/>
    <n v="3"/>
    <n v="998"/>
    <x v="25"/>
    <s v="February"/>
    <s v="Tuesday"/>
    <d v="1899-12-30T11:25:04"/>
    <x v="170"/>
    <x v="12"/>
    <s v="March"/>
    <x v="565"/>
    <x v="2"/>
    <s v="Satna"/>
    <s v="Holi"/>
    <n v="2994"/>
    <n v="9"/>
  </r>
  <r>
    <n v="571"/>
    <s v="C046"/>
    <n v="6"/>
    <s v="Quos Box"/>
    <s v="Cake"/>
    <n v="1"/>
    <n v="1112"/>
    <x v="25"/>
    <s v="February"/>
    <s v="Tuesday"/>
    <d v="1899-12-30T09:38:25"/>
    <x v="170"/>
    <x v="17"/>
    <s v="March"/>
    <x v="566"/>
    <x v="32"/>
    <s v="Bhatpara"/>
    <s v="Holi"/>
    <n v="1112"/>
    <n v="9"/>
  </r>
  <r>
    <n v="572"/>
    <s v="C060"/>
    <n v="25"/>
    <s v="Qui Gift"/>
    <s v="Plants"/>
    <n v="5"/>
    <n v="1202"/>
    <x v="179"/>
    <s v="June"/>
    <s v="Sunday"/>
    <d v="1899-12-30T15:48:37"/>
    <x v="31"/>
    <x v="11"/>
    <s v="June"/>
    <x v="567"/>
    <x v="55"/>
    <s v="Kamarhati"/>
    <s v="Anniversary"/>
    <n v="6010"/>
    <n v="6"/>
  </r>
  <r>
    <n v="573"/>
    <s v="C040"/>
    <n v="3"/>
    <s v="Eius Gift"/>
    <s v="Colors"/>
    <n v="5"/>
    <n v="1534"/>
    <x v="41"/>
    <s v="February"/>
    <s v="Wednesday"/>
    <d v="1899-12-30T02:52:06"/>
    <x v="16"/>
    <x v="10"/>
    <s v="February"/>
    <x v="568"/>
    <x v="5"/>
    <s v="Thane"/>
    <s v="Valentine's Day"/>
    <n v="7670"/>
    <n v="6"/>
  </r>
  <r>
    <n v="574"/>
    <s v="C064"/>
    <n v="29"/>
    <s v="In Set"/>
    <s v="Colors"/>
    <n v="3"/>
    <n v="1252"/>
    <x v="9"/>
    <s v="March"/>
    <s v="Thursday"/>
    <d v="1899-12-30T23:57:06"/>
    <x v="44"/>
    <x v="0"/>
    <s v="March"/>
    <x v="569"/>
    <x v="24"/>
    <s v="Kozhikode"/>
    <s v="Holi"/>
    <n v="3756"/>
    <n v="4"/>
  </r>
  <r>
    <n v="575"/>
    <s v="C076"/>
    <n v="49"/>
    <s v="Voluptate Pack"/>
    <s v="Colors"/>
    <n v="2"/>
    <n v="903"/>
    <x v="103"/>
    <s v="February"/>
    <s v="Monday"/>
    <d v="1899-12-30T13:24:32"/>
    <x v="90"/>
    <x v="18"/>
    <s v="February"/>
    <x v="570"/>
    <x v="78"/>
    <s v="Kota"/>
    <s v="Valentine's Day"/>
    <n v="1806"/>
    <n v="3"/>
  </r>
  <r>
    <n v="576"/>
    <s v="C074"/>
    <n v="53"/>
    <s v="Ipsam Set"/>
    <s v="Sweets"/>
    <n v="4"/>
    <n v="1672"/>
    <x v="5"/>
    <s v="August"/>
    <s v="Sunday"/>
    <d v="1899-12-30T07:04:37"/>
    <x v="4"/>
    <x v="14"/>
    <s v="August"/>
    <x v="571"/>
    <x v="43"/>
    <s v="Aurangabad"/>
    <s v="Raksha Bandhan"/>
    <n v="6688"/>
    <n v="6"/>
  </r>
  <r>
    <n v="577"/>
    <s v="C008"/>
    <n v="20"/>
    <s v="Reiciendis Box"/>
    <s v="Colors"/>
    <n v="4"/>
    <n v="697"/>
    <x v="73"/>
    <s v="October"/>
    <s v="Saturday"/>
    <d v="1899-12-30T14:51:26"/>
    <x v="30"/>
    <x v="15"/>
    <s v="November"/>
    <x v="572"/>
    <x v="51"/>
    <s v="Hazaribagh"/>
    <s v="Anniversary"/>
    <n v="2788"/>
    <n v="8"/>
  </r>
  <r>
    <n v="578"/>
    <s v="C008"/>
    <n v="18"/>
    <s v="Nemo Set"/>
    <s v="Plants"/>
    <n v="4"/>
    <n v="781"/>
    <x v="222"/>
    <s v="July"/>
    <s v="Monday"/>
    <d v="1899-12-30T18:27:40"/>
    <x v="232"/>
    <x v="23"/>
    <s v="August"/>
    <x v="573"/>
    <x v="51"/>
    <s v="Warangal"/>
    <s v="Birthday"/>
    <n v="3124"/>
    <n v="6"/>
  </r>
  <r>
    <n v="579"/>
    <s v="C092"/>
    <n v="29"/>
    <s v="In Set"/>
    <s v="Colors"/>
    <n v="2"/>
    <n v="1252"/>
    <x v="15"/>
    <s v="March"/>
    <s v="Tuesday"/>
    <d v="1899-12-30T21:38:40"/>
    <x v="27"/>
    <x v="20"/>
    <s v="March"/>
    <x v="574"/>
    <x v="38"/>
    <s v="Maheshtala"/>
    <s v="Holi"/>
    <n v="2504"/>
    <n v="7"/>
  </r>
  <r>
    <n v="580"/>
    <s v="C093"/>
    <n v="24"/>
    <s v="Ad Box"/>
    <s v="Mugs"/>
    <n v="4"/>
    <n v="535"/>
    <x v="223"/>
    <s v="June"/>
    <s v="Friday"/>
    <d v="1899-12-30T22:03:12"/>
    <x v="233"/>
    <x v="3"/>
    <s v="June"/>
    <x v="575"/>
    <x v="74"/>
    <s v="Bhatpara"/>
    <s v="Birthday"/>
    <n v="2140"/>
    <n v="4"/>
  </r>
  <r>
    <n v="581"/>
    <s v="C082"/>
    <n v="18"/>
    <s v="Nemo Set"/>
    <s v="Plants"/>
    <n v="2"/>
    <n v="781"/>
    <x v="207"/>
    <s v="July"/>
    <s v="Sunday"/>
    <d v="1899-12-30T02:08:23"/>
    <x v="226"/>
    <x v="10"/>
    <s v="July"/>
    <x v="576"/>
    <x v="59"/>
    <s v="Anand"/>
    <s v="Birthday"/>
    <n v="1562"/>
    <n v="9"/>
  </r>
  <r>
    <n v="582"/>
    <s v="C019"/>
    <n v="3"/>
    <s v="Eius Gift"/>
    <s v="Colors"/>
    <n v="4"/>
    <n v="1534"/>
    <x v="56"/>
    <s v="February"/>
    <s v="Saturday"/>
    <d v="1899-12-30T18:30:31"/>
    <x v="234"/>
    <x v="23"/>
    <s v="February"/>
    <x v="577"/>
    <x v="1"/>
    <s v="Latur"/>
    <s v="Valentine's Day"/>
    <n v="6136"/>
    <n v="1"/>
  </r>
  <r>
    <n v="583"/>
    <s v="C025"/>
    <n v="56"/>
    <s v="Quia Gift"/>
    <s v="Raksha Bandhan"/>
    <n v="4"/>
    <n v="1272"/>
    <x v="112"/>
    <s v="September"/>
    <s v="Monday"/>
    <d v="1899-12-30T16:47:25"/>
    <x v="67"/>
    <x v="8"/>
    <s v="September"/>
    <x v="578"/>
    <x v="84"/>
    <s v="Hosur"/>
    <s v="Anniversary"/>
    <n v="5088"/>
    <n v="4"/>
  </r>
  <r>
    <n v="584"/>
    <s v="C089"/>
    <n v="34"/>
    <s v="Placeat Pack"/>
    <s v="Soft Toys"/>
    <n v="2"/>
    <n v="1335"/>
    <x v="61"/>
    <s v="August"/>
    <s v="Wednesday"/>
    <d v="1899-12-30T07:39:30"/>
    <x v="42"/>
    <x v="14"/>
    <s v="August"/>
    <x v="579"/>
    <x v="76"/>
    <s v="Eluru"/>
    <s v="Raksha Bandhan"/>
    <n v="2670"/>
    <n v="4"/>
  </r>
  <r>
    <n v="585"/>
    <s v="C013"/>
    <n v="63"/>
    <s v="Adipisci Set"/>
    <s v="Sweets"/>
    <n v="5"/>
    <n v="1348"/>
    <x v="224"/>
    <s v="April"/>
    <s v="Wednesday"/>
    <d v="1899-12-30T18:32:41"/>
    <x v="235"/>
    <x v="23"/>
    <s v="May"/>
    <x v="580"/>
    <x v="14"/>
    <s v="Bhubaneswar"/>
    <s v="All Occasions"/>
    <n v="6740"/>
    <n v="5"/>
  </r>
  <r>
    <n v="586"/>
    <s v="C068"/>
    <n v="64"/>
    <s v="Nostrum Box"/>
    <s v="Soft Toys"/>
    <n v="5"/>
    <n v="1878"/>
    <x v="100"/>
    <s v="August"/>
    <s v="Sunday"/>
    <d v="1899-12-30T21:04:38"/>
    <x v="126"/>
    <x v="20"/>
    <s v="September"/>
    <x v="581"/>
    <x v="34"/>
    <s v="Bilaspur"/>
    <s v="Raksha Bandhan"/>
    <n v="9390"/>
    <n v="8"/>
  </r>
  <r>
    <n v="587"/>
    <s v="C018"/>
    <n v="43"/>
    <s v="Quisquam Pack"/>
    <s v="Raksha Bandhan"/>
    <n v="1"/>
    <n v="750"/>
    <x v="31"/>
    <s v="November"/>
    <s v="Thursday"/>
    <d v="1899-12-30T00:51:24"/>
    <x v="95"/>
    <x v="5"/>
    <s v="November"/>
    <x v="582"/>
    <x v="20"/>
    <s v="Panchkula"/>
    <s v="Diwali"/>
    <n v="750"/>
    <n v="1"/>
  </r>
  <r>
    <n v="588"/>
    <s v="C056"/>
    <n v="49"/>
    <s v="Voluptate Pack"/>
    <s v="Colors"/>
    <n v="5"/>
    <n v="903"/>
    <x v="56"/>
    <s v="February"/>
    <s v="Saturday"/>
    <d v="1899-12-30T06:37:00"/>
    <x v="234"/>
    <x v="22"/>
    <s v="February"/>
    <x v="583"/>
    <x v="2"/>
    <s v="Kishanganj"/>
    <s v="Valentine's Day"/>
    <n v="4515"/>
    <n v="1"/>
  </r>
  <r>
    <n v="589"/>
    <s v="C093"/>
    <n v="40"/>
    <s v="Provident Pack"/>
    <s v="Sweets"/>
    <n v="3"/>
    <n v="1923"/>
    <x v="225"/>
    <s v="December"/>
    <s v="Saturday"/>
    <d v="1899-12-30T21:23:17"/>
    <x v="200"/>
    <x v="20"/>
    <s v="December"/>
    <x v="584"/>
    <x v="74"/>
    <s v="Lucknow"/>
    <s v="Anniversary"/>
    <n v="5769"/>
    <n v="10"/>
  </r>
  <r>
    <n v="590"/>
    <s v="C006"/>
    <n v="23"/>
    <s v="Dignissimos Pack"/>
    <s v="Sweets"/>
    <n v="2"/>
    <n v="1098"/>
    <x v="226"/>
    <s v="January"/>
    <s v="Thursday"/>
    <d v="1899-12-30T21:36:21"/>
    <x v="103"/>
    <x v="20"/>
    <s v="January"/>
    <x v="585"/>
    <x v="33"/>
    <s v="Durg"/>
    <s v="Anniversary"/>
    <n v="2196"/>
    <n v="4"/>
  </r>
  <r>
    <n v="591"/>
    <s v="C002"/>
    <n v="31"/>
    <s v="Nihil Box"/>
    <s v="Colors"/>
    <n v="3"/>
    <n v="1804"/>
    <x v="48"/>
    <s v="July"/>
    <s v="Thursday"/>
    <d v="1899-12-30T12:56:00"/>
    <x v="52"/>
    <x v="19"/>
    <s v="July"/>
    <x v="586"/>
    <x v="83"/>
    <s v="Surat"/>
    <s v="All Occasions"/>
    <n v="5412"/>
    <n v="8"/>
  </r>
  <r>
    <n v="592"/>
    <s v="C007"/>
    <n v="47"/>
    <s v="Harum Pack"/>
    <s v="Colors"/>
    <n v="5"/>
    <n v="1638"/>
    <x v="15"/>
    <s v="March"/>
    <s v="Tuesday"/>
    <d v="1899-12-30T03:27:03"/>
    <x v="57"/>
    <x v="9"/>
    <s v="March"/>
    <x v="587"/>
    <x v="70"/>
    <s v="Phusro"/>
    <s v="Holi"/>
    <n v="8190"/>
    <n v="4"/>
  </r>
  <r>
    <n v="593"/>
    <s v="C016"/>
    <n v="58"/>
    <s v="Sed Pack"/>
    <s v="Cake"/>
    <n v="3"/>
    <n v="1492"/>
    <x v="81"/>
    <s v="February"/>
    <s v="Sunday"/>
    <d v="1899-12-30T17:30:40"/>
    <x v="17"/>
    <x v="21"/>
    <s v="February"/>
    <x v="588"/>
    <x v="73"/>
    <s v="Bhilai"/>
    <s v="Valentine's Day"/>
    <n v="4476"/>
    <n v="7"/>
  </r>
  <r>
    <n v="594"/>
    <s v="C060"/>
    <n v="20"/>
    <s v="Reiciendis Box"/>
    <s v="Colors"/>
    <n v="2"/>
    <n v="697"/>
    <x v="199"/>
    <s v="May"/>
    <s v="Friday"/>
    <d v="1899-12-30T21:26:03"/>
    <x v="158"/>
    <x v="20"/>
    <s v="June"/>
    <x v="589"/>
    <x v="55"/>
    <s v="Varanasi"/>
    <s v="Anniversary"/>
    <n v="1394"/>
    <n v="6"/>
  </r>
  <r>
    <n v="595"/>
    <s v="C022"/>
    <n v="51"/>
    <s v="Fugit Set"/>
    <s v="Soft Toys"/>
    <n v="4"/>
    <n v="1084"/>
    <x v="7"/>
    <s v="November"/>
    <s v="Wednesday"/>
    <d v="1899-12-30T13:49:19"/>
    <x v="12"/>
    <x v="18"/>
    <s v="November"/>
    <x v="590"/>
    <x v="67"/>
    <s v="Dhanbad"/>
    <s v="All Occasions"/>
    <n v="4336"/>
    <n v="7"/>
  </r>
  <r>
    <n v="596"/>
    <s v="C046"/>
    <n v="50"/>
    <s v="Eligendi Set"/>
    <s v="Plants"/>
    <n v="1"/>
    <n v="422"/>
    <x v="88"/>
    <s v="March"/>
    <s v="Sunday"/>
    <d v="1899-12-30T14:57:41"/>
    <x v="27"/>
    <x v="15"/>
    <s v="March"/>
    <x v="591"/>
    <x v="32"/>
    <s v="Tiruppur"/>
    <s v="Holi"/>
    <n v="422"/>
    <n v="9"/>
  </r>
  <r>
    <n v="597"/>
    <s v="C074"/>
    <n v="16"/>
    <s v="Ut Pack"/>
    <s v="Sweets"/>
    <n v="1"/>
    <n v="1721"/>
    <x v="125"/>
    <s v="March"/>
    <s v="Wednesday"/>
    <d v="1899-12-30T01:05:53"/>
    <x v="44"/>
    <x v="4"/>
    <s v="March"/>
    <x v="592"/>
    <x v="43"/>
    <s v="Pimpri-Chinchwad"/>
    <s v="Holi"/>
    <n v="1721"/>
    <n v="5"/>
  </r>
  <r>
    <n v="598"/>
    <s v="C054"/>
    <n v="37"/>
    <s v="Officiis Pack"/>
    <s v="Colors"/>
    <n v="3"/>
    <n v="1428"/>
    <x v="30"/>
    <s v="November"/>
    <s v="Saturday"/>
    <d v="1899-12-30T02:51:23"/>
    <x v="39"/>
    <x v="10"/>
    <s v="November"/>
    <x v="593"/>
    <x v="18"/>
    <s v="Ratlam"/>
    <s v="Diwali"/>
    <n v="4284"/>
    <n v="7"/>
  </r>
  <r>
    <n v="599"/>
    <s v="C004"/>
    <n v="34"/>
    <s v="Placeat Pack"/>
    <s v="Soft Toys"/>
    <n v="1"/>
    <n v="1335"/>
    <x v="128"/>
    <s v="August"/>
    <s v="Monday"/>
    <d v="1899-12-30T19:32:24"/>
    <x v="152"/>
    <x v="1"/>
    <s v="August"/>
    <x v="594"/>
    <x v="75"/>
    <s v="Naihati"/>
    <s v="Raksha Bandhan"/>
    <n v="1335"/>
    <n v="3"/>
  </r>
  <r>
    <n v="600"/>
    <s v="C095"/>
    <n v="47"/>
    <s v="Harum Pack"/>
    <s v="Colors"/>
    <n v="4"/>
    <n v="1638"/>
    <x v="15"/>
    <s v="March"/>
    <s v="Tuesday"/>
    <d v="1899-12-30T21:24:39"/>
    <x v="170"/>
    <x v="20"/>
    <s v="March"/>
    <x v="595"/>
    <x v="40"/>
    <s v="Shimla"/>
    <s v="Holi"/>
    <n v="6552"/>
    <n v="2"/>
  </r>
  <r>
    <n v="601"/>
    <s v="C030"/>
    <n v="1"/>
    <s v="Magnam Set"/>
    <s v="Soft Toys"/>
    <n v="4"/>
    <n v="1935"/>
    <x v="68"/>
    <s v="March"/>
    <s v="Tuesday"/>
    <d v="1899-12-30T02:37:47"/>
    <x v="99"/>
    <x v="10"/>
    <s v="March"/>
    <x v="596"/>
    <x v="64"/>
    <s v="Raurkela Industrial Township"/>
    <s v="All Occasions"/>
    <n v="7740"/>
    <n v="4"/>
  </r>
  <r>
    <n v="602"/>
    <s v="C042"/>
    <n v="43"/>
    <s v="Quisquam Pack"/>
    <s v="Raksha Bandhan"/>
    <n v="5"/>
    <n v="750"/>
    <x v="31"/>
    <s v="November"/>
    <s v="Thursday"/>
    <d v="1899-12-30T10:17:25"/>
    <x v="108"/>
    <x v="13"/>
    <s v="November"/>
    <x v="597"/>
    <x v="12"/>
    <s v="Buxar"/>
    <s v="Diwali"/>
    <n v="3750"/>
    <n v="9"/>
  </r>
  <r>
    <n v="603"/>
    <s v="C079"/>
    <n v="8"/>
    <s v="Qui Box"/>
    <s v="Sweets"/>
    <n v="3"/>
    <n v="252"/>
    <x v="67"/>
    <s v="May"/>
    <s v="Monday"/>
    <d v="1899-12-30T05:23:57"/>
    <x v="236"/>
    <x v="16"/>
    <s v="June"/>
    <x v="598"/>
    <x v="79"/>
    <s v="Tiruvottiyur"/>
    <s v="Anniversary"/>
    <n v="756"/>
    <n v="9"/>
  </r>
  <r>
    <n v="604"/>
    <s v="C069"/>
    <n v="39"/>
    <s v="Voluptate Set"/>
    <s v="Mugs"/>
    <n v="3"/>
    <n v="387"/>
    <x v="195"/>
    <s v="January"/>
    <s v="Tuesday"/>
    <d v="1899-12-30T19:54:56"/>
    <x v="202"/>
    <x v="1"/>
    <s v="February"/>
    <x v="599"/>
    <x v="13"/>
    <s v="Tadipatri"/>
    <s v="All Occasions"/>
    <n v="1161"/>
    <n v="3"/>
  </r>
  <r>
    <n v="605"/>
    <s v="C068"/>
    <n v="45"/>
    <s v="Iusto Set"/>
    <s v="Raksha Bandhan"/>
    <n v="2"/>
    <n v="722"/>
    <x v="227"/>
    <s v="December"/>
    <s v="Thursday"/>
    <d v="1899-12-30T22:21:06"/>
    <x v="237"/>
    <x v="3"/>
    <s v="December"/>
    <x v="600"/>
    <x v="34"/>
    <s v="Kakinada"/>
    <s v="Birthday"/>
    <n v="1444"/>
    <n v="4"/>
  </r>
  <r>
    <n v="606"/>
    <s v="C047"/>
    <n v="3"/>
    <s v="Eius Gift"/>
    <s v="Colors"/>
    <n v="5"/>
    <n v="1534"/>
    <x v="41"/>
    <s v="February"/>
    <s v="Wednesday"/>
    <d v="1899-12-30T02:13:13"/>
    <x v="197"/>
    <x v="10"/>
    <s v="February"/>
    <x v="601"/>
    <x v="25"/>
    <s v="Sambalpur"/>
    <s v="Valentine's Day"/>
    <n v="7670"/>
    <n v="9"/>
  </r>
  <r>
    <n v="607"/>
    <s v="C028"/>
    <n v="50"/>
    <s v="Eligendi Set"/>
    <s v="Plants"/>
    <n v="3"/>
    <n v="422"/>
    <x v="52"/>
    <s v="March"/>
    <s v="Friday"/>
    <d v="1899-12-30T01:50:25"/>
    <x v="0"/>
    <x v="4"/>
    <s v="March"/>
    <x v="602"/>
    <x v="48"/>
    <s v="Bidhannagar"/>
    <s v="Holi"/>
    <n v="1266"/>
    <n v="2"/>
  </r>
  <r>
    <n v="608"/>
    <s v="C030"/>
    <n v="55"/>
    <s v="Dolores Gift"/>
    <s v="Soft Toys"/>
    <n v="5"/>
    <n v="1904"/>
    <x v="110"/>
    <s v="August"/>
    <s v="Monday"/>
    <d v="1899-12-30T20:30:15"/>
    <x v="141"/>
    <x v="6"/>
    <s v="September"/>
    <x v="603"/>
    <x v="64"/>
    <s v="Etawah"/>
    <s v="Raksha Bandhan"/>
    <n v="9520"/>
    <n v="4"/>
  </r>
  <r>
    <n v="609"/>
    <s v="C024"/>
    <n v="25"/>
    <s v="Qui Gift"/>
    <s v="Plants"/>
    <n v="5"/>
    <n v="1202"/>
    <x v="228"/>
    <s v="October"/>
    <s v="Friday"/>
    <d v="1899-12-30T11:08:56"/>
    <x v="238"/>
    <x v="12"/>
    <s v="October"/>
    <x v="604"/>
    <x v="11"/>
    <s v="Hazaribagh"/>
    <s v="Anniversary"/>
    <n v="6010"/>
    <n v="1"/>
  </r>
  <r>
    <n v="610"/>
    <s v="C068"/>
    <n v="5"/>
    <s v="Natus Gift"/>
    <s v="Colors"/>
    <n v="3"/>
    <n v="1444"/>
    <x v="118"/>
    <s v="January"/>
    <s v="Tuesday"/>
    <d v="1899-12-30T17:25:41"/>
    <x v="239"/>
    <x v="21"/>
    <s v="January"/>
    <x v="605"/>
    <x v="34"/>
    <s v="Sirsa"/>
    <s v="All Occasions"/>
    <n v="4332"/>
    <n v="2"/>
  </r>
  <r>
    <n v="611"/>
    <s v="C056"/>
    <n v="28"/>
    <s v="Velit Set"/>
    <s v="Sweets"/>
    <n v="2"/>
    <n v="1778"/>
    <x v="22"/>
    <s v="August"/>
    <s v="Tuesday"/>
    <d v="1899-12-30T21:17:50"/>
    <x v="56"/>
    <x v="20"/>
    <s v="August"/>
    <x v="606"/>
    <x v="2"/>
    <s v="Latur"/>
    <s v="Raksha Bandhan"/>
    <n v="3556"/>
    <n v="6"/>
  </r>
  <r>
    <n v="612"/>
    <s v="C075"/>
    <n v="26"/>
    <s v="Aliquam Box"/>
    <s v="Colors"/>
    <n v="1"/>
    <n v="289"/>
    <x v="9"/>
    <s v="March"/>
    <s v="Thursday"/>
    <d v="1899-12-30T10:22:25"/>
    <x v="8"/>
    <x v="13"/>
    <s v="March"/>
    <x v="607"/>
    <x v="60"/>
    <s v="Shivpuri"/>
    <s v="Holi"/>
    <n v="289"/>
    <n v="6"/>
  </r>
  <r>
    <n v="613"/>
    <s v="C063"/>
    <n v="4"/>
    <s v="Accusantium Set"/>
    <s v="Sweets"/>
    <n v="5"/>
    <n v="1199"/>
    <x v="87"/>
    <s v="November"/>
    <s v="Friday"/>
    <d v="1899-12-30T17:54:34"/>
    <x v="6"/>
    <x v="21"/>
    <s v="November"/>
    <x v="608"/>
    <x v="22"/>
    <s v="Gwalior"/>
    <s v="Diwali"/>
    <n v="5995"/>
    <n v="4"/>
  </r>
  <r>
    <n v="614"/>
    <s v="C089"/>
    <n v="26"/>
    <s v="Aliquam Box"/>
    <s v="Colors"/>
    <n v="1"/>
    <n v="289"/>
    <x v="52"/>
    <s v="March"/>
    <s v="Friday"/>
    <d v="1899-12-30T15:36:13"/>
    <x v="32"/>
    <x v="11"/>
    <s v="March"/>
    <x v="609"/>
    <x v="76"/>
    <s v="Aizawl"/>
    <s v="Holi"/>
    <n v="289"/>
    <n v="4"/>
  </r>
  <r>
    <n v="615"/>
    <s v="C020"/>
    <n v="28"/>
    <s v="Velit Set"/>
    <s v="Sweets"/>
    <n v="3"/>
    <n v="1778"/>
    <x v="49"/>
    <s v="August"/>
    <s v="Friday"/>
    <d v="1899-12-30T21:11:09"/>
    <x v="141"/>
    <x v="20"/>
    <s v="September"/>
    <x v="610"/>
    <x v="36"/>
    <s v="Allahabad"/>
    <s v="Raksha Bandhan"/>
    <n v="5334"/>
    <n v="7"/>
  </r>
  <r>
    <n v="616"/>
    <s v="C006"/>
    <n v="44"/>
    <s v="Dolorum Set"/>
    <s v="Plants"/>
    <n v="5"/>
    <n v="794"/>
    <x v="7"/>
    <s v="November"/>
    <s v="Wednesday"/>
    <d v="1899-12-30T23:57:57"/>
    <x v="60"/>
    <x v="0"/>
    <s v="November"/>
    <x v="611"/>
    <x v="33"/>
    <s v="Phagwara"/>
    <s v="Diwali"/>
    <n v="3970"/>
    <n v="4"/>
  </r>
  <r>
    <n v="617"/>
    <s v="C083"/>
    <n v="22"/>
    <s v="Exercitationem Pack"/>
    <s v="Soft Toys"/>
    <n v="1"/>
    <n v="1639"/>
    <x v="229"/>
    <s v="February"/>
    <s v="Sunday"/>
    <d v="1899-12-30T02:53:42"/>
    <x v="37"/>
    <x v="10"/>
    <s v="February"/>
    <x v="612"/>
    <x v="62"/>
    <s v="Uluberia"/>
    <s v="All Occasions"/>
    <n v="1639"/>
    <n v="9"/>
  </r>
  <r>
    <n v="618"/>
    <s v="C073"/>
    <n v="60"/>
    <s v="Ea Set"/>
    <s v="Sweets"/>
    <n v="4"/>
    <n v="827"/>
    <x v="159"/>
    <s v="November"/>
    <s v="Sunday"/>
    <d v="1899-12-30T16:09:13"/>
    <x v="12"/>
    <x v="8"/>
    <s v="November"/>
    <x v="613"/>
    <x v="82"/>
    <s v="Lucknow"/>
    <s v="Diwali"/>
    <n v="3308"/>
    <n v="10"/>
  </r>
  <r>
    <n v="619"/>
    <s v="C091"/>
    <n v="35"/>
    <s v="Nam Gift"/>
    <s v="Colors"/>
    <n v="1"/>
    <n v="1865"/>
    <x v="21"/>
    <s v="March"/>
    <s v="Monday"/>
    <d v="1899-12-30T07:18:46"/>
    <x v="116"/>
    <x v="14"/>
    <s v="March"/>
    <x v="614"/>
    <x v="21"/>
    <s v="Patiala"/>
    <s v="Holi"/>
    <n v="1865"/>
    <n v="10"/>
  </r>
  <r>
    <n v="620"/>
    <s v="C074"/>
    <n v="67"/>
    <s v="Maiores Box"/>
    <s v="Raksha Bandhan"/>
    <n v="3"/>
    <n v="1374"/>
    <x v="230"/>
    <s v="July"/>
    <s v="Tuesday"/>
    <d v="1899-12-30T22:23:01"/>
    <x v="240"/>
    <x v="3"/>
    <s v="July"/>
    <x v="615"/>
    <x v="43"/>
    <s v="Chapra"/>
    <s v="Anniversary"/>
    <n v="4122"/>
    <n v="7"/>
  </r>
  <r>
    <n v="621"/>
    <s v="C070"/>
    <n v="64"/>
    <s v="Nostrum Box"/>
    <s v="Soft Toys"/>
    <n v="3"/>
    <n v="1878"/>
    <x v="5"/>
    <s v="August"/>
    <s v="Sunday"/>
    <d v="1899-12-30T07:17:03"/>
    <x v="56"/>
    <x v="14"/>
    <s v="August"/>
    <x v="616"/>
    <x v="66"/>
    <s v="Ahmedabad"/>
    <s v="Raksha Bandhan"/>
    <n v="5634"/>
    <n v="8"/>
  </r>
  <r>
    <n v="622"/>
    <s v="C084"/>
    <n v="4"/>
    <s v="Accusantium Set"/>
    <s v="Sweets"/>
    <n v="4"/>
    <n v="1199"/>
    <x v="7"/>
    <s v="November"/>
    <s v="Wednesday"/>
    <d v="1899-12-30T14:13:32"/>
    <x v="148"/>
    <x v="15"/>
    <s v="November"/>
    <x v="617"/>
    <x v="68"/>
    <s v="Bhiwandi"/>
    <s v="Diwali"/>
    <n v="4796"/>
    <n v="1"/>
  </r>
  <r>
    <n v="623"/>
    <s v="C045"/>
    <n v="37"/>
    <s v="Officiis Pack"/>
    <s v="Colors"/>
    <n v="2"/>
    <n v="1428"/>
    <x v="7"/>
    <s v="November"/>
    <s v="Wednesday"/>
    <d v="1899-12-30T13:37:50"/>
    <x v="39"/>
    <x v="18"/>
    <s v="November"/>
    <x v="618"/>
    <x v="39"/>
    <s v="Lucknow"/>
    <s v="Diwali"/>
    <n v="2856"/>
    <n v="10"/>
  </r>
  <r>
    <n v="624"/>
    <s v="C024"/>
    <n v="53"/>
    <s v="Ipsam Set"/>
    <s v="Sweets"/>
    <n v="5"/>
    <n v="1672"/>
    <x v="39"/>
    <s v="August"/>
    <s v="Tuesday"/>
    <d v="1899-12-30T09:19:59"/>
    <x v="141"/>
    <x v="17"/>
    <s v="September"/>
    <x v="619"/>
    <x v="11"/>
    <s v="Ambala"/>
    <s v="Raksha Bandhan"/>
    <n v="8360"/>
    <n v="3"/>
  </r>
  <r>
    <n v="625"/>
    <s v="C089"/>
    <n v="63"/>
    <s v="Adipisci Set"/>
    <s v="Sweets"/>
    <n v="5"/>
    <n v="1348"/>
    <x v="231"/>
    <s v="February"/>
    <s v="Thursday"/>
    <d v="1899-12-30T21:15:42"/>
    <x v="11"/>
    <x v="20"/>
    <s v="March"/>
    <x v="620"/>
    <x v="76"/>
    <s v="Belgaum"/>
    <s v="All Occasions"/>
    <n v="6740"/>
    <n v="9"/>
  </r>
  <r>
    <n v="626"/>
    <s v="C024"/>
    <n v="40"/>
    <s v="Provident Pack"/>
    <s v="Sweets"/>
    <n v="5"/>
    <n v="1923"/>
    <x v="232"/>
    <s v="September"/>
    <s v="Saturday"/>
    <d v="1899-12-30T15:12:58"/>
    <x v="241"/>
    <x v="11"/>
    <s v="September"/>
    <x v="621"/>
    <x v="11"/>
    <s v="Bellary"/>
    <s v="Anniversary"/>
    <n v="9615"/>
    <n v="4"/>
  </r>
  <r>
    <n v="627"/>
    <s v="C024"/>
    <n v="51"/>
    <s v="Fugit Set"/>
    <s v="Soft Toys"/>
    <n v="4"/>
    <n v="1084"/>
    <x v="81"/>
    <s v="February"/>
    <s v="Sunday"/>
    <d v="1899-12-30T04:30:25"/>
    <x v="62"/>
    <x v="2"/>
    <s v="February"/>
    <x v="622"/>
    <x v="11"/>
    <s v="Sirsa"/>
    <s v="All Occasions"/>
    <n v="4336"/>
    <n v="3"/>
  </r>
  <r>
    <n v="628"/>
    <s v="C061"/>
    <n v="11"/>
    <s v="Maxime Set"/>
    <s v="Mugs"/>
    <n v="5"/>
    <n v="1096"/>
    <x v="29"/>
    <s v="February"/>
    <s v="Friday"/>
    <d v="1899-12-30T21:50:27"/>
    <x v="43"/>
    <x v="20"/>
    <s v="February"/>
    <x v="623"/>
    <x v="11"/>
    <s v="Ongole"/>
    <s v="Valentine's Day"/>
    <n v="5480"/>
    <n v="3"/>
  </r>
  <r>
    <n v="629"/>
    <s v="C032"/>
    <n v="28"/>
    <s v="Velit Set"/>
    <s v="Sweets"/>
    <n v="5"/>
    <n v="1778"/>
    <x v="100"/>
    <s v="August"/>
    <s v="Sunday"/>
    <d v="1899-12-30T09:09:01"/>
    <x v="126"/>
    <x v="17"/>
    <s v="September"/>
    <x v="624"/>
    <x v="54"/>
    <s v="Sangli-Miraj &amp; Kupwad"/>
    <s v="Raksha Bandhan"/>
    <n v="8890"/>
    <n v="8"/>
  </r>
  <r>
    <n v="630"/>
    <s v="C071"/>
    <n v="67"/>
    <s v="Maiores Box"/>
    <s v="Raksha Bandhan"/>
    <n v="3"/>
    <n v="1374"/>
    <x v="216"/>
    <s v="February"/>
    <s v="Tuesday"/>
    <d v="1899-12-30T21:37:47"/>
    <x v="81"/>
    <x v="20"/>
    <s v="March"/>
    <x v="625"/>
    <x v="26"/>
    <s v="Karimnagar"/>
    <s v="Anniversary"/>
    <n v="4122"/>
    <n v="8"/>
  </r>
  <r>
    <n v="631"/>
    <s v="C044"/>
    <n v="32"/>
    <s v="Fuga Set"/>
    <s v="Soft Toys"/>
    <n v="4"/>
    <n v="1792"/>
    <x v="40"/>
    <s v="April"/>
    <s v="Thursday"/>
    <d v="1899-12-30T21:41:50"/>
    <x v="124"/>
    <x v="20"/>
    <s v="April"/>
    <x v="626"/>
    <x v="8"/>
    <s v="Gopalpur"/>
    <s v="Birthday"/>
    <n v="7168"/>
    <n v="4"/>
  </r>
  <r>
    <n v="632"/>
    <s v="C075"/>
    <n v="51"/>
    <s v="Fugit Set"/>
    <s v="Soft Toys"/>
    <n v="1"/>
    <n v="1084"/>
    <x v="230"/>
    <s v="July"/>
    <s v="Tuesday"/>
    <d v="1899-12-30T22:35:01"/>
    <x v="227"/>
    <x v="3"/>
    <s v="July"/>
    <x v="627"/>
    <x v="60"/>
    <s v="Adoni"/>
    <s v="All Occasions"/>
    <n v="1084"/>
    <n v="1"/>
  </r>
  <r>
    <n v="633"/>
    <s v="C031"/>
    <n v="52"/>
    <s v="Dolorum Box"/>
    <s v="Raksha Bandhan"/>
    <n v="5"/>
    <n v="236"/>
    <x v="29"/>
    <s v="February"/>
    <s v="Friday"/>
    <d v="1899-12-30T14:44:42"/>
    <x v="28"/>
    <x v="15"/>
    <s v="February"/>
    <x v="628"/>
    <x v="35"/>
    <s v="Surat"/>
    <s v="Valentine's Day"/>
    <n v="1180"/>
    <n v="5"/>
  </r>
  <r>
    <n v="634"/>
    <s v="C038"/>
    <n v="57"/>
    <s v="Voluptatem Box"/>
    <s v="Colors"/>
    <n v="3"/>
    <n v="1582"/>
    <x v="111"/>
    <s v="May"/>
    <s v="Sunday"/>
    <d v="1899-12-30T06:36:16"/>
    <x v="118"/>
    <x v="22"/>
    <s v="May"/>
    <x v="629"/>
    <x v="53"/>
    <s v="Fatehpur"/>
    <s v="Birthday"/>
    <n v="4746"/>
    <n v="4"/>
  </r>
  <r>
    <n v="635"/>
    <s v="C095"/>
    <n v="67"/>
    <s v="Maiores Box"/>
    <s v="Raksha Bandhan"/>
    <n v="1"/>
    <n v="1374"/>
    <x v="37"/>
    <s v="November"/>
    <s v="Sunday"/>
    <d v="1899-12-30T18:37:11"/>
    <x v="120"/>
    <x v="23"/>
    <s v="November"/>
    <x v="630"/>
    <x v="40"/>
    <s v="Navi Mumbai"/>
    <s v="Anniversary"/>
    <n v="1374"/>
    <n v="10"/>
  </r>
  <r>
    <n v="636"/>
    <s v="C067"/>
    <n v="53"/>
    <s v="Ipsam Set"/>
    <s v="Sweets"/>
    <n v="2"/>
    <n v="1672"/>
    <x v="49"/>
    <s v="August"/>
    <s v="Friday"/>
    <d v="1899-12-30T07:18:26"/>
    <x v="66"/>
    <x v="14"/>
    <s v="September"/>
    <x v="631"/>
    <x v="29"/>
    <s v="Panipat"/>
    <s v="Raksha Bandhan"/>
    <n v="3344"/>
    <n v="8"/>
  </r>
  <r>
    <n v="637"/>
    <s v="C056"/>
    <n v="51"/>
    <s v="Fugit Set"/>
    <s v="Soft Toys"/>
    <n v="3"/>
    <n v="1084"/>
    <x v="139"/>
    <s v="March"/>
    <s v="Sunday"/>
    <d v="1899-12-30T19:29:26"/>
    <x v="242"/>
    <x v="1"/>
    <s v="March"/>
    <x v="632"/>
    <x v="2"/>
    <s v="Darbhanga"/>
    <s v="All Occasions"/>
    <n v="3252"/>
    <n v="8"/>
  </r>
  <r>
    <n v="638"/>
    <s v="C060"/>
    <n v="39"/>
    <s v="Voluptate Set"/>
    <s v="Mugs"/>
    <n v="1"/>
    <n v="387"/>
    <x v="233"/>
    <s v="April"/>
    <s v="Sunday"/>
    <d v="1899-12-30T02:13:33"/>
    <x v="96"/>
    <x v="10"/>
    <s v="April"/>
    <x v="633"/>
    <x v="55"/>
    <s v="Mira-Bhayandar"/>
    <s v="All Occasions"/>
    <n v="387"/>
    <n v="4"/>
  </r>
  <r>
    <n v="639"/>
    <s v="C098"/>
    <n v="24"/>
    <s v="Ad Box"/>
    <s v="Mugs"/>
    <n v="1"/>
    <n v="535"/>
    <x v="199"/>
    <s v="May"/>
    <s v="Friday"/>
    <d v="1899-12-30T02:36:31"/>
    <x v="243"/>
    <x v="10"/>
    <s v="May"/>
    <x v="634"/>
    <x v="77"/>
    <s v="Amaravati"/>
    <s v="Birthday"/>
    <n v="535"/>
    <n v="5"/>
  </r>
  <r>
    <n v="640"/>
    <s v="C089"/>
    <n v="59"/>
    <s v="Pariatur Box"/>
    <s v="Cake"/>
    <n v="3"/>
    <n v="811"/>
    <x v="61"/>
    <s v="August"/>
    <s v="Wednesday"/>
    <d v="1899-12-30T06:16:51"/>
    <x v="53"/>
    <x v="22"/>
    <s v="August"/>
    <x v="635"/>
    <x v="76"/>
    <s v="Bathinda"/>
    <s v="Raksha Bandhan"/>
    <n v="2433"/>
    <n v="8"/>
  </r>
  <r>
    <n v="641"/>
    <s v="C063"/>
    <n v="15"/>
    <s v="Repudiandae Box"/>
    <s v="Raksha Bandhan"/>
    <n v="4"/>
    <n v="1488"/>
    <x v="211"/>
    <s v="May"/>
    <s v="Thursday"/>
    <d v="1899-12-30T23:59:56"/>
    <x v="244"/>
    <x v="0"/>
    <s v="May"/>
    <x v="636"/>
    <x v="22"/>
    <s v="South Dumdum"/>
    <s v="Anniversary"/>
    <n v="5952"/>
    <n v="8"/>
  </r>
  <r>
    <n v="642"/>
    <s v="C021"/>
    <n v="44"/>
    <s v="Dolorum Set"/>
    <s v="Plants"/>
    <n v="5"/>
    <n v="794"/>
    <x v="31"/>
    <s v="November"/>
    <s v="Thursday"/>
    <d v="1899-12-30T05:26:04"/>
    <x v="112"/>
    <x v="16"/>
    <s v="November"/>
    <x v="637"/>
    <x v="85"/>
    <s v="Kozhikode"/>
    <s v="Diwali"/>
    <n v="3970"/>
    <n v="5"/>
  </r>
  <r>
    <n v="643"/>
    <s v="C063"/>
    <n v="35"/>
    <s v="Nam Gift"/>
    <s v="Colors"/>
    <n v="2"/>
    <n v="1865"/>
    <x v="8"/>
    <s v="February"/>
    <s v="Sunday"/>
    <d v="1899-12-30T13:10:24"/>
    <x v="44"/>
    <x v="18"/>
    <s v="March"/>
    <x v="638"/>
    <x v="22"/>
    <s v="Malda"/>
    <s v="Holi"/>
    <n v="3730"/>
    <n v="8"/>
  </r>
  <r>
    <n v="644"/>
    <s v="C050"/>
    <n v="67"/>
    <s v="Maiores Box"/>
    <s v="Raksha Bandhan"/>
    <n v="1"/>
    <n v="1374"/>
    <x v="47"/>
    <s v="September"/>
    <s v="Friday"/>
    <d v="1899-12-30T14:54:36"/>
    <x v="50"/>
    <x v="15"/>
    <s v="September"/>
    <x v="639"/>
    <x v="27"/>
    <s v="Parbhani"/>
    <s v="Anniversary"/>
    <n v="1374"/>
    <n v="10"/>
  </r>
  <r>
    <n v="645"/>
    <s v="C033"/>
    <n v="50"/>
    <s v="Eligendi Set"/>
    <s v="Plants"/>
    <n v="3"/>
    <n v="422"/>
    <x v="64"/>
    <s v="February"/>
    <s v="Monday"/>
    <d v="1899-12-30T01:46:39"/>
    <x v="37"/>
    <x v="4"/>
    <s v="February"/>
    <x v="640"/>
    <x v="45"/>
    <s v="Danapur"/>
    <s v="Holi"/>
    <n v="1266"/>
    <n v="1"/>
  </r>
  <r>
    <n v="646"/>
    <s v="C015"/>
    <n v="38"/>
    <s v="Mollitia Set"/>
    <s v="Cake"/>
    <n v="5"/>
    <n v="562"/>
    <x v="234"/>
    <s v="May"/>
    <s v="Saturday"/>
    <d v="1899-12-30T16:30:10"/>
    <x v="245"/>
    <x v="8"/>
    <s v="May"/>
    <x v="641"/>
    <x v="44"/>
    <s v="Morbi"/>
    <s v="Birthday"/>
    <n v="2810"/>
    <n v="10"/>
  </r>
  <r>
    <n v="647"/>
    <s v="C069"/>
    <n v="21"/>
    <s v="Quia Gift"/>
    <s v="Colors"/>
    <n v="5"/>
    <n v="1561"/>
    <x v="49"/>
    <s v="August"/>
    <s v="Friday"/>
    <d v="1899-12-30T17:00:25"/>
    <x v="4"/>
    <x v="21"/>
    <s v="August"/>
    <x v="642"/>
    <x v="13"/>
    <s v="Anantapuram"/>
    <s v="Raksha Bandhan"/>
    <n v="7805"/>
    <n v="1"/>
  </r>
  <r>
    <n v="648"/>
    <s v="C040"/>
    <n v="41"/>
    <s v="Aut Box"/>
    <s v="Sweets"/>
    <n v="3"/>
    <n v="1977"/>
    <x v="159"/>
    <s v="November"/>
    <s v="Sunday"/>
    <d v="1899-12-30T19:06:16"/>
    <x v="148"/>
    <x v="1"/>
    <s v="November"/>
    <x v="643"/>
    <x v="5"/>
    <s v="Chittoor"/>
    <s v="Diwali"/>
    <n v="5931"/>
    <n v="4"/>
  </r>
  <r>
    <n v="649"/>
    <s v="C053"/>
    <n v="43"/>
    <s v="Quisquam Pack"/>
    <s v="Raksha Bandhan"/>
    <n v="3"/>
    <n v="750"/>
    <x v="31"/>
    <s v="November"/>
    <s v="Thursday"/>
    <d v="1899-12-30T03:05:41"/>
    <x v="108"/>
    <x v="9"/>
    <s v="November"/>
    <x v="644"/>
    <x v="52"/>
    <s v="Naihati"/>
    <s v="Diwali"/>
    <n v="2250"/>
    <n v="9"/>
  </r>
  <r>
    <n v="650"/>
    <s v="C077"/>
    <n v="32"/>
    <s v="Fuga Set"/>
    <s v="Soft Toys"/>
    <n v="3"/>
    <n v="1792"/>
    <x v="231"/>
    <s v="February"/>
    <s v="Thursday"/>
    <d v="1899-12-30T01:54:43"/>
    <x v="149"/>
    <x v="4"/>
    <s v="March"/>
    <x v="645"/>
    <x v="41"/>
    <s v="Guwahati"/>
    <s v="Birthday"/>
    <n v="5376"/>
    <n v="7"/>
  </r>
  <r>
    <n v="651"/>
    <s v="C017"/>
    <n v="11"/>
    <s v="Maxime Set"/>
    <s v="Mugs"/>
    <n v="4"/>
    <n v="1096"/>
    <x v="94"/>
    <s v="February"/>
    <s v="Monday"/>
    <d v="1899-12-30T02:16:28"/>
    <x v="223"/>
    <x v="10"/>
    <s v="February"/>
    <x v="646"/>
    <x v="46"/>
    <s v="Panihati"/>
    <s v="Valentine's Day"/>
    <n v="4384"/>
    <n v="6"/>
  </r>
  <r>
    <n v="652"/>
    <s v="C032"/>
    <n v="21"/>
    <s v="Quia Gift"/>
    <s v="Colors"/>
    <n v="2"/>
    <n v="1561"/>
    <x v="110"/>
    <s v="August"/>
    <s v="Monday"/>
    <d v="1899-12-30T19:41:09"/>
    <x v="104"/>
    <x v="1"/>
    <s v="September"/>
    <x v="647"/>
    <x v="54"/>
    <s v="Phagwara"/>
    <s v="Raksha Bandhan"/>
    <n v="3122"/>
    <n v="6"/>
  </r>
  <r>
    <n v="653"/>
    <s v="C076"/>
    <n v="17"/>
    <s v="Delectus Gift"/>
    <s v="Soft Toys"/>
    <n v="4"/>
    <n v="1899"/>
    <x v="235"/>
    <s v="November"/>
    <s v="Wednesday"/>
    <d v="1899-12-30T13:38:07"/>
    <x v="246"/>
    <x v="18"/>
    <s v="December"/>
    <x v="648"/>
    <x v="78"/>
    <s v="Bhilwara"/>
    <s v="Anniversary"/>
    <n v="7596"/>
    <n v="2"/>
  </r>
  <r>
    <n v="654"/>
    <s v="C019"/>
    <n v="64"/>
    <s v="Nostrum Box"/>
    <s v="Soft Toys"/>
    <n v="2"/>
    <n v="1878"/>
    <x v="39"/>
    <s v="August"/>
    <s v="Tuesday"/>
    <d v="1899-12-30T04:53:15"/>
    <x v="66"/>
    <x v="2"/>
    <s v="September"/>
    <x v="649"/>
    <x v="1"/>
    <s v="Jhansi"/>
    <s v="Raksha Bandhan"/>
    <n v="3756"/>
    <n v="4"/>
  </r>
  <r>
    <n v="655"/>
    <s v="C015"/>
    <n v="17"/>
    <s v="Delectus Gift"/>
    <s v="Soft Toys"/>
    <n v="1"/>
    <n v="1899"/>
    <x v="7"/>
    <s v="November"/>
    <s v="Wednesday"/>
    <d v="1899-12-30T21:19:04"/>
    <x v="166"/>
    <x v="20"/>
    <s v="November"/>
    <x v="650"/>
    <x v="44"/>
    <s v="Jalna"/>
    <s v="Anniversary"/>
    <n v="1899"/>
    <n v="9"/>
  </r>
  <r>
    <n v="656"/>
    <s v="C032"/>
    <n v="68"/>
    <s v="Quas Gift"/>
    <s v="Soft Toys"/>
    <n v="2"/>
    <n v="597"/>
    <x v="81"/>
    <s v="February"/>
    <s v="Sunday"/>
    <d v="1899-12-30T18:34:41"/>
    <x v="138"/>
    <x v="23"/>
    <s v="February"/>
    <x v="651"/>
    <x v="54"/>
    <s v="Dehri"/>
    <s v="Valentine's Day"/>
    <n v="1194"/>
    <n v="1"/>
  </r>
  <r>
    <n v="657"/>
    <s v="C055"/>
    <n v="13"/>
    <s v="Et Set"/>
    <s v="Mugs"/>
    <n v="3"/>
    <n v="1141"/>
    <x v="52"/>
    <s v="March"/>
    <s v="Friday"/>
    <d v="1899-12-30T09:37:53"/>
    <x v="8"/>
    <x v="17"/>
    <s v="March"/>
    <x v="652"/>
    <x v="27"/>
    <s v="Kochi"/>
    <s v="Holi"/>
    <n v="3423"/>
    <n v="5"/>
  </r>
  <r>
    <n v="658"/>
    <s v="C061"/>
    <n v="21"/>
    <s v="Quia Gift"/>
    <s v="Colors"/>
    <n v="3"/>
    <n v="1561"/>
    <x v="22"/>
    <s v="August"/>
    <s v="Tuesday"/>
    <d v="1899-12-30T20:54:56"/>
    <x v="53"/>
    <x v="6"/>
    <s v="August"/>
    <x v="653"/>
    <x v="11"/>
    <s v="Srikakulam"/>
    <s v="Raksha Bandhan"/>
    <n v="4683"/>
    <n v="9"/>
  </r>
  <r>
    <n v="659"/>
    <s v="C048"/>
    <n v="19"/>
    <s v="Iure Gift"/>
    <s v="Mugs"/>
    <n v="5"/>
    <n v="1234"/>
    <x v="81"/>
    <s v="February"/>
    <s v="Sunday"/>
    <d v="1899-12-30T17:44:56"/>
    <x v="17"/>
    <x v="21"/>
    <s v="February"/>
    <x v="654"/>
    <x v="42"/>
    <s v="Silchar"/>
    <s v="Valentine's Day"/>
    <n v="6170"/>
    <n v="7"/>
  </r>
  <r>
    <n v="660"/>
    <s v="C053"/>
    <n v="58"/>
    <s v="Sed Pack"/>
    <s v="Cake"/>
    <n v="3"/>
    <n v="1492"/>
    <x v="4"/>
    <s v="February"/>
    <s v="Saturday"/>
    <d v="1899-12-30T06:08:46"/>
    <x v="80"/>
    <x v="22"/>
    <s v="February"/>
    <x v="655"/>
    <x v="52"/>
    <s v="Amravati"/>
    <s v="Valentine's Day"/>
    <n v="4476"/>
    <n v="10"/>
  </r>
  <r>
    <n v="661"/>
    <s v="C018"/>
    <n v="22"/>
    <s v="Exercitationem Pack"/>
    <s v="Soft Toys"/>
    <n v="2"/>
    <n v="1639"/>
    <x v="236"/>
    <s v="January"/>
    <s v="Saturday"/>
    <d v="1899-12-30T23:51:27"/>
    <x v="228"/>
    <x v="0"/>
    <s v="January"/>
    <x v="656"/>
    <x v="20"/>
    <s v="Guwahati"/>
    <s v="All Occasions"/>
    <n v="3278"/>
    <n v="5"/>
  </r>
  <r>
    <n v="662"/>
    <s v="C068"/>
    <n v="20"/>
    <s v="Reiciendis Box"/>
    <s v="Colors"/>
    <n v="3"/>
    <n v="697"/>
    <x v="16"/>
    <s v="February"/>
    <s v="Thursday"/>
    <d v="1899-12-30T18:29:52"/>
    <x v="3"/>
    <x v="23"/>
    <s v="February"/>
    <x v="657"/>
    <x v="34"/>
    <s v="Hazaribagh"/>
    <s v="Anniversary"/>
    <n v="2091"/>
    <n v="9"/>
  </r>
  <r>
    <n v="663"/>
    <s v="C094"/>
    <n v="15"/>
    <s v="Repudiandae Box"/>
    <s v="Raksha Bandhan"/>
    <n v="2"/>
    <n v="1488"/>
    <x v="134"/>
    <s v="October"/>
    <s v="Wednesday"/>
    <d v="1899-12-30T14:47:08"/>
    <x v="247"/>
    <x v="15"/>
    <s v="October"/>
    <x v="658"/>
    <x v="69"/>
    <s v="Hosur"/>
    <s v="Anniversary"/>
    <n v="2976"/>
    <n v="1"/>
  </r>
  <r>
    <n v="664"/>
    <s v="C023"/>
    <n v="24"/>
    <s v="Ad Box"/>
    <s v="Mugs"/>
    <n v="2"/>
    <n v="535"/>
    <x v="93"/>
    <s v="January"/>
    <s v="Wednesday"/>
    <d v="1899-12-30T11:54:34"/>
    <x v="187"/>
    <x v="12"/>
    <s v="January"/>
    <x v="659"/>
    <x v="18"/>
    <s v="Hajipur"/>
    <s v="Birthday"/>
    <n v="1070"/>
    <n v="10"/>
  </r>
  <r>
    <n v="665"/>
    <s v="C060"/>
    <n v="62"/>
    <s v="Sed Set"/>
    <s v="Colors"/>
    <n v="5"/>
    <n v="1356"/>
    <x v="88"/>
    <s v="March"/>
    <s v="Sunday"/>
    <d v="1899-12-30T14:23:22"/>
    <x v="137"/>
    <x v="15"/>
    <s v="March"/>
    <x v="660"/>
    <x v="55"/>
    <s v="Akola"/>
    <s v="Holi"/>
    <n v="6780"/>
    <n v="10"/>
  </r>
  <r>
    <n v="666"/>
    <s v="C032"/>
    <n v="26"/>
    <s v="Aliquam Box"/>
    <s v="Colors"/>
    <n v="5"/>
    <n v="289"/>
    <x v="9"/>
    <s v="March"/>
    <s v="Thursday"/>
    <d v="1899-12-30T09:41:06"/>
    <x v="8"/>
    <x v="17"/>
    <s v="March"/>
    <x v="661"/>
    <x v="54"/>
    <s v="Jammu"/>
    <s v="Holi"/>
    <n v="1445"/>
    <n v="6"/>
  </r>
  <r>
    <n v="667"/>
    <s v="C052"/>
    <n v="44"/>
    <s v="Dolorum Set"/>
    <s v="Plants"/>
    <n v="3"/>
    <n v="794"/>
    <x v="13"/>
    <s v="November"/>
    <s v="Saturday"/>
    <d v="1899-12-30T08:26:58"/>
    <x v="112"/>
    <x v="7"/>
    <s v="November"/>
    <x v="662"/>
    <x v="9"/>
    <s v="Alwar"/>
    <s v="Diwali"/>
    <n v="2382"/>
    <n v="3"/>
  </r>
  <r>
    <n v="668"/>
    <s v="C009"/>
    <n v="55"/>
    <s v="Dolores Gift"/>
    <s v="Soft Toys"/>
    <n v="2"/>
    <n v="1904"/>
    <x v="128"/>
    <s v="August"/>
    <s v="Monday"/>
    <d v="1899-12-30T10:09:53"/>
    <x v="13"/>
    <x v="13"/>
    <s v="August"/>
    <x v="663"/>
    <x v="6"/>
    <s v="Ajmer"/>
    <s v="Raksha Bandhan"/>
    <n v="3808"/>
    <n v="9"/>
  </r>
  <r>
    <n v="669"/>
    <s v="C035"/>
    <n v="68"/>
    <s v="Quas Gift"/>
    <s v="Soft Toys"/>
    <n v="5"/>
    <n v="597"/>
    <x v="29"/>
    <s v="February"/>
    <s v="Friday"/>
    <d v="1899-12-30T07:11:50"/>
    <x v="197"/>
    <x v="14"/>
    <s v="February"/>
    <x v="664"/>
    <x v="61"/>
    <s v="Ludhiana"/>
    <s v="Valentine's Day"/>
    <n v="2985"/>
    <n v="7"/>
  </r>
  <r>
    <n v="670"/>
    <s v="C057"/>
    <n v="23"/>
    <s v="Dignissimos Pack"/>
    <s v="Sweets"/>
    <n v="5"/>
    <n v="1098"/>
    <x v="57"/>
    <s v="June"/>
    <s v="Thursday"/>
    <d v="1899-12-30T05:47:59"/>
    <x v="31"/>
    <x v="16"/>
    <s v="June"/>
    <x v="665"/>
    <x v="47"/>
    <s v="Bhopal"/>
    <s v="Anniversary"/>
    <n v="5490"/>
    <n v="9"/>
  </r>
  <r>
    <n v="671"/>
    <s v="C059"/>
    <n v="31"/>
    <s v="Nihil Box"/>
    <s v="Colors"/>
    <n v="4"/>
    <n v="1804"/>
    <x v="237"/>
    <s v="December"/>
    <s v="Sunday"/>
    <d v="1899-12-30T06:54:18"/>
    <x v="105"/>
    <x v="22"/>
    <s v="December"/>
    <x v="666"/>
    <x v="34"/>
    <s v="Karnal"/>
    <s v="All Occasions"/>
    <n v="7216"/>
    <n v="4"/>
  </r>
  <r>
    <n v="672"/>
    <s v="C049"/>
    <n v="44"/>
    <s v="Dolorum Set"/>
    <s v="Plants"/>
    <n v="5"/>
    <n v="794"/>
    <x v="1"/>
    <s v="November"/>
    <s v="Tuesday"/>
    <d v="1899-12-30T14:06:15"/>
    <x v="148"/>
    <x v="15"/>
    <s v="November"/>
    <x v="667"/>
    <x v="27"/>
    <s v="Saharanpur"/>
    <s v="Diwali"/>
    <n v="3970"/>
    <n v="2"/>
  </r>
  <r>
    <n v="673"/>
    <s v="C008"/>
    <n v="33"/>
    <s v="Earum Set"/>
    <s v="Colors"/>
    <n v="3"/>
    <n v="314"/>
    <x v="56"/>
    <s v="February"/>
    <s v="Saturday"/>
    <d v="1899-12-30T05:54:49"/>
    <x v="85"/>
    <x v="16"/>
    <s v="February"/>
    <x v="668"/>
    <x v="51"/>
    <s v="Gaya"/>
    <s v="Valentine's Day"/>
    <n v="942"/>
    <n v="3"/>
  </r>
  <r>
    <n v="674"/>
    <s v="C065"/>
    <n v="68"/>
    <s v="Quas Gift"/>
    <s v="Soft Toys"/>
    <n v="2"/>
    <n v="597"/>
    <x v="106"/>
    <s v="February"/>
    <s v="Tuesday"/>
    <d v="1899-12-30T09:41:25"/>
    <x v="33"/>
    <x v="17"/>
    <s v="February"/>
    <x v="669"/>
    <x v="10"/>
    <s v="Chennai"/>
    <s v="Valentine's Day"/>
    <n v="1194"/>
    <n v="9"/>
  </r>
  <r>
    <n v="675"/>
    <s v="C052"/>
    <n v="13"/>
    <s v="Et Set"/>
    <s v="Mugs"/>
    <n v="4"/>
    <n v="1141"/>
    <x v="25"/>
    <s v="February"/>
    <s v="Tuesday"/>
    <d v="1899-12-30T08:04:46"/>
    <x v="170"/>
    <x v="7"/>
    <s v="March"/>
    <x v="670"/>
    <x v="9"/>
    <s v="Pali"/>
    <s v="Holi"/>
    <n v="4564"/>
    <n v="9"/>
  </r>
  <r>
    <n v="676"/>
    <s v="C038"/>
    <n v="46"/>
    <s v="Pariatur Set"/>
    <s v="Cake"/>
    <n v="4"/>
    <n v="758"/>
    <x v="238"/>
    <s v="February"/>
    <s v="Saturday"/>
    <d v="1899-12-30T12:42:24"/>
    <x v="14"/>
    <x v="19"/>
    <s v="February"/>
    <x v="671"/>
    <x v="53"/>
    <s v="Kanpur"/>
    <s v="Anniversary"/>
    <n v="3032"/>
    <n v="2"/>
  </r>
  <r>
    <n v="677"/>
    <s v="C045"/>
    <n v="37"/>
    <s v="Officiis Pack"/>
    <s v="Colors"/>
    <n v="5"/>
    <n v="1428"/>
    <x v="13"/>
    <s v="November"/>
    <s v="Saturday"/>
    <d v="1899-12-30T07:54:01"/>
    <x v="6"/>
    <x v="14"/>
    <s v="November"/>
    <x v="672"/>
    <x v="39"/>
    <s v="Panihati"/>
    <s v="Diwali"/>
    <n v="7140"/>
    <n v="10"/>
  </r>
  <r>
    <n v="678"/>
    <s v="C020"/>
    <n v="31"/>
    <s v="Nihil Box"/>
    <s v="Colors"/>
    <n v="5"/>
    <n v="1804"/>
    <x v="135"/>
    <s v="September"/>
    <s v="Sunday"/>
    <d v="1899-12-30T14:23:59"/>
    <x v="213"/>
    <x v="15"/>
    <s v="September"/>
    <x v="673"/>
    <x v="36"/>
    <s v="Jalna"/>
    <s v="All Occasions"/>
    <n v="9020"/>
    <n v="10"/>
  </r>
  <r>
    <n v="679"/>
    <s v="C019"/>
    <n v="56"/>
    <s v="Quia Gift"/>
    <s v="Raksha Bandhan"/>
    <n v="2"/>
    <n v="1272"/>
    <x v="239"/>
    <s v="October"/>
    <s v="Thursday"/>
    <d v="1899-12-30T17:29:19"/>
    <x v="248"/>
    <x v="21"/>
    <s v="October"/>
    <x v="674"/>
    <x v="1"/>
    <s v="Durg"/>
    <s v="Anniversary"/>
    <n v="2544"/>
    <n v="9"/>
  </r>
  <r>
    <n v="680"/>
    <s v="C018"/>
    <n v="56"/>
    <s v="Quia Gift"/>
    <s v="Raksha Bandhan"/>
    <n v="1"/>
    <n v="1272"/>
    <x v="188"/>
    <s v="December"/>
    <s v="Saturday"/>
    <d v="1899-12-30T22:20:31"/>
    <x v="212"/>
    <x v="3"/>
    <s v="December"/>
    <x v="675"/>
    <x v="20"/>
    <s v="Avadi"/>
    <s v="Anniversary"/>
    <n v="1272"/>
    <n v="6"/>
  </r>
  <r>
    <n v="681"/>
    <s v="C098"/>
    <n v="23"/>
    <s v="Dignissimos Pack"/>
    <s v="Sweets"/>
    <n v="5"/>
    <n v="1098"/>
    <x v="240"/>
    <s v="January"/>
    <s v="Sunday"/>
    <d v="1899-12-30T10:08:06"/>
    <x v="234"/>
    <x v="13"/>
    <s v="February"/>
    <x v="676"/>
    <x v="77"/>
    <s v="Nashik"/>
    <s v="Anniversary"/>
    <n v="5490"/>
    <n v="7"/>
  </r>
  <r>
    <n v="682"/>
    <s v="C054"/>
    <n v="50"/>
    <s v="Eligendi Set"/>
    <s v="Plants"/>
    <n v="5"/>
    <n v="422"/>
    <x v="8"/>
    <s v="February"/>
    <s v="Sunday"/>
    <d v="1899-12-30T07:31:16"/>
    <x v="0"/>
    <x v="14"/>
    <s v="March"/>
    <x v="677"/>
    <x v="18"/>
    <s v="Hyderabad"/>
    <s v="Holi"/>
    <n v="2110"/>
    <n v="7"/>
  </r>
  <r>
    <n v="683"/>
    <s v="C024"/>
    <n v="27"/>
    <s v="Architecto Gift"/>
    <s v="Cake"/>
    <n v="3"/>
    <n v="548"/>
    <x v="61"/>
    <s v="August"/>
    <s v="Wednesday"/>
    <d v="1899-12-30T21:26:58"/>
    <x v="13"/>
    <x v="20"/>
    <s v="August"/>
    <x v="678"/>
    <x v="11"/>
    <s v="Surendranagar Dudhrej"/>
    <s v="Raksha Bandhan"/>
    <n v="1644"/>
    <n v="7"/>
  </r>
  <r>
    <n v="684"/>
    <s v="C029"/>
    <n v="70"/>
    <s v="Error Gift"/>
    <s v="Sweets"/>
    <n v="3"/>
    <n v="866"/>
    <x v="241"/>
    <s v="September"/>
    <s v="Sunday"/>
    <d v="1899-12-30T01:33:50"/>
    <x v="119"/>
    <x v="4"/>
    <s v="September"/>
    <x v="679"/>
    <x v="2"/>
    <s v="Tumkur"/>
    <s v="Birthday"/>
    <n v="2598"/>
    <n v="8"/>
  </r>
  <r>
    <n v="685"/>
    <s v="C054"/>
    <n v="22"/>
    <s v="Exercitationem Pack"/>
    <s v="Soft Toys"/>
    <n v="1"/>
    <n v="1639"/>
    <x v="47"/>
    <s v="September"/>
    <s v="Friday"/>
    <d v="1899-12-30T21:04:40"/>
    <x v="50"/>
    <x v="20"/>
    <s v="September"/>
    <x v="680"/>
    <x v="18"/>
    <s v="Sikar"/>
    <s v="All Occasions"/>
    <n v="1639"/>
    <n v="10"/>
  </r>
  <r>
    <n v="686"/>
    <s v="C026"/>
    <n v="50"/>
    <s v="Eligendi Set"/>
    <s v="Plants"/>
    <n v="1"/>
    <n v="422"/>
    <x v="125"/>
    <s v="March"/>
    <s v="Wednesday"/>
    <d v="1899-12-30T16:29:38"/>
    <x v="57"/>
    <x v="8"/>
    <s v="March"/>
    <x v="681"/>
    <x v="63"/>
    <s v="Bardhaman"/>
    <s v="Holi"/>
    <n v="422"/>
    <n v="10"/>
  </r>
  <r>
    <n v="687"/>
    <s v="C098"/>
    <n v="8"/>
    <s v="Qui Box"/>
    <s v="Sweets"/>
    <n v="5"/>
    <n v="252"/>
    <x v="38"/>
    <s v="March"/>
    <s v="Wednesday"/>
    <d v="1899-12-30T17:57:15"/>
    <x v="40"/>
    <x v="21"/>
    <s v="March"/>
    <x v="682"/>
    <x v="77"/>
    <s v="Raichur"/>
    <s v="Anniversary"/>
    <n v="1260"/>
    <n v="4"/>
  </r>
  <r>
    <n v="688"/>
    <s v="C015"/>
    <n v="54"/>
    <s v="Occaecati Gift"/>
    <s v="Cake"/>
    <n v="2"/>
    <n v="1236"/>
    <x v="242"/>
    <s v="January"/>
    <s v="Saturday"/>
    <d v="1899-12-30T19:02:07"/>
    <x v="249"/>
    <x v="1"/>
    <s v="January"/>
    <x v="683"/>
    <x v="44"/>
    <s v="Lucknow"/>
    <s v="Anniversary"/>
    <n v="2472"/>
    <n v="2"/>
  </r>
  <r>
    <n v="689"/>
    <s v="C046"/>
    <n v="66"/>
    <s v="Quas Box"/>
    <s v="Colors"/>
    <n v="4"/>
    <n v="610"/>
    <x v="9"/>
    <s v="March"/>
    <s v="Thursday"/>
    <d v="1899-12-30T05:52:42"/>
    <x v="32"/>
    <x v="16"/>
    <s v="March"/>
    <x v="684"/>
    <x v="32"/>
    <s v="Silchar"/>
    <s v="Holi"/>
    <n v="2440"/>
    <n v="5"/>
  </r>
  <r>
    <n v="690"/>
    <s v="C083"/>
    <n v="48"/>
    <s v="Maiores Gift"/>
    <s v="Colors"/>
    <n v="2"/>
    <n v="433"/>
    <x v="31"/>
    <s v="November"/>
    <s v="Thursday"/>
    <d v="1899-12-30T21:13:25"/>
    <x v="30"/>
    <x v="20"/>
    <s v="November"/>
    <x v="685"/>
    <x v="62"/>
    <s v="Jaunpur"/>
    <s v="Diwali"/>
    <n v="866"/>
    <n v="3"/>
  </r>
  <r>
    <n v="691"/>
    <s v="C002"/>
    <n v="48"/>
    <s v="Maiores Gift"/>
    <s v="Colors"/>
    <n v="5"/>
    <n v="433"/>
    <x v="76"/>
    <s v="November"/>
    <s v="Monday"/>
    <d v="1899-12-30T05:22:43"/>
    <x v="47"/>
    <x v="16"/>
    <s v="November"/>
    <x v="686"/>
    <x v="83"/>
    <s v="Naihati"/>
    <s v="Diwali"/>
    <n v="2165"/>
    <n v="4"/>
  </r>
  <r>
    <n v="692"/>
    <s v="C035"/>
    <n v="15"/>
    <s v="Repudiandae Box"/>
    <s v="Raksha Bandhan"/>
    <n v="2"/>
    <n v="1488"/>
    <x v="243"/>
    <s v="August"/>
    <s v="Friday"/>
    <d v="1899-12-30T07:04:55"/>
    <x v="250"/>
    <x v="14"/>
    <s v="August"/>
    <x v="687"/>
    <x v="61"/>
    <s v="Tiruppur"/>
    <s v="Anniversary"/>
    <n v="2976"/>
    <n v="7"/>
  </r>
  <r>
    <n v="693"/>
    <s v="C041"/>
    <n v="4"/>
    <s v="Accusantium Set"/>
    <s v="Sweets"/>
    <n v="5"/>
    <n v="1199"/>
    <x v="13"/>
    <s v="November"/>
    <s v="Saturday"/>
    <d v="1899-12-30T23:48:55"/>
    <x v="112"/>
    <x v="0"/>
    <s v="November"/>
    <x v="688"/>
    <x v="19"/>
    <s v="Ghaziabad"/>
    <s v="Diwali"/>
    <n v="5995"/>
    <n v="3"/>
  </r>
  <r>
    <n v="694"/>
    <s v="C018"/>
    <n v="23"/>
    <s v="Dignissimos Pack"/>
    <s v="Sweets"/>
    <n v="2"/>
    <n v="1098"/>
    <x v="27"/>
    <s v="April"/>
    <s v="Saturday"/>
    <d v="1899-12-30T19:26:27"/>
    <x v="251"/>
    <x v="1"/>
    <s v="April"/>
    <x v="689"/>
    <x v="20"/>
    <s v="Kozhikode"/>
    <s v="Anniversary"/>
    <n v="2196"/>
    <n v="6"/>
  </r>
  <r>
    <n v="695"/>
    <s v="C046"/>
    <n v="23"/>
    <s v="Dignissimos Pack"/>
    <s v="Sweets"/>
    <n v="4"/>
    <n v="1098"/>
    <x v="88"/>
    <s v="March"/>
    <s v="Sunday"/>
    <d v="1899-12-30T16:36:52"/>
    <x v="27"/>
    <x v="8"/>
    <s v="March"/>
    <x v="690"/>
    <x v="32"/>
    <s v="Imphal"/>
    <s v="Anniversary"/>
    <n v="4392"/>
    <n v="9"/>
  </r>
  <r>
    <n v="696"/>
    <s v="C046"/>
    <n v="13"/>
    <s v="Et Set"/>
    <s v="Mugs"/>
    <n v="3"/>
    <n v="1141"/>
    <x v="15"/>
    <s v="March"/>
    <s v="Tuesday"/>
    <d v="1899-12-30T02:42:21"/>
    <x v="27"/>
    <x v="10"/>
    <s v="March"/>
    <x v="691"/>
    <x v="32"/>
    <s v="Rajpur Sonarpur"/>
    <s v="Holi"/>
    <n v="3423"/>
    <n v="7"/>
  </r>
  <r>
    <n v="697"/>
    <s v="C026"/>
    <n v="66"/>
    <s v="Quas Box"/>
    <s v="Colors"/>
    <n v="1"/>
    <n v="610"/>
    <x v="52"/>
    <s v="March"/>
    <s v="Friday"/>
    <d v="1899-12-30T14:20:25"/>
    <x v="32"/>
    <x v="15"/>
    <s v="March"/>
    <x v="692"/>
    <x v="63"/>
    <s v="Ichalkaranji"/>
    <s v="Holi"/>
    <n v="610"/>
    <n v="4"/>
  </r>
  <r>
    <n v="698"/>
    <s v="C060"/>
    <n v="64"/>
    <s v="Nostrum Box"/>
    <s v="Soft Toys"/>
    <n v="3"/>
    <n v="1878"/>
    <x v="39"/>
    <s v="August"/>
    <s v="Tuesday"/>
    <d v="1899-12-30T20:44:11"/>
    <x v="117"/>
    <x v="6"/>
    <s v="September"/>
    <x v="693"/>
    <x v="55"/>
    <s v="Ozhukarai"/>
    <s v="Raksha Bandhan"/>
    <n v="5634"/>
    <n v="8"/>
  </r>
  <r>
    <n v="699"/>
    <s v="C011"/>
    <n v="1"/>
    <s v="Magnam Set"/>
    <s v="Soft Toys"/>
    <n v="4"/>
    <n v="1935"/>
    <x v="99"/>
    <s v="June"/>
    <s v="Friday"/>
    <d v="1899-12-30T12:14:44"/>
    <x v="252"/>
    <x v="19"/>
    <s v="June"/>
    <x v="694"/>
    <x v="16"/>
    <s v="Chittoor"/>
    <s v="All Occasions"/>
    <n v="7740"/>
    <n v="7"/>
  </r>
  <r>
    <n v="700"/>
    <s v="C006"/>
    <n v="6"/>
    <s v="Quos Box"/>
    <s v="Cake"/>
    <n v="1"/>
    <n v="1112"/>
    <x v="26"/>
    <s v="March"/>
    <s v="Saturday"/>
    <d v="1899-12-30T18:17:57"/>
    <x v="170"/>
    <x v="23"/>
    <s v="March"/>
    <x v="695"/>
    <x v="33"/>
    <s v="Gwalior"/>
    <s v="Holi"/>
    <n v="1112"/>
    <n v="5"/>
  </r>
  <r>
    <n v="701"/>
    <s v="C080"/>
    <n v="41"/>
    <s v="Aut Box"/>
    <s v="Sweets"/>
    <n v="5"/>
    <n v="1977"/>
    <x v="1"/>
    <s v="November"/>
    <s v="Tuesday"/>
    <d v="1899-12-30T10:57:34"/>
    <x v="108"/>
    <x v="13"/>
    <s v="November"/>
    <x v="696"/>
    <x v="31"/>
    <s v="Tezpur"/>
    <s v="Diwali"/>
    <n v="9885"/>
    <n v="4"/>
  </r>
  <r>
    <n v="702"/>
    <s v="C067"/>
    <n v="60"/>
    <s v="Ea Set"/>
    <s v="Sweets"/>
    <n v="1"/>
    <n v="827"/>
    <x v="87"/>
    <s v="November"/>
    <s v="Friday"/>
    <d v="1899-12-30T08:44:24"/>
    <x v="39"/>
    <x v="7"/>
    <s v="November"/>
    <x v="697"/>
    <x v="29"/>
    <s v="Giridih"/>
    <s v="Diwali"/>
    <n v="827"/>
    <n v="8"/>
  </r>
  <r>
    <n v="703"/>
    <s v="C070"/>
    <n v="53"/>
    <s v="Ipsam Set"/>
    <s v="Sweets"/>
    <n v="4"/>
    <n v="1672"/>
    <x v="61"/>
    <s v="August"/>
    <s v="Wednesday"/>
    <d v="1899-12-30T16:19:39"/>
    <x v="141"/>
    <x v="8"/>
    <s v="September"/>
    <x v="698"/>
    <x v="66"/>
    <s v="Khammam"/>
    <s v="Raksha Bandhan"/>
    <n v="6688"/>
    <n v="9"/>
  </r>
  <r>
    <n v="704"/>
    <s v="C061"/>
    <n v="55"/>
    <s v="Dolores Gift"/>
    <s v="Soft Toys"/>
    <n v="4"/>
    <n v="1904"/>
    <x v="39"/>
    <s v="August"/>
    <s v="Tuesday"/>
    <d v="1899-12-30T02:27:10"/>
    <x v="13"/>
    <x v="10"/>
    <s v="August"/>
    <x v="699"/>
    <x v="11"/>
    <s v="Jalgaon"/>
    <s v="Raksha Bandhan"/>
    <n v="7616"/>
    <n v="1"/>
  </r>
  <r>
    <n v="705"/>
    <s v="C004"/>
    <n v="7"/>
    <s v="Quos Set"/>
    <s v="Soft Toys"/>
    <n v="1"/>
    <n v="409"/>
    <x v="88"/>
    <s v="March"/>
    <s v="Sunday"/>
    <d v="1899-12-30T18:18:01"/>
    <x v="27"/>
    <x v="23"/>
    <s v="March"/>
    <x v="700"/>
    <x v="75"/>
    <s v="Pimpri-Chinchwad"/>
    <s v="Holi"/>
    <n v="409"/>
    <n v="9"/>
  </r>
  <r>
    <n v="706"/>
    <s v="C091"/>
    <n v="67"/>
    <s v="Maiores Box"/>
    <s v="Raksha Bandhan"/>
    <n v="2"/>
    <n v="1374"/>
    <x v="224"/>
    <s v="April"/>
    <s v="Wednesday"/>
    <d v="1899-12-30T05:35:11"/>
    <x v="253"/>
    <x v="16"/>
    <s v="May"/>
    <x v="701"/>
    <x v="21"/>
    <s v="Madurai"/>
    <s v="Anniversary"/>
    <n v="2748"/>
    <n v="8"/>
  </r>
  <r>
    <n v="707"/>
    <s v="C036"/>
    <n v="70"/>
    <s v="Error Gift"/>
    <s v="Sweets"/>
    <n v="4"/>
    <n v="866"/>
    <x v="79"/>
    <s v="February"/>
    <s v="Friday"/>
    <d v="1899-12-30T06:17:26"/>
    <x v="17"/>
    <x v="22"/>
    <s v="February"/>
    <x v="702"/>
    <x v="38"/>
    <s v="Tirunelveli"/>
    <s v="Birthday"/>
    <n v="3464"/>
    <n v="9"/>
  </r>
  <r>
    <n v="708"/>
    <s v="C002"/>
    <n v="62"/>
    <s v="Sed Set"/>
    <s v="Colors"/>
    <n v="3"/>
    <n v="1356"/>
    <x v="52"/>
    <s v="March"/>
    <s v="Friday"/>
    <d v="1899-12-30T10:59:15"/>
    <x v="21"/>
    <x v="13"/>
    <s v="March"/>
    <x v="703"/>
    <x v="83"/>
    <s v="Ozhukarai"/>
    <s v="Holi"/>
    <n v="4068"/>
    <n v="9"/>
  </r>
  <r>
    <n v="709"/>
    <s v="C016"/>
    <n v="53"/>
    <s v="Ipsam Set"/>
    <s v="Sweets"/>
    <n v="5"/>
    <n v="1672"/>
    <x v="39"/>
    <s v="August"/>
    <s v="Tuesday"/>
    <d v="1899-12-30T04:38:05"/>
    <x v="41"/>
    <x v="2"/>
    <s v="September"/>
    <x v="704"/>
    <x v="73"/>
    <s v="Kolkata"/>
    <s v="Raksha Bandhan"/>
    <n v="8360"/>
    <n v="9"/>
  </r>
  <r>
    <n v="710"/>
    <s v="C087"/>
    <n v="54"/>
    <s v="Occaecati Gift"/>
    <s v="Cake"/>
    <n v="5"/>
    <n v="1236"/>
    <x v="244"/>
    <s v="May"/>
    <s v="Monday"/>
    <d v="1899-12-30T01:33:03"/>
    <x v="205"/>
    <x v="4"/>
    <s v="May"/>
    <x v="705"/>
    <x v="10"/>
    <s v="Jalna"/>
    <s v="Anniversary"/>
    <n v="6180"/>
    <n v="7"/>
  </r>
  <r>
    <n v="711"/>
    <s v="C093"/>
    <n v="68"/>
    <s v="Quas Gift"/>
    <s v="Soft Toys"/>
    <n v="3"/>
    <n v="597"/>
    <x v="56"/>
    <s v="February"/>
    <s v="Saturday"/>
    <d v="1899-12-30T17:15:28"/>
    <x v="138"/>
    <x v="21"/>
    <s v="February"/>
    <x v="706"/>
    <x v="74"/>
    <s v="Tiruppur"/>
    <s v="Valentine's Day"/>
    <n v="1791"/>
    <n v="2"/>
  </r>
  <r>
    <n v="712"/>
    <s v="C057"/>
    <n v="65"/>
    <s v="Error Gift"/>
    <s v="Raksha Bandhan"/>
    <n v="5"/>
    <n v="1895"/>
    <x v="230"/>
    <s v="July"/>
    <s v="Tuesday"/>
    <d v="1899-12-30T13:00:12"/>
    <x v="185"/>
    <x v="18"/>
    <s v="July"/>
    <x v="707"/>
    <x v="47"/>
    <s v="Hazaribagh"/>
    <s v="All Occasions"/>
    <n v="9475"/>
    <n v="2"/>
  </r>
  <r>
    <n v="713"/>
    <s v="C081"/>
    <n v="37"/>
    <s v="Officiis Pack"/>
    <s v="Colors"/>
    <n v="3"/>
    <n v="1428"/>
    <x v="7"/>
    <s v="November"/>
    <s v="Wednesday"/>
    <d v="1899-12-30T23:24:22"/>
    <x v="12"/>
    <x v="0"/>
    <s v="November"/>
    <x v="708"/>
    <x v="58"/>
    <s v="Tiruppur"/>
    <s v="Diwali"/>
    <n v="4284"/>
    <n v="7"/>
  </r>
  <r>
    <n v="714"/>
    <s v="C053"/>
    <n v="63"/>
    <s v="Adipisci Set"/>
    <s v="Sweets"/>
    <n v="2"/>
    <n v="1348"/>
    <x v="57"/>
    <s v="June"/>
    <s v="Thursday"/>
    <d v="1899-12-30T19:28:09"/>
    <x v="72"/>
    <x v="1"/>
    <s v="June"/>
    <x v="709"/>
    <x v="52"/>
    <s v="Dhule"/>
    <s v="All Occasions"/>
    <n v="2696"/>
    <n v="2"/>
  </r>
  <r>
    <n v="715"/>
    <s v="C069"/>
    <n v="38"/>
    <s v="Mollitia Set"/>
    <s v="Cake"/>
    <n v="4"/>
    <n v="562"/>
    <x v="245"/>
    <s v="April"/>
    <s v="Friday"/>
    <d v="1899-12-30T05:16:43"/>
    <x v="251"/>
    <x v="16"/>
    <s v="April"/>
    <x v="710"/>
    <x v="13"/>
    <s v="Tenali"/>
    <s v="Birthday"/>
    <n v="2248"/>
    <n v="7"/>
  </r>
  <r>
    <n v="716"/>
    <s v="C076"/>
    <n v="40"/>
    <s v="Provident Pack"/>
    <s v="Sweets"/>
    <n v="3"/>
    <n v="1923"/>
    <x v="209"/>
    <s v="August"/>
    <s v="Saturday"/>
    <d v="1899-12-30T23:18:12"/>
    <x v="4"/>
    <x v="0"/>
    <s v="August"/>
    <x v="711"/>
    <x v="78"/>
    <s v="Berhampore"/>
    <s v="Anniversary"/>
    <n v="5769"/>
    <n v="7"/>
  </r>
  <r>
    <n v="717"/>
    <s v="C059"/>
    <n v="67"/>
    <s v="Maiores Box"/>
    <s v="Raksha Bandhan"/>
    <n v="5"/>
    <n v="1374"/>
    <x v="45"/>
    <s v="June"/>
    <s v="Sunday"/>
    <d v="1899-12-30T06:18:32"/>
    <x v="48"/>
    <x v="22"/>
    <s v="June"/>
    <x v="712"/>
    <x v="34"/>
    <s v="Yamunanagar"/>
    <s v="Anniversary"/>
    <n v="6870"/>
    <n v="1"/>
  </r>
  <r>
    <n v="718"/>
    <s v="C028"/>
    <n v="49"/>
    <s v="Voluptate Pack"/>
    <s v="Colors"/>
    <n v="1"/>
    <n v="903"/>
    <x v="16"/>
    <s v="February"/>
    <s v="Thursday"/>
    <d v="1899-12-30T05:13:35"/>
    <x v="43"/>
    <x v="16"/>
    <s v="February"/>
    <x v="713"/>
    <x v="48"/>
    <s v="Jabalpur"/>
    <s v="Valentine's Day"/>
    <n v="903"/>
    <n v="4"/>
  </r>
  <r>
    <n v="719"/>
    <s v="C092"/>
    <n v="57"/>
    <s v="Voluptatem Box"/>
    <s v="Colors"/>
    <n v="3"/>
    <n v="1582"/>
    <x v="10"/>
    <s v="July"/>
    <s v="Wednesday"/>
    <d v="1899-12-30T07:44:51"/>
    <x v="2"/>
    <x v="14"/>
    <s v="July"/>
    <x v="714"/>
    <x v="38"/>
    <s v="Phagwara"/>
    <s v="Birthday"/>
    <n v="4746"/>
    <n v="7"/>
  </r>
  <r>
    <n v="720"/>
    <s v="C045"/>
    <n v="22"/>
    <s v="Exercitationem Pack"/>
    <s v="Soft Toys"/>
    <n v="5"/>
    <n v="1639"/>
    <x v="194"/>
    <s v="December"/>
    <s v="Friday"/>
    <d v="1899-12-30T14:42:41"/>
    <x v="254"/>
    <x v="15"/>
    <s v="December"/>
    <x v="715"/>
    <x v="39"/>
    <s v="Vellore"/>
    <s v="All Occasions"/>
    <n v="8195"/>
    <n v="5"/>
  </r>
  <r>
    <n v="721"/>
    <s v="C022"/>
    <n v="3"/>
    <s v="Eius Gift"/>
    <s v="Colors"/>
    <n v="5"/>
    <n v="1534"/>
    <x v="106"/>
    <s v="February"/>
    <s v="Tuesday"/>
    <d v="1899-12-30T03:28:21"/>
    <x v="197"/>
    <x v="9"/>
    <s v="February"/>
    <x v="716"/>
    <x v="67"/>
    <s v="Vasai-Virar"/>
    <s v="Valentine's Day"/>
    <n v="7670"/>
    <n v="10"/>
  </r>
  <r>
    <n v="722"/>
    <s v="C044"/>
    <n v="13"/>
    <s v="Et Set"/>
    <s v="Mugs"/>
    <n v="5"/>
    <n v="1141"/>
    <x v="9"/>
    <s v="March"/>
    <s v="Thursday"/>
    <d v="1899-12-30T17:30:25"/>
    <x v="8"/>
    <x v="21"/>
    <s v="March"/>
    <x v="717"/>
    <x v="8"/>
    <s v="Mathura"/>
    <s v="Holi"/>
    <n v="5705"/>
    <n v="6"/>
  </r>
  <r>
    <n v="723"/>
    <s v="C045"/>
    <n v="14"/>
    <s v="Deserunt Box"/>
    <s v="Colors"/>
    <n v="3"/>
    <n v="1915"/>
    <x v="56"/>
    <s v="February"/>
    <s v="Saturday"/>
    <d v="1899-12-30T18:00:57"/>
    <x v="234"/>
    <x v="23"/>
    <s v="February"/>
    <x v="718"/>
    <x v="39"/>
    <s v="Mau"/>
    <s v="Birthday"/>
    <n v="5745"/>
    <n v="1"/>
  </r>
  <r>
    <n v="724"/>
    <s v="C059"/>
    <n v="51"/>
    <s v="Fugit Set"/>
    <s v="Soft Toys"/>
    <n v="1"/>
    <n v="1084"/>
    <x v="144"/>
    <s v="April"/>
    <s v="Saturday"/>
    <d v="1899-12-30T23:02:18"/>
    <x v="255"/>
    <x v="0"/>
    <s v="April"/>
    <x v="719"/>
    <x v="34"/>
    <s v="Pallavaram"/>
    <s v="All Occasions"/>
    <n v="1084"/>
    <n v="8"/>
  </r>
  <r>
    <n v="725"/>
    <s v="C035"/>
    <n v="35"/>
    <s v="Nam Gift"/>
    <s v="Colors"/>
    <n v="3"/>
    <n v="1865"/>
    <x v="21"/>
    <s v="March"/>
    <s v="Monday"/>
    <d v="1899-12-30T23:23:18"/>
    <x v="57"/>
    <x v="0"/>
    <s v="March"/>
    <x v="720"/>
    <x v="61"/>
    <s v="Kishanganj"/>
    <s v="Holi"/>
    <n v="5595"/>
    <n v="5"/>
  </r>
  <r>
    <n v="726"/>
    <s v="C044"/>
    <n v="34"/>
    <s v="Placeat Pack"/>
    <s v="Soft Toys"/>
    <n v="2"/>
    <n v="1335"/>
    <x v="128"/>
    <s v="August"/>
    <s v="Monday"/>
    <d v="1899-12-30T19:10:31"/>
    <x v="53"/>
    <x v="1"/>
    <s v="August"/>
    <x v="721"/>
    <x v="8"/>
    <s v="Hindupur"/>
    <s v="Raksha Bandhan"/>
    <n v="2670"/>
    <n v="10"/>
  </r>
  <r>
    <n v="727"/>
    <s v="C061"/>
    <n v="12"/>
    <s v="Non Set"/>
    <s v="Plants"/>
    <n v="5"/>
    <n v="672"/>
    <x v="246"/>
    <s v="November"/>
    <s v="Saturday"/>
    <d v="1899-12-30T01:37:03"/>
    <x v="120"/>
    <x v="4"/>
    <s v="November"/>
    <x v="722"/>
    <x v="11"/>
    <s v="Anand"/>
    <s v="Anniversary"/>
    <n v="3360"/>
    <n v="4"/>
  </r>
  <r>
    <n v="728"/>
    <s v="C073"/>
    <n v="52"/>
    <s v="Dolorum Box"/>
    <s v="Raksha Bandhan"/>
    <n v="2"/>
    <n v="236"/>
    <x v="41"/>
    <s v="February"/>
    <s v="Wednesday"/>
    <d v="1899-12-30T13:45:46"/>
    <x v="68"/>
    <x v="18"/>
    <s v="February"/>
    <x v="723"/>
    <x v="82"/>
    <s v="Panchkula"/>
    <s v="Valentine's Day"/>
    <n v="472"/>
    <n v="3"/>
  </r>
  <r>
    <n v="729"/>
    <s v="C030"/>
    <n v="17"/>
    <s v="Delectus Gift"/>
    <s v="Soft Toys"/>
    <n v="1"/>
    <n v="1899"/>
    <x v="231"/>
    <s v="February"/>
    <s v="Thursday"/>
    <d v="1899-12-30T18:19:53"/>
    <x v="110"/>
    <x v="23"/>
    <s v="February"/>
    <x v="724"/>
    <x v="64"/>
    <s v="Kollam"/>
    <s v="Anniversary"/>
    <n v="1899"/>
    <n v="2"/>
  </r>
  <r>
    <n v="730"/>
    <s v="C097"/>
    <n v="59"/>
    <s v="Pariatur Box"/>
    <s v="Cake"/>
    <n v="1"/>
    <n v="811"/>
    <x v="22"/>
    <s v="August"/>
    <s v="Tuesday"/>
    <d v="1899-12-30T02:04:03"/>
    <x v="175"/>
    <x v="10"/>
    <s v="August"/>
    <x v="725"/>
    <x v="7"/>
    <s v="Sangli-Miraj &amp; Kupwad"/>
    <s v="Raksha Bandhan"/>
    <n v="811"/>
    <n v="3"/>
  </r>
  <r>
    <n v="731"/>
    <s v="C083"/>
    <n v="59"/>
    <s v="Pariatur Box"/>
    <s v="Cake"/>
    <n v="5"/>
    <n v="811"/>
    <x v="49"/>
    <s v="August"/>
    <s v="Friday"/>
    <d v="1899-12-30T12:01:20"/>
    <x v="66"/>
    <x v="19"/>
    <s v="September"/>
    <x v="726"/>
    <x v="62"/>
    <s v="Bulandshahr"/>
    <s v="Raksha Bandhan"/>
    <n v="4055"/>
    <n v="8"/>
  </r>
  <r>
    <n v="732"/>
    <s v="C087"/>
    <n v="1"/>
    <s v="Magnam Set"/>
    <s v="Soft Toys"/>
    <n v="2"/>
    <n v="1935"/>
    <x v="247"/>
    <s v="October"/>
    <s v="Monday"/>
    <d v="1899-12-30T16:47:12"/>
    <x v="256"/>
    <x v="8"/>
    <s v="October"/>
    <x v="727"/>
    <x v="10"/>
    <s v="Bongaigaon"/>
    <s v="All Occasions"/>
    <n v="3870"/>
    <n v="5"/>
  </r>
  <r>
    <n v="733"/>
    <s v="C060"/>
    <n v="32"/>
    <s v="Fuga Set"/>
    <s v="Soft Toys"/>
    <n v="3"/>
    <n v="1792"/>
    <x v="154"/>
    <s v="April"/>
    <s v="Saturday"/>
    <d v="1899-12-30T00:51:37"/>
    <x v="257"/>
    <x v="5"/>
    <s v="April"/>
    <x v="728"/>
    <x v="55"/>
    <s v="Ludhiana"/>
    <s v="Birthday"/>
    <n v="5376"/>
    <n v="2"/>
  </r>
  <r>
    <n v="734"/>
    <s v="C008"/>
    <n v="49"/>
    <s v="Voluptate Pack"/>
    <s v="Colors"/>
    <n v="3"/>
    <n v="903"/>
    <x v="4"/>
    <s v="February"/>
    <s v="Saturday"/>
    <d v="1899-12-30T11:44:37"/>
    <x v="16"/>
    <x v="12"/>
    <s v="February"/>
    <x v="729"/>
    <x v="51"/>
    <s v="Morena"/>
    <s v="Valentine's Day"/>
    <n v="2709"/>
    <n v="3"/>
  </r>
  <r>
    <n v="735"/>
    <s v="C037"/>
    <n v="56"/>
    <s v="Quia Gift"/>
    <s v="Raksha Bandhan"/>
    <n v="1"/>
    <n v="1272"/>
    <x v="162"/>
    <s v="February"/>
    <s v="Thursday"/>
    <d v="1899-12-30T07:22:26"/>
    <x v="258"/>
    <x v="14"/>
    <s v="February"/>
    <x v="730"/>
    <x v="0"/>
    <s v="Nandyal"/>
    <s v="Anniversary"/>
    <n v="1272"/>
    <n v="2"/>
  </r>
  <r>
    <n v="736"/>
    <s v="C008"/>
    <n v="70"/>
    <s v="Error Gift"/>
    <s v="Sweets"/>
    <n v="5"/>
    <n v="866"/>
    <x v="248"/>
    <s v="May"/>
    <s v="Tuesday"/>
    <d v="1899-12-30T03:47:04"/>
    <x v="118"/>
    <x v="9"/>
    <s v="May"/>
    <x v="731"/>
    <x v="51"/>
    <s v="Ghaziabad"/>
    <s v="Birthday"/>
    <n v="4330"/>
    <n v="9"/>
  </r>
  <r>
    <n v="737"/>
    <s v="C068"/>
    <n v="46"/>
    <s v="Pariatur Set"/>
    <s v="Cake"/>
    <n v="5"/>
    <n v="758"/>
    <x v="249"/>
    <s v="September"/>
    <s v="Thursday"/>
    <d v="1899-12-30T07:35:50"/>
    <x v="259"/>
    <x v="14"/>
    <s v="September"/>
    <x v="732"/>
    <x v="34"/>
    <s v="Bhilwara"/>
    <s v="Anniversary"/>
    <n v="3790"/>
    <n v="3"/>
  </r>
  <r>
    <n v="738"/>
    <s v="C098"/>
    <n v="16"/>
    <s v="Ut Pack"/>
    <s v="Sweets"/>
    <n v="5"/>
    <n v="1721"/>
    <x v="52"/>
    <s v="March"/>
    <s v="Friday"/>
    <d v="1899-12-30T16:23:38"/>
    <x v="170"/>
    <x v="8"/>
    <s v="March"/>
    <x v="733"/>
    <x v="77"/>
    <s v="Maheshtala"/>
    <s v="Holi"/>
    <n v="8605"/>
    <n v="6"/>
  </r>
  <r>
    <n v="739"/>
    <s v="C094"/>
    <n v="24"/>
    <s v="Ad Box"/>
    <s v="Mugs"/>
    <n v="5"/>
    <n v="535"/>
    <x v="250"/>
    <s v="January"/>
    <s v="Monday"/>
    <d v="1899-12-30T09:43:50"/>
    <x v="202"/>
    <x v="17"/>
    <s v="February"/>
    <x v="734"/>
    <x v="69"/>
    <s v="Berhampur"/>
    <s v="Birthday"/>
    <n v="2675"/>
    <n v="4"/>
  </r>
  <r>
    <n v="740"/>
    <s v="C004"/>
    <n v="56"/>
    <s v="Quia Gift"/>
    <s v="Raksha Bandhan"/>
    <n v="4"/>
    <n v="1272"/>
    <x v="1"/>
    <s v="November"/>
    <s v="Tuesday"/>
    <d v="1899-12-30T16:11:58"/>
    <x v="60"/>
    <x v="8"/>
    <s v="November"/>
    <x v="735"/>
    <x v="75"/>
    <s v="Silchar"/>
    <s v="Anniversary"/>
    <n v="5088"/>
    <n v="5"/>
  </r>
  <r>
    <n v="741"/>
    <s v="C072"/>
    <n v="53"/>
    <s v="Ipsam Set"/>
    <s v="Sweets"/>
    <n v="5"/>
    <n v="1672"/>
    <x v="61"/>
    <s v="August"/>
    <s v="Wednesday"/>
    <d v="1899-12-30T12:47:09"/>
    <x v="141"/>
    <x v="19"/>
    <s v="September"/>
    <x v="736"/>
    <x v="15"/>
    <s v="Siwan"/>
    <s v="Raksha Bandhan"/>
    <n v="8360"/>
    <n v="9"/>
  </r>
  <r>
    <n v="742"/>
    <s v="C089"/>
    <n v="53"/>
    <s v="Ipsam Set"/>
    <s v="Sweets"/>
    <n v="5"/>
    <n v="1672"/>
    <x v="109"/>
    <s v="August"/>
    <s v="Thursday"/>
    <d v="1899-12-30T19:50:07"/>
    <x v="4"/>
    <x v="1"/>
    <s v="August"/>
    <x v="737"/>
    <x v="76"/>
    <s v="Panchkula"/>
    <s v="Raksha Bandhan"/>
    <n v="8360"/>
    <n v="2"/>
  </r>
  <r>
    <n v="743"/>
    <s v="C045"/>
    <n v="4"/>
    <s v="Accusantium Set"/>
    <s v="Sweets"/>
    <n v="2"/>
    <n v="1199"/>
    <x v="17"/>
    <s v="November"/>
    <s v="Thursday"/>
    <d v="1899-12-30T13:28:07"/>
    <x v="1"/>
    <x v="18"/>
    <s v="November"/>
    <x v="738"/>
    <x v="39"/>
    <s v="Tiruppur"/>
    <s v="Diwali"/>
    <n v="2398"/>
    <n v="4"/>
  </r>
  <r>
    <n v="744"/>
    <s v="C023"/>
    <n v="45"/>
    <s v="Iusto Set"/>
    <s v="Raksha Bandhan"/>
    <n v="4"/>
    <n v="722"/>
    <x v="107"/>
    <s v="October"/>
    <s v="Friday"/>
    <d v="1899-12-30T17:53:21"/>
    <x v="248"/>
    <x v="21"/>
    <s v="October"/>
    <x v="739"/>
    <x v="18"/>
    <s v="Junagadh"/>
    <s v="Birthday"/>
    <n v="2888"/>
    <n v="1"/>
  </r>
  <r>
    <n v="745"/>
    <s v="C052"/>
    <n v="44"/>
    <s v="Dolorum Set"/>
    <s v="Plants"/>
    <n v="1"/>
    <n v="794"/>
    <x v="1"/>
    <s v="November"/>
    <s v="Tuesday"/>
    <d v="1899-12-30T09:12:26"/>
    <x v="148"/>
    <x v="17"/>
    <s v="November"/>
    <x v="740"/>
    <x v="9"/>
    <s v="Kolkata"/>
    <s v="Diwali"/>
    <n v="794"/>
    <n v="2"/>
  </r>
  <r>
    <n v="746"/>
    <s v="C051"/>
    <n v="35"/>
    <s v="Nam Gift"/>
    <s v="Colors"/>
    <n v="2"/>
    <n v="1865"/>
    <x v="9"/>
    <s v="March"/>
    <s v="Thursday"/>
    <d v="1899-12-30T05:23:29"/>
    <x v="44"/>
    <x v="16"/>
    <s v="March"/>
    <x v="741"/>
    <x v="65"/>
    <s v="Parbhani"/>
    <s v="Holi"/>
    <n v="3730"/>
    <n v="4"/>
  </r>
  <r>
    <n v="747"/>
    <s v="C009"/>
    <n v="6"/>
    <s v="Quos Box"/>
    <s v="Cake"/>
    <n v="4"/>
    <n v="1112"/>
    <x v="21"/>
    <s v="March"/>
    <s v="Monday"/>
    <d v="1899-12-30T03:43:24"/>
    <x v="57"/>
    <x v="9"/>
    <s v="March"/>
    <x v="742"/>
    <x v="6"/>
    <s v="Dhanbad"/>
    <s v="Holi"/>
    <n v="4448"/>
    <n v="5"/>
  </r>
  <r>
    <n v="748"/>
    <s v="C079"/>
    <n v="26"/>
    <s v="Aliquam Box"/>
    <s v="Colors"/>
    <n v="1"/>
    <n v="289"/>
    <x v="21"/>
    <s v="March"/>
    <s v="Monday"/>
    <d v="1899-12-30T11:13:52"/>
    <x v="32"/>
    <x v="12"/>
    <s v="March"/>
    <x v="743"/>
    <x v="79"/>
    <s v="Tenali"/>
    <s v="Holi"/>
    <n v="289"/>
    <n v="1"/>
  </r>
  <r>
    <n v="749"/>
    <s v="C099"/>
    <n v="12"/>
    <s v="Non Set"/>
    <s v="Plants"/>
    <n v="2"/>
    <n v="672"/>
    <x v="72"/>
    <s v="June"/>
    <s v="Monday"/>
    <d v="1899-12-30T13:13:17"/>
    <x v="159"/>
    <x v="18"/>
    <s v="June"/>
    <x v="744"/>
    <x v="9"/>
    <s v="Nanded"/>
    <s v="Anniversary"/>
    <n v="1344"/>
    <n v="5"/>
  </r>
  <r>
    <n v="750"/>
    <s v="C022"/>
    <n v="19"/>
    <s v="Iure Gift"/>
    <s v="Mugs"/>
    <n v="3"/>
    <n v="1234"/>
    <x v="41"/>
    <s v="February"/>
    <s v="Wednesday"/>
    <d v="1899-12-30T09:22:41"/>
    <x v="16"/>
    <x v="17"/>
    <s v="February"/>
    <x v="745"/>
    <x v="67"/>
    <s v="Chapra"/>
    <s v="Valentine's Day"/>
    <n v="3702"/>
    <n v="6"/>
  </r>
  <r>
    <n v="751"/>
    <s v="C084"/>
    <n v="23"/>
    <s v="Dignissimos Pack"/>
    <s v="Sweets"/>
    <n v="5"/>
    <n v="1098"/>
    <x v="116"/>
    <s v="April"/>
    <s v="Monday"/>
    <d v="1899-12-30T07:12:34"/>
    <x v="172"/>
    <x v="14"/>
    <s v="April"/>
    <x v="746"/>
    <x v="68"/>
    <s v="Gandhidham"/>
    <s v="Anniversary"/>
    <n v="5490"/>
    <n v="5"/>
  </r>
  <r>
    <n v="752"/>
    <s v="C034"/>
    <n v="3"/>
    <s v="Eius Gift"/>
    <s v="Colors"/>
    <n v="5"/>
    <n v="1534"/>
    <x v="29"/>
    <s v="February"/>
    <s v="Friday"/>
    <d v="1899-12-30T11:38:01"/>
    <x v="17"/>
    <x v="12"/>
    <s v="February"/>
    <x v="747"/>
    <x v="66"/>
    <s v="Bally"/>
    <s v="Valentine's Day"/>
    <n v="7670"/>
    <n v="2"/>
  </r>
  <r>
    <n v="753"/>
    <s v="C045"/>
    <n v="60"/>
    <s v="Ea Set"/>
    <s v="Sweets"/>
    <n v="1"/>
    <n v="827"/>
    <x v="76"/>
    <s v="November"/>
    <s v="Monday"/>
    <d v="1899-12-30T06:55:38"/>
    <x v="60"/>
    <x v="22"/>
    <s v="November"/>
    <x v="748"/>
    <x v="39"/>
    <s v="Tinsukia"/>
    <s v="Diwali"/>
    <n v="827"/>
    <n v="6"/>
  </r>
  <r>
    <n v="754"/>
    <s v="C083"/>
    <n v="51"/>
    <s v="Fugit Set"/>
    <s v="Soft Toys"/>
    <n v="2"/>
    <n v="1084"/>
    <x v="251"/>
    <s v="November"/>
    <s v="Wednesday"/>
    <d v="1899-12-30T20:40:33"/>
    <x v="74"/>
    <x v="6"/>
    <s v="November"/>
    <x v="749"/>
    <x v="62"/>
    <s v="Pimpri-Chinchwad"/>
    <s v="All Occasions"/>
    <n v="2168"/>
    <n v="7"/>
  </r>
  <r>
    <n v="755"/>
    <s v="C037"/>
    <n v="6"/>
    <s v="Quos Box"/>
    <s v="Cake"/>
    <n v="5"/>
    <n v="1112"/>
    <x v="64"/>
    <s v="February"/>
    <s v="Monday"/>
    <d v="1899-12-30T16:33:26"/>
    <x v="44"/>
    <x v="8"/>
    <s v="March"/>
    <x v="750"/>
    <x v="0"/>
    <s v="Aurangabad"/>
    <s v="Holi"/>
    <n v="5560"/>
    <n v="7"/>
  </r>
  <r>
    <n v="756"/>
    <s v="C034"/>
    <n v="51"/>
    <s v="Fugit Set"/>
    <s v="Soft Toys"/>
    <n v="4"/>
    <n v="1084"/>
    <x v="252"/>
    <s v="July"/>
    <s v="Saturday"/>
    <d v="1899-12-30T18:25:27"/>
    <x v="19"/>
    <x v="23"/>
    <s v="August"/>
    <x v="751"/>
    <x v="66"/>
    <s v="Buxar"/>
    <s v="All Occasions"/>
    <n v="4336"/>
    <n v="5"/>
  </r>
  <r>
    <n v="757"/>
    <s v="C001"/>
    <n v="2"/>
    <s v="Voluptas Box"/>
    <s v="Plants"/>
    <n v="3"/>
    <n v="441"/>
    <x v="33"/>
    <s v="February"/>
    <s v="Sunday"/>
    <d v="1899-12-30T10:23:53"/>
    <x v="14"/>
    <x v="13"/>
    <s v="February"/>
    <x v="752"/>
    <x v="41"/>
    <s v="Shivpuri"/>
    <s v="Valentine's Day"/>
    <n v="1323"/>
    <n v="8"/>
  </r>
  <r>
    <n v="758"/>
    <s v="C043"/>
    <n v="40"/>
    <s v="Provident Pack"/>
    <s v="Sweets"/>
    <n v="5"/>
    <n v="1923"/>
    <x v="247"/>
    <s v="October"/>
    <s v="Monday"/>
    <d v="1899-12-30T09:12:26"/>
    <x v="115"/>
    <x v="17"/>
    <s v="October"/>
    <x v="753"/>
    <x v="61"/>
    <s v="Ajmer"/>
    <s v="Anniversary"/>
    <n v="9615"/>
    <n v="4"/>
  </r>
  <r>
    <n v="759"/>
    <s v="C084"/>
    <n v="48"/>
    <s v="Maiores Gift"/>
    <s v="Colors"/>
    <n v="5"/>
    <n v="433"/>
    <x v="31"/>
    <s v="November"/>
    <s v="Thursday"/>
    <d v="1899-12-30T06:12:14"/>
    <x v="108"/>
    <x v="22"/>
    <s v="November"/>
    <x v="754"/>
    <x v="68"/>
    <s v="Bathinda"/>
    <s v="Diwali"/>
    <n v="2165"/>
    <n v="9"/>
  </r>
  <r>
    <n v="760"/>
    <s v="C043"/>
    <n v="18"/>
    <s v="Nemo Set"/>
    <s v="Plants"/>
    <n v="1"/>
    <n v="781"/>
    <x v="253"/>
    <s v="September"/>
    <s v="Tuesday"/>
    <d v="1899-12-30T02:28:05"/>
    <x v="260"/>
    <x v="10"/>
    <s v="September"/>
    <x v="755"/>
    <x v="61"/>
    <s v="Ghaziabad"/>
    <s v="Birthday"/>
    <n v="781"/>
    <n v="2"/>
  </r>
  <r>
    <n v="761"/>
    <s v="C008"/>
    <n v="24"/>
    <s v="Ad Box"/>
    <s v="Mugs"/>
    <n v="5"/>
    <n v="535"/>
    <x v="36"/>
    <s v="April"/>
    <s v="Tuesday"/>
    <d v="1899-12-30T03:25:13"/>
    <x v="25"/>
    <x v="9"/>
    <s v="April"/>
    <x v="756"/>
    <x v="51"/>
    <s v="Ambala"/>
    <s v="Birthday"/>
    <n v="2675"/>
    <n v="7"/>
  </r>
  <r>
    <n v="762"/>
    <s v="C064"/>
    <n v="50"/>
    <s v="Eligendi Set"/>
    <s v="Plants"/>
    <n v="1"/>
    <n v="422"/>
    <x v="8"/>
    <s v="February"/>
    <s v="Sunday"/>
    <d v="1899-12-30T10:11:19"/>
    <x v="81"/>
    <x v="13"/>
    <s v="March"/>
    <x v="757"/>
    <x v="24"/>
    <s v="Bangalore"/>
    <s v="Holi"/>
    <n v="422"/>
    <n v="3"/>
  </r>
  <r>
    <n v="763"/>
    <s v="C070"/>
    <n v="29"/>
    <s v="In Set"/>
    <s v="Colors"/>
    <n v="4"/>
    <n v="1252"/>
    <x v="9"/>
    <s v="March"/>
    <s v="Thursday"/>
    <d v="1899-12-30T15:22:09"/>
    <x v="11"/>
    <x v="11"/>
    <s v="March"/>
    <x v="758"/>
    <x v="66"/>
    <s v="Nellore"/>
    <s v="Holi"/>
    <n v="5008"/>
    <n v="2"/>
  </r>
  <r>
    <n v="764"/>
    <s v="C039"/>
    <n v="65"/>
    <s v="Error Gift"/>
    <s v="Raksha Bandhan"/>
    <n v="3"/>
    <n v="1895"/>
    <x v="254"/>
    <s v="August"/>
    <s v="Tuesday"/>
    <d v="1899-12-30T19:59:36"/>
    <x v="65"/>
    <x v="1"/>
    <s v="August"/>
    <x v="759"/>
    <x v="57"/>
    <s v="Berhampur"/>
    <s v="All Occasions"/>
    <n v="5685"/>
    <n v="4"/>
  </r>
  <r>
    <n v="765"/>
    <s v="C055"/>
    <n v="41"/>
    <s v="Aut Box"/>
    <s v="Sweets"/>
    <n v="2"/>
    <n v="1977"/>
    <x v="69"/>
    <s v="November"/>
    <s v="Friday"/>
    <d v="1899-12-30T02:37:40"/>
    <x v="78"/>
    <x v="10"/>
    <s v="November"/>
    <x v="760"/>
    <x v="27"/>
    <s v="Ambala"/>
    <s v="Diwali"/>
    <n v="3954"/>
    <n v="3"/>
  </r>
  <r>
    <n v="766"/>
    <s v="C077"/>
    <n v="1"/>
    <s v="Magnam Set"/>
    <s v="Soft Toys"/>
    <n v="4"/>
    <n v="1935"/>
    <x v="207"/>
    <s v="July"/>
    <s v="Sunday"/>
    <d v="1899-12-30T16:28:53"/>
    <x v="261"/>
    <x v="8"/>
    <s v="July"/>
    <x v="249"/>
    <x v="41"/>
    <s v="Hospet"/>
    <s v="All Occasions"/>
    <n v="7740"/>
    <n v="5"/>
  </r>
  <r>
    <n v="767"/>
    <s v="C077"/>
    <n v="13"/>
    <s v="Et Set"/>
    <s v="Mugs"/>
    <n v="2"/>
    <n v="1141"/>
    <x v="52"/>
    <s v="March"/>
    <s v="Friday"/>
    <d v="1899-12-30T02:21:13"/>
    <x v="11"/>
    <x v="10"/>
    <s v="March"/>
    <x v="761"/>
    <x v="41"/>
    <s v="Rohtak"/>
    <s v="Holi"/>
    <n v="2282"/>
    <n v="1"/>
  </r>
  <r>
    <n v="768"/>
    <s v="C087"/>
    <n v="1"/>
    <s v="Magnam Set"/>
    <s v="Soft Toys"/>
    <n v="1"/>
    <n v="1935"/>
    <x v="30"/>
    <s v="November"/>
    <s v="Saturday"/>
    <d v="1899-12-30T18:37:41"/>
    <x v="38"/>
    <x v="23"/>
    <s v="November"/>
    <x v="762"/>
    <x v="10"/>
    <s v="Howrah"/>
    <s v="All Occasions"/>
    <n v="1935"/>
    <n v="5"/>
  </r>
  <r>
    <n v="769"/>
    <s v="C029"/>
    <n v="28"/>
    <s v="Velit Set"/>
    <s v="Sweets"/>
    <n v="2"/>
    <n v="1778"/>
    <x v="49"/>
    <s v="August"/>
    <s v="Friday"/>
    <d v="1899-12-30T09:37:39"/>
    <x v="66"/>
    <x v="17"/>
    <s v="September"/>
    <x v="763"/>
    <x v="2"/>
    <s v="Ongole"/>
    <s v="Raksha Bandhan"/>
    <n v="3556"/>
    <n v="8"/>
  </r>
  <r>
    <n v="770"/>
    <s v="C080"/>
    <n v="25"/>
    <s v="Qui Gift"/>
    <s v="Plants"/>
    <n v="3"/>
    <n v="1202"/>
    <x v="67"/>
    <s v="May"/>
    <s v="Monday"/>
    <d v="1899-12-30T00:20:57"/>
    <x v="236"/>
    <x v="5"/>
    <s v="June"/>
    <x v="764"/>
    <x v="31"/>
    <s v="Pallavaram"/>
    <s v="Anniversary"/>
    <n v="3606"/>
    <n v="9"/>
  </r>
  <r>
    <n v="771"/>
    <s v="C056"/>
    <n v="9"/>
    <s v="Aperiam Box"/>
    <s v="Colors"/>
    <n v="2"/>
    <n v="1605"/>
    <x v="11"/>
    <s v="August"/>
    <s v="Saturday"/>
    <d v="1899-12-30T17:00:07"/>
    <x v="141"/>
    <x v="21"/>
    <s v="September"/>
    <x v="765"/>
    <x v="2"/>
    <s v="Vijayanagaram"/>
    <s v="Raksha Bandhan"/>
    <n v="3210"/>
    <n v="6"/>
  </r>
  <r>
    <n v="772"/>
    <s v="C085"/>
    <n v="35"/>
    <s v="Nam Gift"/>
    <s v="Colors"/>
    <n v="5"/>
    <n v="1865"/>
    <x v="125"/>
    <s v="March"/>
    <s v="Wednesday"/>
    <d v="1899-12-30T05:03:06"/>
    <x v="11"/>
    <x v="16"/>
    <s v="March"/>
    <x v="766"/>
    <x v="71"/>
    <s v="Machilipatnam"/>
    <s v="Holi"/>
    <n v="9325"/>
    <n v="3"/>
  </r>
  <r>
    <n v="773"/>
    <s v="C031"/>
    <n v="39"/>
    <s v="Voluptate Set"/>
    <s v="Mugs"/>
    <n v="4"/>
    <n v="387"/>
    <x v="255"/>
    <s v="January"/>
    <s v="Saturday"/>
    <d v="1899-12-30T02:11:24"/>
    <x v="201"/>
    <x v="10"/>
    <s v="January"/>
    <x v="767"/>
    <x v="35"/>
    <s v="Karaikudi"/>
    <s v="All Occasions"/>
    <n v="1548"/>
    <n v="6"/>
  </r>
  <r>
    <n v="774"/>
    <s v="C051"/>
    <n v="65"/>
    <s v="Error Gift"/>
    <s v="Raksha Bandhan"/>
    <n v="5"/>
    <n v="1895"/>
    <x v="256"/>
    <s v="June"/>
    <s v="Saturday"/>
    <d v="1899-12-30T21:28:21"/>
    <x v="206"/>
    <x v="20"/>
    <s v="June"/>
    <x v="768"/>
    <x v="65"/>
    <s v="Begusarai"/>
    <s v="All Occasions"/>
    <n v="9475"/>
    <n v="10"/>
  </r>
  <r>
    <n v="775"/>
    <s v="C077"/>
    <n v="45"/>
    <s v="Iusto Set"/>
    <s v="Raksha Bandhan"/>
    <n v="1"/>
    <n v="722"/>
    <x v="229"/>
    <s v="February"/>
    <s v="Sunday"/>
    <d v="1899-12-30T03:48:10"/>
    <x v="133"/>
    <x v="9"/>
    <s v="February"/>
    <x v="769"/>
    <x v="41"/>
    <s v="Anand"/>
    <s v="Birthday"/>
    <n v="722"/>
    <n v="5"/>
  </r>
  <r>
    <n v="776"/>
    <s v="C051"/>
    <n v="43"/>
    <s v="Quisquam Pack"/>
    <s v="Raksha Bandhan"/>
    <n v="1"/>
    <n v="750"/>
    <x v="17"/>
    <s v="November"/>
    <s v="Thursday"/>
    <d v="1899-12-30T07:28:54"/>
    <x v="60"/>
    <x v="14"/>
    <s v="November"/>
    <x v="770"/>
    <x v="65"/>
    <s v="Alwar"/>
    <s v="Diwali"/>
    <n v="750"/>
    <n v="3"/>
  </r>
  <r>
    <n v="777"/>
    <s v="C016"/>
    <n v="70"/>
    <s v="Error Gift"/>
    <s v="Sweets"/>
    <n v="3"/>
    <n v="866"/>
    <x v="0"/>
    <s v="February"/>
    <s v="Friday"/>
    <d v="1899-12-30T15:33:57"/>
    <x v="51"/>
    <x v="11"/>
    <s v="February"/>
    <x v="771"/>
    <x v="73"/>
    <s v="Bhusawal"/>
    <s v="Birthday"/>
    <n v="2598"/>
    <n v="3"/>
  </r>
  <r>
    <n v="778"/>
    <s v="C033"/>
    <n v="61"/>
    <s v="Iusto Box"/>
    <s v="Plants"/>
    <n v="4"/>
    <n v="810"/>
    <x v="218"/>
    <s v="May"/>
    <s v="Wednesday"/>
    <d v="1899-12-30T03:58:40"/>
    <x v="5"/>
    <x v="9"/>
    <s v="May"/>
    <x v="772"/>
    <x v="45"/>
    <s v="Raebareli"/>
    <s v="Anniversary"/>
    <n v="3240"/>
    <n v="3"/>
  </r>
  <r>
    <n v="779"/>
    <s v="C052"/>
    <n v="3"/>
    <s v="Eius Gift"/>
    <s v="Colors"/>
    <n v="1"/>
    <n v="1534"/>
    <x v="103"/>
    <s v="February"/>
    <s v="Monday"/>
    <d v="1899-12-30T06:26:37"/>
    <x v="62"/>
    <x v="22"/>
    <s v="February"/>
    <x v="773"/>
    <x v="9"/>
    <s v="Durgapur"/>
    <s v="Valentine's Day"/>
    <n v="1534"/>
    <n v="2"/>
  </r>
  <r>
    <n v="780"/>
    <s v="C070"/>
    <n v="33"/>
    <s v="Earum Set"/>
    <s v="Colors"/>
    <n v="2"/>
    <n v="314"/>
    <x v="29"/>
    <s v="February"/>
    <s v="Friday"/>
    <d v="1899-12-30T11:30:51"/>
    <x v="43"/>
    <x v="12"/>
    <s v="February"/>
    <x v="774"/>
    <x v="66"/>
    <s v="Bikaner"/>
    <s v="Valentine's Day"/>
    <n v="628"/>
    <n v="3"/>
  </r>
  <r>
    <n v="781"/>
    <s v="C084"/>
    <n v="40"/>
    <s v="Provident Pack"/>
    <s v="Sweets"/>
    <n v="2"/>
    <n v="1923"/>
    <x v="152"/>
    <s v="September"/>
    <s v="Wednesday"/>
    <d v="1899-12-30T15:26:58"/>
    <x v="26"/>
    <x v="11"/>
    <s v="October"/>
    <x v="775"/>
    <x v="68"/>
    <s v="Muzaffarnagar"/>
    <s v="Anniversary"/>
    <n v="3846"/>
    <n v="8"/>
  </r>
  <r>
    <n v="782"/>
    <s v="C087"/>
    <n v="22"/>
    <s v="Exercitationem Pack"/>
    <s v="Soft Toys"/>
    <n v="4"/>
    <n v="1639"/>
    <x v="36"/>
    <s v="April"/>
    <s v="Tuesday"/>
    <d v="1899-12-30T05:41:20"/>
    <x v="262"/>
    <x v="16"/>
    <s v="April"/>
    <x v="776"/>
    <x v="10"/>
    <s v="Shimoga"/>
    <s v="All Occasions"/>
    <n v="6556"/>
    <n v="8"/>
  </r>
  <r>
    <n v="783"/>
    <s v="C024"/>
    <n v="55"/>
    <s v="Dolores Gift"/>
    <s v="Soft Toys"/>
    <n v="5"/>
    <n v="1904"/>
    <x v="110"/>
    <s v="August"/>
    <s v="Monday"/>
    <d v="1899-12-30T04:31:27"/>
    <x v="7"/>
    <x v="2"/>
    <s v="August"/>
    <x v="777"/>
    <x v="11"/>
    <s v="Visakhapatnam"/>
    <s v="Raksha Bandhan"/>
    <n v="9520"/>
    <n v="1"/>
  </r>
  <r>
    <n v="784"/>
    <s v="C042"/>
    <n v="56"/>
    <s v="Quia Gift"/>
    <s v="Raksha Bandhan"/>
    <n v="2"/>
    <n v="1272"/>
    <x v="99"/>
    <s v="June"/>
    <s v="Friday"/>
    <d v="1899-12-30T08:25:52"/>
    <x v="236"/>
    <x v="7"/>
    <s v="June"/>
    <x v="778"/>
    <x v="12"/>
    <s v="Bhalswa Jahangir Pur"/>
    <s v="Anniversary"/>
    <n v="2544"/>
    <n v="5"/>
  </r>
  <r>
    <n v="785"/>
    <s v="C052"/>
    <n v="47"/>
    <s v="Harum Pack"/>
    <s v="Colors"/>
    <n v="5"/>
    <n v="1638"/>
    <x v="8"/>
    <s v="February"/>
    <s v="Sunday"/>
    <d v="1899-12-30T17:41:34"/>
    <x v="81"/>
    <x v="21"/>
    <s v="March"/>
    <x v="779"/>
    <x v="9"/>
    <s v="Jodhpur"/>
    <s v="Holi"/>
    <n v="8190"/>
    <n v="3"/>
  </r>
  <r>
    <n v="786"/>
    <s v="C003"/>
    <n v="47"/>
    <s v="Harum Pack"/>
    <s v="Colors"/>
    <n v="1"/>
    <n v="1638"/>
    <x v="88"/>
    <s v="March"/>
    <s v="Sunday"/>
    <d v="1899-12-30T22:47:05"/>
    <x v="32"/>
    <x v="3"/>
    <s v="March"/>
    <x v="780"/>
    <x v="3"/>
    <s v="Kirari Suleman Nagar"/>
    <s v="Holi"/>
    <n v="1638"/>
    <n v="2"/>
  </r>
  <r>
    <n v="787"/>
    <s v="C069"/>
    <n v="9"/>
    <s v="Aperiam Box"/>
    <s v="Colors"/>
    <n v="1"/>
    <n v="1605"/>
    <x v="49"/>
    <s v="August"/>
    <s v="Friday"/>
    <d v="1899-12-30T21:42:12"/>
    <x v="42"/>
    <x v="20"/>
    <s v="August"/>
    <x v="781"/>
    <x v="13"/>
    <s v="Ambarnath"/>
    <s v="Raksha Bandhan"/>
    <n v="1605"/>
    <n v="2"/>
  </r>
  <r>
    <n v="788"/>
    <s v="C099"/>
    <n v="53"/>
    <s v="Ipsam Set"/>
    <s v="Sweets"/>
    <n v="3"/>
    <n v="1672"/>
    <x v="109"/>
    <s v="August"/>
    <s v="Thursday"/>
    <d v="1899-12-30T04:58:58"/>
    <x v="42"/>
    <x v="2"/>
    <s v="August"/>
    <x v="782"/>
    <x v="9"/>
    <s v="Durgapur"/>
    <s v="Raksha Bandhan"/>
    <n v="5016"/>
    <n v="3"/>
  </r>
  <r>
    <n v="789"/>
    <s v="C048"/>
    <n v="58"/>
    <s v="Sed Pack"/>
    <s v="Cake"/>
    <n v="4"/>
    <n v="1492"/>
    <x v="41"/>
    <s v="February"/>
    <s v="Wednesday"/>
    <d v="1899-12-30T18:19:36"/>
    <x v="28"/>
    <x v="23"/>
    <s v="February"/>
    <x v="783"/>
    <x v="42"/>
    <s v="Bally"/>
    <s v="Valentine's Day"/>
    <n v="5968"/>
    <n v="7"/>
  </r>
  <r>
    <n v="790"/>
    <s v="C046"/>
    <n v="26"/>
    <s v="Aliquam Box"/>
    <s v="Colors"/>
    <n v="2"/>
    <n v="289"/>
    <x v="25"/>
    <s v="February"/>
    <s v="Tuesday"/>
    <d v="1899-12-30T06:03:29"/>
    <x v="8"/>
    <x v="22"/>
    <s v="March"/>
    <x v="784"/>
    <x v="32"/>
    <s v="Chennai"/>
    <s v="Holi"/>
    <n v="578"/>
    <n v="8"/>
  </r>
  <r>
    <n v="791"/>
    <s v="C093"/>
    <n v="51"/>
    <s v="Fugit Set"/>
    <s v="Soft Toys"/>
    <n v="2"/>
    <n v="1084"/>
    <x v="257"/>
    <s v="May"/>
    <s v="Saturday"/>
    <d v="1899-12-30T02:29:51"/>
    <x v="191"/>
    <x v="10"/>
    <s v="May"/>
    <x v="785"/>
    <x v="74"/>
    <s v="Bhubaneswar"/>
    <s v="All Occasions"/>
    <n v="2168"/>
    <n v="3"/>
  </r>
  <r>
    <n v="792"/>
    <s v="C015"/>
    <n v="43"/>
    <s v="Quisquam Pack"/>
    <s v="Raksha Bandhan"/>
    <n v="2"/>
    <n v="750"/>
    <x v="17"/>
    <s v="November"/>
    <s v="Thursday"/>
    <d v="1899-12-30T07:00:56"/>
    <x v="47"/>
    <x v="14"/>
    <s v="November"/>
    <x v="786"/>
    <x v="44"/>
    <s v="Munger"/>
    <s v="Diwali"/>
    <n v="1500"/>
    <n v="1"/>
  </r>
  <r>
    <n v="793"/>
    <s v="C095"/>
    <n v="58"/>
    <s v="Sed Pack"/>
    <s v="Cake"/>
    <n v="5"/>
    <n v="1492"/>
    <x v="81"/>
    <s v="February"/>
    <s v="Sunday"/>
    <d v="1899-12-30T17:37:16"/>
    <x v="28"/>
    <x v="21"/>
    <s v="February"/>
    <x v="787"/>
    <x v="40"/>
    <s v="Mirzapur"/>
    <s v="Valentine's Day"/>
    <n v="7460"/>
    <n v="10"/>
  </r>
  <r>
    <n v="794"/>
    <s v="C079"/>
    <n v="13"/>
    <s v="Et Set"/>
    <s v="Mugs"/>
    <n v="4"/>
    <n v="1141"/>
    <x v="26"/>
    <s v="March"/>
    <s v="Saturday"/>
    <d v="1899-12-30T17:11:58"/>
    <x v="170"/>
    <x v="21"/>
    <s v="March"/>
    <x v="788"/>
    <x v="79"/>
    <s v="Shimoga"/>
    <s v="Holi"/>
    <n v="4564"/>
    <n v="5"/>
  </r>
  <r>
    <n v="795"/>
    <s v="C070"/>
    <n v="7"/>
    <s v="Quos Set"/>
    <s v="Soft Toys"/>
    <n v="1"/>
    <n v="409"/>
    <x v="52"/>
    <s v="March"/>
    <s v="Friday"/>
    <d v="1899-12-30T17:58:36"/>
    <x v="32"/>
    <x v="21"/>
    <s v="March"/>
    <x v="789"/>
    <x v="66"/>
    <s v="Ujjain"/>
    <s v="Holi"/>
    <n v="409"/>
    <n v="4"/>
  </r>
  <r>
    <n v="796"/>
    <s v="C002"/>
    <n v="61"/>
    <s v="Iusto Box"/>
    <s v="Plants"/>
    <n v="4"/>
    <n v="810"/>
    <x v="18"/>
    <s v="May"/>
    <s v="Friday"/>
    <d v="1899-12-30T07:53:26"/>
    <x v="231"/>
    <x v="14"/>
    <s v="May"/>
    <x v="790"/>
    <x v="83"/>
    <s v="Rajkot"/>
    <s v="Anniversary"/>
    <n v="3240"/>
    <n v="9"/>
  </r>
  <r>
    <n v="797"/>
    <s v="C047"/>
    <n v="13"/>
    <s v="Et Set"/>
    <s v="Mugs"/>
    <n v="2"/>
    <n v="1141"/>
    <x v="52"/>
    <s v="March"/>
    <s v="Friday"/>
    <d v="1899-12-30T20:57:50"/>
    <x v="101"/>
    <x v="6"/>
    <s v="March"/>
    <x v="791"/>
    <x v="25"/>
    <s v="Tiruvottiyur"/>
    <s v="Holi"/>
    <n v="2282"/>
    <n v="7"/>
  </r>
  <r>
    <n v="798"/>
    <s v="C043"/>
    <n v="30"/>
    <s v="Recusandae Pack"/>
    <s v="Colors"/>
    <n v="5"/>
    <n v="751"/>
    <x v="258"/>
    <s v="December"/>
    <s v="Sunday"/>
    <d v="1899-12-30T17:35:18"/>
    <x v="140"/>
    <x v="21"/>
    <s v="December"/>
    <x v="792"/>
    <x v="61"/>
    <s v="Sultan Pur Majra"/>
    <s v="Anniversary"/>
    <n v="3755"/>
    <n v="9"/>
  </r>
  <r>
    <n v="799"/>
    <s v="C084"/>
    <n v="32"/>
    <s v="Fuga Set"/>
    <s v="Soft Toys"/>
    <n v="5"/>
    <n v="1792"/>
    <x v="123"/>
    <s v="October"/>
    <s v="Sunday"/>
    <d v="1899-12-30T01:50:09"/>
    <x v="75"/>
    <x v="4"/>
    <s v="November"/>
    <x v="793"/>
    <x v="68"/>
    <s v="Patna"/>
    <s v="Birthday"/>
    <n v="8960"/>
    <n v="10"/>
  </r>
  <r>
    <n v="800"/>
    <s v="C014"/>
    <n v="24"/>
    <s v="Ad Box"/>
    <s v="Mugs"/>
    <n v="5"/>
    <n v="535"/>
    <x v="256"/>
    <s v="June"/>
    <s v="Saturday"/>
    <d v="1899-12-30T21:50:22"/>
    <x v="77"/>
    <x v="20"/>
    <s v="June"/>
    <x v="794"/>
    <x v="37"/>
    <s v="Machilipatnam"/>
    <s v="Birthday"/>
    <n v="2675"/>
    <n v="4"/>
  </r>
  <r>
    <n v="801"/>
    <s v="C058"/>
    <n v="35"/>
    <s v="Nam Gift"/>
    <s v="Colors"/>
    <n v="1"/>
    <n v="1865"/>
    <x v="15"/>
    <s v="March"/>
    <s v="Tuesday"/>
    <d v="1899-12-30T19:15:48"/>
    <x v="137"/>
    <x v="1"/>
    <s v="March"/>
    <x v="795"/>
    <x v="42"/>
    <s v="Dindigul"/>
    <s v="Holi"/>
    <n v="1865"/>
    <n v="8"/>
  </r>
  <r>
    <n v="802"/>
    <s v="C097"/>
    <n v="45"/>
    <s v="Iusto Set"/>
    <s v="Raksha Bandhan"/>
    <n v="3"/>
    <n v="722"/>
    <x v="181"/>
    <s v="March"/>
    <s v="Thursday"/>
    <d v="1899-12-30T12:37:23"/>
    <x v="125"/>
    <x v="19"/>
    <s v="March"/>
    <x v="796"/>
    <x v="7"/>
    <s v="Dibrugarh"/>
    <s v="Birthday"/>
    <n v="2166"/>
    <n v="3"/>
  </r>
  <r>
    <n v="803"/>
    <s v="C040"/>
    <n v="26"/>
    <s v="Aliquam Box"/>
    <s v="Colors"/>
    <n v="1"/>
    <n v="289"/>
    <x v="52"/>
    <s v="March"/>
    <s v="Friday"/>
    <d v="1899-12-30T12:03:48"/>
    <x v="101"/>
    <x v="19"/>
    <s v="March"/>
    <x v="797"/>
    <x v="5"/>
    <s v="Sambalpur"/>
    <s v="Holi"/>
    <n v="289"/>
    <n v="7"/>
  </r>
  <r>
    <n v="804"/>
    <s v="C009"/>
    <n v="3"/>
    <s v="Eius Gift"/>
    <s v="Colors"/>
    <n v="3"/>
    <n v="1534"/>
    <x v="81"/>
    <s v="February"/>
    <s v="Sunday"/>
    <d v="1899-12-30T05:37:18"/>
    <x v="85"/>
    <x v="16"/>
    <s v="February"/>
    <x v="798"/>
    <x v="6"/>
    <s v="Deoghar"/>
    <s v="Valentine's Day"/>
    <n v="4602"/>
    <n v="2"/>
  </r>
  <r>
    <n v="805"/>
    <s v="C028"/>
    <n v="24"/>
    <s v="Ad Box"/>
    <s v="Mugs"/>
    <n v="3"/>
    <n v="535"/>
    <x v="259"/>
    <s v="June"/>
    <s v="Sunday"/>
    <d v="1899-12-30T14:39:08"/>
    <x v="190"/>
    <x v="15"/>
    <s v="June"/>
    <x v="799"/>
    <x v="48"/>
    <s v="Bareilly"/>
    <s v="Birthday"/>
    <n v="1605"/>
    <n v="3"/>
  </r>
  <r>
    <n v="806"/>
    <s v="C088"/>
    <n v="29"/>
    <s v="In Set"/>
    <s v="Colors"/>
    <n v="2"/>
    <n v="1252"/>
    <x v="25"/>
    <s v="February"/>
    <s v="Tuesday"/>
    <d v="1899-12-30T13:01:22"/>
    <x v="8"/>
    <x v="18"/>
    <s v="March"/>
    <x v="800"/>
    <x v="23"/>
    <s v="Jhansi"/>
    <s v="Holi"/>
    <n v="2504"/>
    <n v="8"/>
  </r>
  <r>
    <n v="807"/>
    <s v="C006"/>
    <n v="40"/>
    <s v="Provident Pack"/>
    <s v="Sweets"/>
    <n v="4"/>
    <n v="1923"/>
    <x v="235"/>
    <s v="November"/>
    <s v="Wednesday"/>
    <d v="1899-12-30T16:20:19"/>
    <x v="263"/>
    <x v="8"/>
    <s v="December"/>
    <x v="801"/>
    <x v="33"/>
    <s v="Bhopal"/>
    <s v="Anniversary"/>
    <n v="7692"/>
    <n v="10"/>
  </r>
  <r>
    <n v="808"/>
    <s v="C002"/>
    <n v="9"/>
    <s v="Aperiam Box"/>
    <s v="Colors"/>
    <n v="2"/>
    <n v="1605"/>
    <x v="39"/>
    <s v="August"/>
    <s v="Tuesday"/>
    <d v="1899-12-30T15:36:39"/>
    <x v="13"/>
    <x v="11"/>
    <s v="August"/>
    <x v="802"/>
    <x v="83"/>
    <s v="Raurkela Industrial Township"/>
    <s v="Raksha Bandhan"/>
    <n v="3210"/>
    <n v="1"/>
  </r>
  <r>
    <n v="809"/>
    <s v="C062"/>
    <n v="35"/>
    <s v="Nam Gift"/>
    <s v="Colors"/>
    <n v="1"/>
    <n v="1865"/>
    <x v="15"/>
    <s v="March"/>
    <s v="Tuesday"/>
    <d v="1899-12-30T19:50:47"/>
    <x v="171"/>
    <x v="1"/>
    <s v="March"/>
    <x v="803"/>
    <x v="49"/>
    <s v="Ludhiana"/>
    <s v="Holi"/>
    <n v="1865"/>
    <n v="10"/>
  </r>
  <r>
    <n v="810"/>
    <s v="C059"/>
    <n v="24"/>
    <s v="Ad Box"/>
    <s v="Mugs"/>
    <n v="3"/>
    <n v="535"/>
    <x v="194"/>
    <s v="December"/>
    <s v="Friday"/>
    <d v="1899-12-30T05:57:14"/>
    <x v="219"/>
    <x v="16"/>
    <s v="December"/>
    <x v="804"/>
    <x v="34"/>
    <s v="New Delhi"/>
    <s v="Birthday"/>
    <n v="1605"/>
    <n v="2"/>
  </r>
  <r>
    <n v="811"/>
    <s v="C020"/>
    <n v="14"/>
    <s v="Deserunt Box"/>
    <s v="Colors"/>
    <n v="5"/>
    <n v="1915"/>
    <x v="260"/>
    <s v="October"/>
    <s v="Wednesday"/>
    <d v="1899-12-30T12:04:11"/>
    <x v="167"/>
    <x v="19"/>
    <s v="October"/>
    <x v="805"/>
    <x v="36"/>
    <s v="Bellary"/>
    <s v="Birthday"/>
    <n v="9575"/>
    <n v="7"/>
  </r>
  <r>
    <n v="812"/>
    <s v="C058"/>
    <n v="40"/>
    <s v="Provident Pack"/>
    <s v="Sweets"/>
    <n v="2"/>
    <n v="1923"/>
    <x v="261"/>
    <s v="December"/>
    <s v="Tuesday"/>
    <d v="1899-12-30T17:19:49"/>
    <x v="97"/>
    <x v="21"/>
    <s v="December"/>
    <x v="806"/>
    <x v="42"/>
    <s v="Ongole"/>
    <s v="Anniversary"/>
    <n v="3846"/>
    <n v="2"/>
  </r>
  <r>
    <n v="813"/>
    <s v="C094"/>
    <n v="32"/>
    <s v="Fuga Set"/>
    <s v="Soft Toys"/>
    <n v="4"/>
    <n v="1792"/>
    <x v="226"/>
    <s v="January"/>
    <s v="Thursday"/>
    <d v="1899-12-30T08:53:43"/>
    <x v="103"/>
    <x v="7"/>
    <s v="January"/>
    <x v="807"/>
    <x v="69"/>
    <s v="Bhind"/>
    <s v="Birthday"/>
    <n v="7168"/>
    <n v="4"/>
  </r>
  <r>
    <n v="814"/>
    <s v="C094"/>
    <n v="47"/>
    <s v="Harum Pack"/>
    <s v="Colors"/>
    <n v="5"/>
    <n v="1638"/>
    <x v="88"/>
    <s v="March"/>
    <s v="Sunday"/>
    <d v="1899-12-30T01:59:20"/>
    <x v="27"/>
    <x v="4"/>
    <s v="March"/>
    <x v="808"/>
    <x v="69"/>
    <s v="Kumbakonam"/>
    <s v="Holi"/>
    <n v="8190"/>
    <n v="9"/>
  </r>
  <r>
    <n v="815"/>
    <s v="C098"/>
    <n v="61"/>
    <s v="Iusto Box"/>
    <s v="Plants"/>
    <n v="3"/>
    <n v="810"/>
    <x v="262"/>
    <s v="September"/>
    <s v="Friday"/>
    <d v="1899-12-30T07:08:13"/>
    <x v="135"/>
    <x v="14"/>
    <s v="October"/>
    <x v="809"/>
    <x v="77"/>
    <s v="Bhatpara"/>
    <s v="Anniversary"/>
    <n v="2430"/>
    <n v="9"/>
  </r>
  <r>
    <n v="816"/>
    <s v="C042"/>
    <n v="35"/>
    <s v="Nam Gift"/>
    <s v="Colors"/>
    <n v="3"/>
    <n v="1865"/>
    <x v="25"/>
    <s v="February"/>
    <s v="Tuesday"/>
    <d v="1899-12-30T19:44:25"/>
    <x v="101"/>
    <x v="1"/>
    <s v="March"/>
    <x v="810"/>
    <x v="12"/>
    <s v="Ujjain"/>
    <s v="Holi"/>
    <n v="5595"/>
    <n v="10"/>
  </r>
  <r>
    <n v="817"/>
    <s v="C066"/>
    <n v="21"/>
    <s v="Quia Gift"/>
    <s v="Colors"/>
    <n v="2"/>
    <n v="1561"/>
    <x v="110"/>
    <s v="August"/>
    <s v="Monday"/>
    <d v="1899-12-30T05:37:00"/>
    <x v="141"/>
    <x v="16"/>
    <s v="September"/>
    <x v="811"/>
    <x v="30"/>
    <s v="Jalandhar"/>
    <s v="Raksha Bandhan"/>
    <n v="3122"/>
    <n v="4"/>
  </r>
  <r>
    <n v="818"/>
    <s v="C004"/>
    <n v="8"/>
    <s v="Qui Box"/>
    <s v="Sweets"/>
    <n v="4"/>
    <n v="252"/>
    <x v="9"/>
    <s v="March"/>
    <s v="Thursday"/>
    <d v="1899-12-30T07:51:06"/>
    <x v="170"/>
    <x v="14"/>
    <s v="March"/>
    <x v="812"/>
    <x v="75"/>
    <s v="Thrissur"/>
    <s v="Anniversary"/>
    <n v="1008"/>
    <n v="7"/>
  </r>
  <r>
    <n v="819"/>
    <s v="C052"/>
    <n v="55"/>
    <s v="Dolores Gift"/>
    <s v="Soft Toys"/>
    <n v="5"/>
    <n v="1904"/>
    <x v="22"/>
    <s v="August"/>
    <s v="Tuesday"/>
    <d v="1899-12-30T13:05:23"/>
    <x v="152"/>
    <x v="18"/>
    <s v="August"/>
    <x v="813"/>
    <x v="9"/>
    <s v="Kottayam"/>
    <s v="Raksha Bandhan"/>
    <n v="9520"/>
    <n v="2"/>
  </r>
  <r>
    <n v="820"/>
    <s v="C033"/>
    <n v="64"/>
    <s v="Nostrum Box"/>
    <s v="Soft Toys"/>
    <n v="3"/>
    <n v="1878"/>
    <x v="22"/>
    <s v="August"/>
    <s v="Tuesday"/>
    <d v="1899-12-30T05:51:43"/>
    <x v="4"/>
    <x v="16"/>
    <s v="August"/>
    <x v="814"/>
    <x v="45"/>
    <s v="Hapur"/>
    <s v="Raksha Bandhan"/>
    <n v="5634"/>
    <n v="4"/>
  </r>
  <r>
    <n v="821"/>
    <s v="C050"/>
    <n v="32"/>
    <s v="Fuga Set"/>
    <s v="Soft Toys"/>
    <n v="4"/>
    <n v="1792"/>
    <x v="64"/>
    <s v="February"/>
    <s v="Monday"/>
    <d v="1899-12-30T20:15:31"/>
    <x v="32"/>
    <x v="6"/>
    <s v="March"/>
    <x v="815"/>
    <x v="27"/>
    <s v="Bareilly"/>
    <s v="Birthday"/>
    <n v="7168"/>
    <n v="8"/>
  </r>
  <r>
    <n v="822"/>
    <s v="C075"/>
    <n v="41"/>
    <s v="Aut Box"/>
    <s v="Sweets"/>
    <n v="5"/>
    <n v="1977"/>
    <x v="17"/>
    <s v="November"/>
    <s v="Thursday"/>
    <d v="1899-12-30T03:23:06"/>
    <x v="60"/>
    <x v="9"/>
    <s v="November"/>
    <x v="816"/>
    <x v="60"/>
    <s v="Indore"/>
    <s v="Diwali"/>
    <n v="9885"/>
    <n v="3"/>
  </r>
  <r>
    <n v="823"/>
    <s v="C087"/>
    <n v="64"/>
    <s v="Nostrum Box"/>
    <s v="Soft Toys"/>
    <n v="3"/>
    <n v="1878"/>
    <x v="100"/>
    <s v="August"/>
    <s v="Sunday"/>
    <d v="1899-12-30T15:23:25"/>
    <x v="141"/>
    <x v="11"/>
    <s v="September"/>
    <x v="817"/>
    <x v="10"/>
    <s v="Alappuzha"/>
    <s v="Raksha Bandhan"/>
    <n v="5634"/>
    <n v="5"/>
  </r>
  <r>
    <n v="824"/>
    <s v="C097"/>
    <n v="46"/>
    <s v="Pariatur Set"/>
    <s v="Cake"/>
    <n v="4"/>
    <n v="758"/>
    <x v="257"/>
    <s v="May"/>
    <s v="Saturday"/>
    <d v="1899-12-30T07:56:11"/>
    <x v="264"/>
    <x v="14"/>
    <s v="May"/>
    <x v="818"/>
    <x v="7"/>
    <s v="Muzaffarpur"/>
    <s v="Anniversary"/>
    <n v="3032"/>
    <n v="1"/>
  </r>
  <r>
    <n v="825"/>
    <s v="C044"/>
    <n v="25"/>
    <s v="Qui Gift"/>
    <s v="Plants"/>
    <n v="5"/>
    <n v="1202"/>
    <x v="105"/>
    <s v="June"/>
    <s v="Friday"/>
    <d v="1899-12-30T10:50:24"/>
    <x v="265"/>
    <x v="13"/>
    <s v="July"/>
    <x v="819"/>
    <x v="8"/>
    <s v="Nellore"/>
    <s v="Anniversary"/>
    <n v="6010"/>
    <n v="1"/>
  </r>
  <r>
    <n v="826"/>
    <s v="C077"/>
    <n v="16"/>
    <s v="Ut Pack"/>
    <s v="Sweets"/>
    <n v="5"/>
    <n v="1721"/>
    <x v="9"/>
    <s v="March"/>
    <s v="Thursday"/>
    <d v="1899-12-30T20:02:07"/>
    <x v="8"/>
    <x v="6"/>
    <s v="March"/>
    <x v="820"/>
    <x v="41"/>
    <s v="Udaipur"/>
    <s v="Holi"/>
    <n v="8605"/>
    <n v="6"/>
  </r>
  <r>
    <n v="827"/>
    <s v="C086"/>
    <n v="9"/>
    <s v="Aperiam Box"/>
    <s v="Colors"/>
    <n v="1"/>
    <n v="1605"/>
    <x v="39"/>
    <s v="August"/>
    <s v="Tuesday"/>
    <d v="1899-12-30T22:10:46"/>
    <x v="13"/>
    <x v="3"/>
    <s v="August"/>
    <x v="821"/>
    <x v="80"/>
    <s v="Surendranagar Dudhrej"/>
    <s v="Raksha Bandhan"/>
    <n v="1605"/>
    <n v="1"/>
  </r>
  <r>
    <n v="828"/>
    <s v="C044"/>
    <n v="8"/>
    <s v="Qui Box"/>
    <s v="Sweets"/>
    <n v="3"/>
    <n v="252"/>
    <x v="155"/>
    <s v="October"/>
    <s v="Tuesday"/>
    <d v="1899-12-30T16:47:01"/>
    <x v="75"/>
    <x v="8"/>
    <s v="November"/>
    <x v="822"/>
    <x v="8"/>
    <s v="Gwalior"/>
    <s v="Anniversary"/>
    <n v="756"/>
    <n v="8"/>
  </r>
  <r>
    <n v="829"/>
    <s v="C020"/>
    <n v="42"/>
    <s v="Expedita Gift"/>
    <s v="Sweets"/>
    <n v="4"/>
    <n v="1744"/>
    <x v="220"/>
    <s v="December"/>
    <s v="Tuesday"/>
    <d v="1899-12-30T18:35:41"/>
    <x v="140"/>
    <x v="23"/>
    <s v="December"/>
    <x v="823"/>
    <x v="36"/>
    <s v="Visakhapatnam"/>
    <s v="All Occasions"/>
    <n v="6976"/>
    <n v="7"/>
  </r>
  <r>
    <n v="830"/>
    <s v="C007"/>
    <n v="46"/>
    <s v="Pariatur Set"/>
    <s v="Cake"/>
    <n v="2"/>
    <n v="758"/>
    <x v="263"/>
    <s v="January"/>
    <s v="Thursday"/>
    <d v="1899-12-30T19:18:53"/>
    <x v="24"/>
    <x v="1"/>
    <s v="January"/>
    <x v="824"/>
    <x v="70"/>
    <s v="Indore"/>
    <s v="Anniversary"/>
    <n v="1516"/>
    <n v="3"/>
  </r>
  <r>
    <n v="831"/>
    <s v="C079"/>
    <n v="56"/>
    <s v="Quia Gift"/>
    <s v="Raksha Bandhan"/>
    <n v="5"/>
    <n v="1272"/>
    <x v="264"/>
    <s v="May"/>
    <s v="Wednesday"/>
    <d v="1899-12-30T18:41:33"/>
    <x v="72"/>
    <x v="23"/>
    <s v="June"/>
    <x v="825"/>
    <x v="79"/>
    <s v="Rajahmundry"/>
    <s v="Anniversary"/>
    <n v="6360"/>
    <n v="10"/>
  </r>
  <r>
    <n v="832"/>
    <s v="C026"/>
    <n v="65"/>
    <s v="Error Gift"/>
    <s v="Raksha Bandhan"/>
    <n v="4"/>
    <n v="1895"/>
    <x v="74"/>
    <s v="February"/>
    <s v="Wednesday"/>
    <d v="1899-12-30T18:56:24"/>
    <x v="145"/>
    <x v="23"/>
    <s v="February"/>
    <x v="826"/>
    <x v="63"/>
    <s v="Etawah"/>
    <s v="All Occasions"/>
    <n v="7580"/>
    <n v="9"/>
  </r>
  <r>
    <n v="833"/>
    <s v="C002"/>
    <n v="26"/>
    <s v="Aliquam Box"/>
    <s v="Colors"/>
    <n v="3"/>
    <n v="289"/>
    <x v="88"/>
    <s v="March"/>
    <s v="Sunday"/>
    <d v="1899-12-30T00:40:48"/>
    <x v="82"/>
    <x v="5"/>
    <s v="March"/>
    <x v="827"/>
    <x v="83"/>
    <s v="Shahjahanpur"/>
    <s v="Holi"/>
    <n v="867"/>
    <n v="8"/>
  </r>
  <r>
    <n v="834"/>
    <s v="C029"/>
    <n v="60"/>
    <s v="Ea Set"/>
    <s v="Sweets"/>
    <n v="5"/>
    <n v="827"/>
    <x v="69"/>
    <s v="November"/>
    <s v="Friday"/>
    <d v="1899-12-30T18:35:20"/>
    <x v="60"/>
    <x v="23"/>
    <s v="November"/>
    <x v="828"/>
    <x v="2"/>
    <s v="Thrissur"/>
    <s v="Diwali"/>
    <n v="4135"/>
    <n v="9"/>
  </r>
  <r>
    <n v="835"/>
    <s v="C089"/>
    <n v="32"/>
    <s v="Fuga Set"/>
    <s v="Soft Toys"/>
    <n v="2"/>
    <n v="1792"/>
    <x v="193"/>
    <s v="July"/>
    <s v="Wednesday"/>
    <d v="1899-12-30T17:35:53"/>
    <x v="221"/>
    <x v="21"/>
    <s v="July"/>
    <x v="829"/>
    <x v="76"/>
    <s v="Cuttack"/>
    <s v="Birthday"/>
    <n v="3584"/>
    <n v="1"/>
  </r>
  <r>
    <n v="836"/>
    <s v="C020"/>
    <n v="44"/>
    <s v="Dolorum Set"/>
    <s v="Plants"/>
    <n v="5"/>
    <n v="794"/>
    <x v="7"/>
    <s v="November"/>
    <s v="Wednesday"/>
    <d v="1899-12-30T02:36:05"/>
    <x v="108"/>
    <x v="10"/>
    <s v="November"/>
    <x v="830"/>
    <x v="36"/>
    <s v="Tumkur"/>
    <s v="Diwali"/>
    <n v="3970"/>
    <n v="3"/>
  </r>
  <r>
    <n v="837"/>
    <s v="C036"/>
    <n v="14"/>
    <s v="Deserunt Box"/>
    <s v="Colors"/>
    <n v="5"/>
    <n v="1915"/>
    <x v="220"/>
    <s v="December"/>
    <s v="Tuesday"/>
    <d v="1899-12-30T12:57:12"/>
    <x v="229"/>
    <x v="19"/>
    <s v="December"/>
    <x v="831"/>
    <x v="38"/>
    <s v="Raebareli"/>
    <s v="Birthday"/>
    <n v="9575"/>
    <n v="2"/>
  </r>
  <r>
    <n v="838"/>
    <s v="C003"/>
    <n v="19"/>
    <s v="Iure Gift"/>
    <s v="Mugs"/>
    <n v="3"/>
    <n v="1234"/>
    <x v="16"/>
    <s v="February"/>
    <s v="Thursday"/>
    <d v="1899-12-30T10:18:01"/>
    <x v="197"/>
    <x v="13"/>
    <s v="February"/>
    <x v="832"/>
    <x v="3"/>
    <s v="Sirsa"/>
    <s v="Valentine's Day"/>
    <n v="3702"/>
    <n v="8"/>
  </r>
  <r>
    <n v="839"/>
    <s v="C072"/>
    <n v="51"/>
    <s v="Fugit Set"/>
    <s v="Soft Toys"/>
    <n v="4"/>
    <n v="1084"/>
    <x v="31"/>
    <s v="November"/>
    <s v="Thursday"/>
    <d v="1899-12-30T03:51:23"/>
    <x v="60"/>
    <x v="9"/>
    <s v="November"/>
    <x v="833"/>
    <x v="15"/>
    <s v="Udupi"/>
    <s v="All Occasions"/>
    <n v="4336"/>
    <n v="10"/>
  </r>
  <r>
    <n v="840"/>
    <s v="C031"/>
    <n v="67"/>
    <s v="Maiores Box"/>
    <s v="Raksha Bandhan"/>
    <n v="2"/>
    <n v="1374"/>
    <x v="24"/>
    <s v="January"/>
    <s v="Friday"/>
    <d v="1899-12-30T19:19:35"/>
    <x v="194"/>
    <x v="1"/>
    <s v="January"/>
    <x v="834"/>
    <x v="35"/>
    <s v="Tirunelveli"/>
    <s v="Anniversary"/>
    <n v="2748"/>
    <n v="3"/>
  </r>
  <r>
    <n v="841"/>
    <s v="C041"/>
    <n v="26"/>
    <s v="Aliquam Box"/>
    <s v="Colors"/>
    <n v="5"/>
    <n v="289"/>
    <x v="15"/>
    <s v="March"/>
    <s v="Tuesday"/>
    <d v="1899-12-30T06:16:00"/>
    <x v="21"/>
    <x v="22"/>
    <s v="March"/>
    <x v="835"/>
    <x v="19"/>
    <s v="Bhalswa Jahangir Pur"/>
    <s v="Holi"/>
    <n v="1445"/>
    <n v="5"/>
  </r>
  <r>
    <n v="842"/>
    <s v="C085"/>
    <n v="46"/>
    <s v="Pariatur Set"/>
    <s v="Cake"/>
    <n v="2"/>
    <n v="758"/>
    <x v="75"/>
    <s v="December"/>
    <s v="Friday"/>
    <d v="1899-12-30T17:11:33"/>
    <x v="69"/>
    <x v="21"/>
    <s v="January"/>
    <x v="836"/>
    <x v="71"/>
    <s v="Kulti"/>
    <s v="Anniversary"/>
    <n v="1516"/>
    <n v="3"/>
  </r>
  <r>
    <n v="843"/>
    <s v="C007"/>
    <n v="68"/>
    <s v="Quas Gift"/>
    <s v="Soft Toys"/>
    <n v="1"/>
    <n v="597"/>
    <x v="4"/>
    <s v="February"/>
    <s v="Saturday"/>
    <d v="1899-12-30T21:46:03"/>
    <x v="17"/>
    <x v="20"/>
    <s v="February"/>
    <x v="837"/>
    <x v="70"/>
    <s v="Bikaner"/>
    <s v="Valentine's Day"/>
    <n v="597"/>
    <n v="1"/>
  </r>
  <r>
    <n v="844"/>
    <s v="C067"/>
    <n v="51"/>
    <s v="Fugit Set"/>
    <s v="Soft Toys"/>
    <n v="1"/>
    <n v="1084"/>
    <x v="265"/>
    <s v="October"/>
    <s v="Monday"/>
    <d v="1899-12-30T19:12:55"/>
    <x v="266"/>
    <x v="1"/>
    <s v="October"/>
    <x v="838"/>
    <x v="29"/>
    <s v="Satara"/>
    <s v="All Occasions"/>
    <n v="1084"/>
    <n v="1"/>
  </r>
  <r>
    <n v="845"/>
    <s v="C032"/>
    <n v="57"/>
    <s v="Voluptatem Box"/>
    <s v="Colors"/>
    <n v="5"/>
    <n v="1582"/>
    <x v="210"/>
    <s v="October"/>
    <s v="Tuesday"/>
    <d v="1899-12-30T18:51:16"/>
    <x v="167"/>
    <x v="23"/>
    <s v="October"/>
    <x v="839"/>
    <x v="54"/>
    <s v="Hospet"/>
    <s v="Birthday"/>
    <n v="7910"/>
    <n v="8"/>
  </r>
  <r>
    <n v="846"/>
    <s v="C069"/>
    <n v="15"/>
    <s v="Repudiandae Box"/>
    <s v="Raksha Bandhan"/>
    <n v="4"/>
    <n v="1488"/>
    <x v="168"/>
    <s v="November"/>
    <s v="Tuesday"/>
    <d v="1899-12-30T02:47:39"/>
    <x v="267"/>
    <x v="10"/>
    <s v="December"/>
    <x v="840"/>
    <x v="13"/>
    <s v="Bhalswa Jahangir Pur"/>
    <s v="Anniversary"/>
    <n v="5952"/>
    <n v="4"/>
  </r>
  <r>
    <n v="847"/>
    <s v="C009"/>
    <n v="44"/>
    <s v="Dolorum Set"/>
    <s v="Plants"/>
    <n v="4"/>
    <n v="794"/>
    <x v="1"/>
    <s v="November"/>
    <s v="Tuesday"/>
    <d v="1899-12-30T18:10:17"/>
    <x v="60"/>
    <x v="23"/>
    <s v="November"/>
    <x v="841"/>
    <x v="6"/>
    <s v="Bareilly"/>
    <s v="Diwali"/>
    <n v="3176"/>
    <n v="5"/>
  </r>
  <r>
    <n v="848"/>
    <s v="C005"/>
    <n v="6"/>
    <s v="Quos Box"/>
    <s v="Cake"/>
    <n v="1"/>
    <n v="1112"/>
    <x v="21"/>
    <s v="March"/>
    <s v="Monday"/>
    <d v="1899-12-30T16:52:57"/>
    <x v="101"/>
    <x v="8"/>
    <s v="March"/>
    <x v="842"/>
    <x v="81"/>
    <s v="Shimla"/>
    <s v="Holi"/>
    <n v="1112"/>
    <n v="4"/>
  </r>
  <r>
    <n v="849"/>
    <s v="C013"/>
    <n v="57"/>
    <s v="Voluptatem Box"/>
    <s v="Colors"/>
    <n v="1"/>
    <n v="1582"/>
    <x v="139"/>
    <s v="March"/>
    <s v="Sunday"/>
    <d v="1899-12-30T01:16:48"/>
    <x v="27"/>
    <x v="4"/>
    <s v="March"/>
    <x v="843"/>
    <x v="14"/>
    <s v="Panipat"/>
    <s v="Birthday"/>
    <n v="1582"/>
    <n v="2"/>
  </r>
  <r>
    <n v="850"/>
    <s v="C092"/>
    <n v="21"/>
    <s v="Quia Gift"/>
    <s v="Colors"/>
    <n v="4"/>
    <n v="1561"/>
    <x v="61"/>
    <s v="August"/>
    <s v="Wednesday"/>
    <d v="1899-12-30T23:15:17"/>
    <x v="175"/>
    <x v="0"/>
    <s v="August"/>
    <x v="844"/>
    <x v="38"/>
    <s v="Darbhanga"/>
    <s v="Raksha Bandhan"/>
    <n v="6244"/>
    <n v="2"/>
  </r>
  <r>
    <n v="851"/>
    <s v="C030"/>
    <n v="13"/>
    <s v="Et Set"/>
    <s v="Mugs"/>
    <n v="3"/>
    <n v="1141"/>
    <x v="21"/>
    <s v="March"/>
    <s v="Monday"/>
    <d v="1899-12-30T11:31:57"/>
    <x v="101"/>
    <x v="12"/>
    <s v="March"/>
    <x v="845"/>
    <x v="64"/>
    <s v="Singrauli"/>
    <s v="Holi"/>
    <n v="3423"/>
    <n v="4"/>
  </r>
  <r>
    <n v="852"/>
    <s v="C035"/>
    <n v="44"/>
    <s v="Dolorum Set"/>
    <s v="Plants"/>
    <n v="2"/>
    <n v="794"/>
    <x v="30"/>
    <s v="November"/>
    <s v="Saturday"/>
    <d v="1899-12-30T09:41:46"/>
    <x v="6"/>
    <x v="17"/>
    <s v="November"/>
    <x v="846"/>
    <x v="61"/>
    <s v="Ozhukarai"/>
    <s v="Diwali"/>
    <n v="1588"/>
    <n v="3"/>
  </r>
  <r>
    <n v="853"/>
    <s v="C050"/>
    <n v="51"/>
    <s v="Fugit Set"/>
    <s v="Soft Toys"/>
    <n v="3"/>
    <n v="1084"/>
    <x v="241"/>
    <s v="September"/>
    <s v="Sunday"/>
    <d v="1899-12-30T21:14:53"/>
    <x v="179"/>
    <x v="20"/>
    <s v="September"/>
    <x v="847"/>
    <x v="27"/>
    <s v="Jorhat"/>
    <s v="All Occasions"/>
    <n v="3252"/>
    <n v="6"/>
  </r>
  <r>
    <n v="854"/>
    <s v="C016"/>
    <n v="62"/>
    <s v="Sed Set"/>
    <s v="Colors"/>
    <n v="3"/>
    <n v="1356"/>
    <x v="64"/>
    <s v="February"/>
    <s v="Monday"/>
    <d v="1899-12-30T02:00:33"/>
    <x v="149"/>
    <x v="10"/>
    <s v="March"/>
    <x v="848"/>
    <x v="73"/>
    <s v="Bhind"/>
    <s v="Holi"/>
    <n v="4068"/>
    <n v="3"/>
  </r>
  <r>
    <n v="855"/>
    <s v="C033"/>
    <n v="57"/>
    <s v="Voluptatem Box"/>
    <s v="Colors"/>
    <n v="5"/>
    <n v="1582"/>
    <x v="173"/>
    <s v="August"/>
    <s v="Monday"/>
    <d v="1899-12-30T23:50:11"/>
    <x v="268"/>
    <x v="0"/>
    <s v="August"/>
    <x v="849"/>
    <x v="45"/>
    <s v="Allahabad"/>
    <s v="Birthday"/>
    <n v="7910"/>
    <n v="10"/>
  </r>
  <r>
    <n v="856"/>
    <s v="C077"/>
    <n v="21"/>
    <s v="Quia Gift"/>
    <s v="Colors"/>
    <n v="2"/>
    <n v="1561"/>
    <x v="100"/>
    <s v="August"/>
    <s v="Sunday"/>
    <d v="1899-12-30T17:40:11"/>
    <x v="66"/>
    <x v="21"/>
    <s v="September"/>
    <x v="850"/>
    <x v="41"/>
    <s v="Kanpur"/>
    <s v="Raksha Bandhan"/>
    <n v="3122"/>
    <n v="6"/>
  </r>
  <r>
    <n v="857"/>
    <s v="C053"/>
    <n v="63"/>
    <s v="Adipisci Set"/>
    <s v="Sweets"/>
    <n v="1"/>
    <n v="1348"/>
    <x v="16"/>
    <s v="February"/>
    <s v="Thursday"/>
    <d v="1899-12-30T09:22:18"/>
    <x v="3"/>
    <x v="17"/>
    <s v="February"/>
    <x v="851"/>
    <x v="52"/>
    <s v="Bareilly"/>
    <s v="All Occasions"/>
    <n v="1348"/>
    <n v="9"/>
  </r>
  <r>
    <n v="858"/>
    <s v="C046"/>
    <n v="44"/>
    <s v="Dolorum Set"/>
    <s v="Plants"/>
    <n v="4"/>
    <n v="794"/>
    <x v="7"/>
    <s v="November"/>
    <s v="Wednesday"/>
    <d v="1899-12-30T01:51:48"/>
    <x v="148"/>
    <x v="4"/>
    <s v="November"/>
    <x v="852"/>
    <x v="32"/>
    <s v="Saharanpur"/>
    <s v="Diwali"/>
    <n v="3176"/>
    <n v="1"/>
  </r>
  <r>
    <n v="859"/>
    <s v="C047"/>
    <n v="43"/>
    <s v="Quisquam Pack"/>
    <s v="Raksha Bandhan"/>
    <n v="1"/>
    <n v="750"/>
    <x v="87"/>
    <s v="November"/>
    <s v="Friday"/>
    <d v="1899-12-30T07:06:21"/>
    <x v="12"/>
    <x v="14"/>
    <s v="November"/>
    <x v="853"/>
    <x v="25"/>
    <s v="Varanasi"/>
    <s v="Diwali"/>
    <n v="750"/>
    <n v="5"/>
  </r>
  <r>
    <n v="860"/>
    <s v="C064"/>
    <n v="14"/>
    <s v="Deserunt Box"/>
    <s v="Colors"/>
    <n v="1"/>
    <n v="1915"/>
    <x v="215"/>
    <s v="January"/>
    <s v="Tuesday"/>
    <d v="1899-12-30T19:29:59"/>
    <x v="201"/>
    <x v="1"/>
    <s v="January"/>
    <x v="854"/>
    <x v="24"/>
    <s v="Adoni"/>
    <s v="Birthday"/>
    <n v="1915"/>
    <n v="3"/>
  </r>
  <r>
    <n v="861"/>
    <s v="C030"/>
    <n v="32"/>
    <s v="Fuga Set"/>
    <s v="Soft Toys"/>
    <n v="1"/>
    <n v="1792"/>
    <x v="16"/>
    <s v="February"/>
    <s v="Thursday"/>
    <d v="1899-12-30T08:19:31"/>
    <x v="16"/>
    <x v="7"/>
    <s v="February"/>
    <x v="855"/>
    <x v="64"/>
    <s v="Bidar"/>
    <s v="Birthday"/>
    <n v="1792"/>
    <n v="5"/>
  </r>
  <r>
    <n v="862"/>
    <s v="C049"/>
    <n v="6"/>
    <s v="Quos Box"/>
    <s v="Cake"/>
    <n v="4"/>
    <n v="1112"/>
    <x v="15"/>
    <s v="March"/>
    <s v="Tuesday"/>
    <d v="1899-12-30T05:51:14"/>
    <x v="137"/>
    <x v="16"/>
    <s v="March"/>
    <x v="856"/>
    <x v="27"/>
    <s v="Shimoga"/>
    <s v="Holi"/>
    <n v="4448"/>
    <n v="8"/>
  </r>
  <r>
    <n v="863"/>
    <s v="C099"/>
    <n v="20"/>
    <s v="Reiciendis Box"/>
    <s v="Colors"/>
    <n v="3"/>
    <n v="697"/>
    <x v="198"/>
    <s v="June"/>
    <s v="Monday"/>
    <d v="1899-12-30T09:28:04"/>
    <x v="49"/>
    <x v="17"/>
    <s v="June"/>
    <x v="857"/>
    <x v="9"/>
    <s v="Jehanabad"/>
    <s v="Anniversary"/>
    <n v="2091"/>
    <n v="10"/>
  </r>
  <r>
    <n v="864"/>
    <s v="C033"/>
    <n v="11"/>
    <s v="Maxime Set"/>
    <s v="Mugs"/>
    <n v="1"/>
    <n v="1096"/>
    <x v="4"/>
    <s v="February"/>
    <s v="Saturday"/>
    <d v="1899-12-30T19:34:22"/>
    <x v="28"/>
    <x v="1"/>
    <s v="February"/>
    <x v="858"/>
    <x v="45"/>
    <s v="Lucknow"/>
    <s v="Valentine's Day"/>
    <n v="1096"/>
    <n v="4"/>
  </r>
  <r>
    <n v="865"/>
    <s v="C032"/>
    <n v="19"/>
    <s v="Iure Gift"/>
    <s v="Mugs"/>
    <n v="1"/>
    <n v="1234"/>
    <x v="33"/>
    <s v="February"/>
    <s v="Sunday"/>
    <d v="1899-12-30T18:09:14"/>
    <x v="43"/>
    <x v="23"/>
    <s v="February"/>
    <x v="304"/>
    <x v="54"/>
    <s v="Kumbakonam"/>
    <s v="Valentine's Day"/>
    <n v="1234"/>
    <n v="1"/>
  </r>
  <r>
    <n v="866"/>
    <s v="C021"/>
    <n v="15"/>
    <s v="Repudiandae Box"/>
    <s v="Raksha Bandhan"/>
    <n v="5"/>
    <n v="1488"/>
    <x v="151"/>
    <s v="August"/>
    <s v="Thursday"/>
    <d v="1899-12-30T20:06:37"/>
    <x v="269"/>
    <x v="6"/>
    <s v="August"/>
    <x v="859"/>
    <x v="85"/>
    <s v="Medininagar"/>
    <s v="Anniversary"/>
    <n v="7440"/>
    <n v="1"/>
  </r>
  <r>
    <n v="867"/>
    <s v="C014"/>
    <n v="48"/>
    <s v="Maiores Gift"/>
    <s v="Colors"/>
    <n v="1"/>
    <n v="433"/>
    <x v="31"/>
    <s v="November"/>
    <s v="Thursday"/>
    <d v="1899-12-30T12:22:06"/>
    <x v="29"/>
    <x v="19"/>
    <s v="November"/>
    <x v="860"/>
    <x v="37"/>
    <s v="Hajipur"/>
    <s v="Diwali"/>
    <n v="433"/>
    <n v="2"/>
  </r>
  <r>
    <n v="868"/>
    <s v="C099"/>
    <n v="32"/>
    <s v="Fuga Set"/>
    <s v="Soft Toys"/>
    <n v="1"/>
    <n v="1792"/>
    <x v="22"/>
    <s v="August"/>
    <s v="Tuesday"/>
    <d v="1899-12-30T01:01:17"/>
    <x v="13"/>
    <x v="4"/>
    <s v="August"/>
    <x v="861"/>
    <x v="9"/>
    <s v="Anand"/>
    <s v="Birthday"/>
    <n v="1792"/>
    <n v="8"/>
  </r>
  <r>
    <n v="869"/>
    <s v="C032"/>
    <n v="3"/>
    <s v="Eius Gift"/>
    <s v="Colors"/>
    <n v="5"/>
    <n v="1534"/>
    <x v="103"/>
    <s v="February"/>
    <s v="Monday"/>
    <d v="1899-12-30T10:03:19"/>
    <x v="68"/>
    <x v="13"/>
    <s v="February"/>
    <x v="862"/>
    <x v="54"/>
    <s v="Hazaribagh"/>
    <s v="Valentine's Day"/>
    <n v="7670"/>
    <n v="5"/>
  </r>
  <r>
    <n v="870"/>
    <s v="C018"/>
    <n v="43"/>
    <s v="Quisquam Pack"/>
    <s v="Raksha Bandhan"/>
    <n v="5"/>
    <n v="750"/>
    <x v="159"/>
    <s v="November"/>
    <s v="Sunday"/>
    <d v="1899-12-30T15:13:46"/>
    <x v="112"/>
    <x v="11"/>
    <s v="November"/>
    <x v="863"/>
    <x v="20"/>
    <s v="Pallavaram"/>
    <s v="Diwali"/>
    <n v="3750"/>
    <n v="2"/>
  </r>
  <r>
    <n v="871"/>
    <s v="C062"/>
    <n v="15"/>
    <s v="Repudiandae Box"/>
    <s v="Raksha Bandhan"/>
    <n v="1"/>
    <n v="1488"/>
    <x v="259"/>
    <s v="June"/>
    <s v="Sunday"/>
    <d v="1899-12-30T06:05:30"/>
    <x v="49"/>
    <x v="22"/>
    <s v="June"/>
    <x v="864"/>
    <x v="49"/>
    <s v="Secunderabad"/>
    <s v="Anniversary"/>
    <n v="1488"/>
    <n v="4"/>
  </r>
  <r>
    <n v="872"/>
    <s v="C094"/>
    <n v="13"/>
    <s v="Et Set"/>
    <s v="Mugs"/>
    <n v="2"/>
    <n v="1141"/>
    <x v="88"/>
    <s v="March"/>
    <s v="Sunday"/>
    <d v="1899-12-30T20:27:57"/>
    <x v="101"/>
    <x v="6"/>
    <s v="March"/>
    <x v="865"/>
    <x v="69"/>
    <s v="Bokaro"/>
    <s v="Holi"/>
    <n v="2282"/>
    <n v="5"/>
  </r>
  <r>
    <n v="873"/>
    <s v="C027"/>
    <n v="64"/>
    <s v="Nostrum Box"/>
    <s v="Soft Toys"/>
    <n v="4"/>
    <n v="1878"/>
    <x v="11"/>
    <s v="August"/>
    <s v="Saturday"/>
    <d v="1899-12-30T10:57:00"/>
    <x v="109"/>
    <x v="13"/>
    <s v="September"/>
    <x v="866"/>
    <x v="72"/>
    <s v="Nandyal"/>
    <s v="Raksha Bandhan"/>
    <n v="7512"/>
    <n v="10"/>
  </r>
  <r>
    <n v="874"/>
    <s v="C010"/>
    <n v="68"/>
    <s v="Quas Gift"/>
    <s v="Soft Toys"/>
    <n v="1"/>
    <n v="597"/>
    <x v="4"/>
    <s v="February"/>
    <s v="Saturday"/>
    <d v="1899-12-30T12:42:30"/>
    <x v="80"/>
    <x v="19"/>
    <s v="February"/>
    <x v="867"/>
    <x v="50"/>
    <s v="Ramagundam"/>
    <s v="Valentine's Day"/>
    <n v="597"/>
    <n v="10"/>
  </r>
  <r>
    <n v="875"/>
    <s v="C011"/>
    <n v="13"/>
    <s v="Et Set"/>
    <s v="Mugs"/>
    <n v="1"/>
    <n v="1141"/>
    <x v="88"/>
    <s v="March"/>
    <s v="Sunday"/>
    <d v="1899-12-30T21:22:31"/>
    <x v="27"/>
    <x v="20"/>
    <s v="March"/>
    <x v="868"/>
    <x v="16"/>
    <s v="Purnia"/>
    <s v="Holi"/>
    <n v="1141"/>
    <n v="9"/>
  </r>
  <r>
    <n v="876"/>
    <s v="C016"/>
    <n v="4"/>
    <s v="Accusantium Set"/>
    <s v="Sweets"/>
    <n v="4"/>
    <n v="1199"/>
    <x v="76"/>
    <s v="November"/>
    <s v="Monday"/>
    <d v="1899-12-30T09:38:36"/>
    <x v="6"/>
    <x v="17"/>
    <s v="November"/>
    <x v="869"/>
    <x v="73"/>
    <s v="Jaunpur"/>
    <s v="Diwali"/>
    <n v="4796"/>
    <n v="8"/>
  </r>
  <r>
    <n v="877"/>
    <s v="C041"/>
    <n v="46"/>
    <s v="Pariatur Set"/>
    <s v="Cake"/>
    <n v="5"/>
    <n v="758"/>
    <x v="157"/>
    <s v="March"/>
    <s v="Thursday"/>
    <d v="1899-12-30T23:16:16"/>
    <x v="99"/>
    <x v="0"/>
    <s v="March"/>
    <x v="870"/>
    <x v="19"/>
    <s v="Hazaribagh"/>
    <s v="Anniversary"/>
    <n v="3790"/>
    <n v="9"/>
  </r>
  <r>
    <n v="878"/>
    <s v="C057"/>
    <n v="4"/>
    <s v="Accusantium Set"/>
    <s v="Sweets"/>
    <n v="2"/>
    <n v="1199"/>
    <x v="87"/>
    <s v="November"/>
    <s v="Friday"/>
    <d v="1899-12-30T16:36:59"/>
    <x v="161"/>
    <x v="8"/>
    <s v="November"/>
    <x v="871"/>
    <x v="47"/>
    <s v="Singrauli"/>
    <s v="Diwali"/>
    <n v="2398"/>
    <n v="9"/>
  </r>
  <r>
    <n v="879"/>
    <s v="C092"/>
    <n v="33"/>
    <s v="Earum Set"/>
    <s v="Colors"/>
    <n v="2"/>
    <n v="314"/>
    <x v="106"/>
    <s v="February"/>
    <s v="Tuesday"/>
    <d v="1899-12-30T05:34:34"/>
    <x v="145"/>
    <x v="16"/>
    <s v="February"/>
    <x v="872"/>
    <x v="38"/>
    <s v="Kishanganj"/>
    <s v="Valentine's Day"/>
    <n v="628"/>
    <n v="3"/>
  </r>
  <r>
    <n v="880"/>
    <s v="C044"/>
    <n v="34"/>
    <s v="Placeat Pack"/>
    <s v="Soft Toys"/>
    <n v="5"/>
    <n v="1335"/>
    <x v="39"/>
    <s v="August"/>
    <s v="Tuesday"/>
    <d v="1899-12-30T22:14:26"/>
    <x v="53"/>
    <x v="3"/>
    <s v="August"/>
    <x v="873"/>
    <x v="8"/>
    <s v="Purnia"/>
    <s v="Raksha Bandhan"/>
    <n v="6675"/>
    <n v="2"/>
  </r>
  <r>
    <n v="881"/>
    <s v="C015"/>
    <n v="28"/>
    <s v="Velit Set"/>
    <s v="Sweets"/>
    <n v="4"/>
    <n v="1778"/>
    <x v="128"/>
    <s v="August"/>
    <s v="Monday"/>
    <d v="1899-12-30T15:17:42"/>
    <x v="56"/>
    <x v="11"/>
    <s v="August"/>
    <x v="874"/>
    <x v="44"/>
    <s v="New Delhi"/>
    <s v="Raksha Bandhan"/>
    <n v="7112"/>
    <n v="7"/>
  </r>
  <r>
    <n v="882"/>
    <s v="C089"/>
    <n v="64"/>
    <s v="Nostrum Box"/>
    <s v="Soft Toys"/>
    <n v="2"/>
    <n v="1878"/>
    <x v="39"/>
    <s v="August"/>
    <s v="Tuesday"/>
    <d v="1899-12-30T05:32:40"/>
    <x v="54"/>
    <x v="16"/>
    <s v="September"/>
    <x v="875"/>
    <x v="76"/>
    <s v="Srikakulam"/>
    <s v="Raksha Bandhan"/>
    <n v="3756"/>
    <n v="10"/>
  </r>
  <r>
    <n v="883"/>
    <s v="C041"/>
    <n v="36"/>
    <s v="Cum Gift"/>
    <s v="Plants"/>
    <n v="4"/>
    <n v="203"/>
    <x v="266"/>
    <s v="July"/>
    <s v="Sunday"/>
    <d v="1899-12-30T19:44:04"/>
    <x v="204"/>
    <x v="1"/>
    <s v="July"/>
    <x v="876"/>
    <x v="19"/>
    <s v="Shahjahanpur"/>
    <s v="Birthday"/>
    <n v="812"/>
    <n v="1"/>
  </r>
  <r>
    <n v="884"/>
    <s v="C091"/>
    <n v="10"/>
    <s v="Accusantium Gift"/>
    <s v="Cake"/>
    <n v="3"/>
    <n v="259"/>
    <x v="267"/>
    <s v="March"/>
    <s v="Saturday"/>
    <d v="1899-12-30T22:15:44"/>
    <x v="113"/>
    <x v="3"/>
    <s v="March"/>
    <x v="877"/>
    <x v="21"/>
    <s v="Tezpur"/>
    <s v="Birthday"/>
    <n v="777"/>
    <n v="9"/>
  </r>
  <r>
    <n v="885"/>
    <s v="C084"/>
    <n v="42"/>
    <s v="Expedita Gift"/>
    <s v="Sweets"/>
    <n v="2"/>
    <n v="1744"/>
    <x v="210"/>
    <s v="October"/>
    <s v="Tuesday"/>
    <d v="1899-12-30T19:52:58"/>
    <x v="256"/>
    <x v="1"/>
    <s v="October"/>
    <x v="878"/>
    <x v="68"/>
    <s v="Pudukkottai"/>
    <s v="All Occasions"/>
    <n v="3488"/>
    <n v="4"/>
  </r>
  <r>
    <n v="886"/>
    <s v="C045"/>
    <n v="53"/>
    <s v="Ipsam Set"/>
    <s v="Sweets"/>
    <n v="3"/>
    <n v="1672"/>
    <x v="128"/>
    <s v="August"/>
    <s v="Monday"/>
    <d v="1899-12-30T08:23:02"/>
    <x v="175"/>
    <x v="7"/>
    <s v="August"/>
    <x v="879"/>
    <x v="39"/>
    <s v="Nanded"/>
    <s v="Raksha Bandhan"/>
    <n v="5016"/>
    <n v="4"/>
  </r>
  <r>
    <n v="887"/>
    <s v="C091"/>
    <n v="51"/>
    <s v="Fugit Set"/>
    <s v="Soft Toys"/>
    <n v="3"/>
    <n v="1084"/>
    <x v="200"/>
    <s v="June"/>
    <s v="Thursday"/>
    <d v="1899-12-30T17:20:29"/>
    <x v="155"/>
    <x v="21"/>
    <s v="June"/>
    <x v="880"/>
    <x v="21"/>
    <s v="Visakhapatnam"/>
    <s v="All Occasions"/>
    <n v="3252"/>
    <n v="1"/>
  </r>
  <r>
    <n v="888"/>
    <s v="C014"/>
    <n v="69"/>
    <s v="Id Box"/>
    <s v="Cake"/>
    <n v="3"/>
    <n v="998"/>
    <x v="21"/>
    <s v="March"/>
    <s v="Monday"/>
    <d v="1899-12-30T11:34:43"/>
    <x v="57"/>
    <x v="12"/>
    <s v="March"/>
    <x v="881"/>
    <x v="37"/>
    <s v="Gandhinagar"/>
    <s v="Holi"/>
    <n v="2994"/>
    <n v="5"/>
  </r>
  <r>
    <n v="889"/>
    <s v="C050"/>
    <n v="36"/>
    <s v="Cum Gift"/>
    <s v="Plants"/>
    <n v="3"/>
    <n v="203"/>
    <x v="115"/>
    <s v="August"/>
    <s v="Wednesday"/>
    <d v="1899-12-30T23:06:44"/>
    <x v="250"/>
    <x v="0"/>
    <s v="August"/>
    <x v="882"/>
    <x v="27"/>
    <s v="Bangalore"/>
    <s v="Birthday"/>
    <n v="609"/>
    <n v="2"/>
  </r>
  <r>
    <n v="890"/>
    <s v="C064"/>
    <n v="45"/>
    <s v="Iusto Set"/>
    <s v="Raksha Bandhan"/>
    <n v="4"/>
    <n v="722"/>
    <x v="181"/>
    <s v="March"/>
    <s v="Thursday"/>
    <d v="1899-12-30T23:25:20"/>
    <x v="113"/>
    <x v="0"/>
    <s v="March"/>
    <x v="883"/>
    <x v="24"/>
    <s v="Kharagpur"/>
    <s v="Birthday"/>
    <n v="2888"/>
    <n v="4"/>
  </r>
  <r>
    <n v="891"/>
    <s v="C027"/>
    <n v="58"/>
    <s v="Sed Pack"/>
    <s v="Cake"/>
    <n v="2"/>
    <n v="1492"/>
    <x v="41"/>
    <s v="February"/>
    <s v="Wednesday"/>
    <d v="1899-12-30T14:56:43"/>
    <x v="33"/>
    <x v="15"/>
    <s v="February"/>
    <x v="884"/>
    <x v="72"/>
    <s v="Shivpuri"/>
    <s v="Valentine's Day"/>
    <n v="2984"/>
    <n v="8"/>
  </r>
  <r>
    <n v="892"/>
    <s v="C025"/>
    <n v="11"/>
    <s v="Maxime Set"/>
    <s v="Mugs"/>
    <n v="4"/>
    <n v="1096"/>
    <x v="103"/>
    <s v="February"/>
    <s v="Monday"/>
    <d v="1899-12-30T18:33:04"/>
    <x v="85"/>
    <x v="23"/>
    <s v="February"/>
    <x v="885"/>
    <x v="84"/>
    <s v="Thrissur"/>
    <s v="Valentine's Day"/>
    <n v="4384"/>
    <n v="1"/>
  </r>
  <r>
    <n v="893"/>
    <s v="C010"/>
    <n v="63"/>
    <s v="Adipisci Set"/>
    <s v="Sweets"/>
    <n v="3"/>
    <n v="1348"/>
    <x v="196"/>
    <s v="March"/>
    <s v="Tuesday"/>
    <d v="1899-12-30T15:40:42"/>
    <x v="270"/>
    <x v="11"/>
    <s v="April"/>
    <x v="886"/>
    <x v="50"/>
    <s v="Sangli-Miraj &amp; Kupwad"/>
    <s v="All Occasions"/>
    <n v="4044"/>
    <n v="10"/>
  </r>
  <r>
    <n v="894"/>
    <s v="C092"/>
    <n v="54"/>
    <s v="Occaecati Gift"/>
    <s v="Cake"/>
    <n v="4"/>
    <n v="1236"/>
    <x v="268"/>
    <s v="October"/>
    <s v="Saturday"/>
    <d v="1899-12-30T14:05:43"/>
    <x v="256"/>
    <x v="15"/>
    <s v="October"/>
    <x v="887"/>
    <x v="38"/>
    <s v="Proddatur"/>
    <s v="Anniversary"/>
    <n v="4944"/>
    <n v="7"/>
  </r>
  <r>
    <n v="895"/>
    <s v="C066"/>
    <n v="45"/>
    <s v="Iusto Set"/>
    <s v="Raksha Bandhan"/>
    <n v="1"/>
    <n v="722"/>
    <x v="196"/>
    <s v="March"/>
    <s v="Tuesday"/>
    <d v="1899-12-30T18:45:56"/>
    <x v="271"/>
    <x v="23"/>
    <s v="April"/>
    <x v="888"/>
    <x v="30"/>
    <s v="Sambhal"/>
    <s v="Birthday"/>
    <n v="722"/>
    <n v="9"/>
  </r>
  <r>
    <n v="896"/>
    <s v="C053"/>
    <n v="46"/>
    <s v="Pariatur Set"/>
    <s v="Cake"/>
    <n v="1"/>
    <n v="758"/>
    <x v="269"/>
    <s v="April"/>
    <s v="Wednesday"/>
    <d v="1899-12-30T04:13:55"/>
    <x v="272"/>
    <x v="2"/>
    <s v="April"/>
    <x v="889"/>
    <x v="52"/>
    <s v="Haldia"/>
    <s v="Anniversary"/>
    <n v="758"/>
    <n v="5"/>
  </r>
  <r>
    <n v="897"/>
    <s v="C031"/>
    <n v="34"/>
    <s v="Placeat Pack"/>
    <s v="Soft Toys"/>
    <n v="5"/>
    <n v="1335"/>
    <x v="49"/>
    <s v="August"/>
    <s v="Friday"/>
    <d v="1899-12-30T07:53:21"/>
    <x v="141"/>
    <x v="14"/>
    <s v="September"/>
    <x v="890"/>
    <x v="35"/>
    <s v="Dhule"/>
    <s v="Raksha Bandhan"/>
    <n v="6675"/>
    <n v="7"/>
  </r>
  <r>
    <n v="898"/>
    <s v="C018"/>
    <n v="52"/>
    <s v="Dolorum Box"/>
    <s v="Raksha Bandhan"/>
    <n v="1"/>
    <n v="236"/>
    <x v="16"/>
    <s v="February"/>
    <s v="Thursday"/>
    <d v="1899-12-30T06:18:52"/>
    <x v="43"/>
    <x v="22"/>
    <s v="February"/>
    <x v="891"/>
    <x v="20"/>
    <s v="Kadapa"/>
    <s v="Valentine's Day"/>
    <n v="236"/>
    <n v="4"/>
  </r>
  <r>
    <n v="899"/>
    <s v="C011"/>
    <n v="63"/>
    <s v="Adipisci Set"/>
    <s v="Sweets"/>
    <n v="1"/>
    <n v="1348"/>
    <x v="258"/>
    <s v="December"/>
    <s v="Sunday"/>
    <d v="1899-12-30T21:29:55"/>
    <x v="273"/>
    <x v="20"/>
    <s v="December"/>
    <x v="892"/>
    <x v="16"/>
    <s v="Bijapur"/>
    <s v="All Occasions"/>
    <n v="1348"/>
    <n v="7"/>
  </r>
  <r>
    <n v="900"/>
    <s v="C027"/>
    <n v="57"/>
    <s v="Voluptatem Box"/>
    <s v="Colors"/>
    <n v="3"/>
    <n v="1582"/>
    <x v="206"/>
    <s v="April"/>
    <s v="Friday"/>
    <d v="1899-12-30T15:09:00"/>
    <x v="172"/>
    <x v="11"/>
    <s v="April"/>
    <x v="893"/>
    <x v="72"/>
    <s v="Sagar"/>
    <s v="Birthday"/>
    <n v="4746"/>
    <n v="8"/>
  </r>
  <r>
    <n v="901"/>
    <s v="C043"/>
    <n v="27"/>
    <s v="Architecto Gift"/>
    <s v="Cake"/>
    <n v="4"/>
    <n v="548"/>
    <x v="22"/>
    <s v="August"/>
    <s v="Tuesday"/>
    <d v="1899-12-30T07:55:38"/>
    <x v="42"/>
    <x v="14"/>
    <s v="August"/>
    <x v="894"/>
    <x v="61"/>
    <s v="Deoghar"/>
    <s v="Raksha Bandhan"/>
    <n v="2192"/>
    <n v="5"/>
  </r>
  <r>
    <n v="902"/>
    <s v="C025"/>
    <n v="32"/>
    <s v="Fuga Set"/>
    <s v="Soft Toys"/>
    <n v="5"/>
    <n v="1792"/>
    <x v="117"/>
    <s v="March"/>
    <s v="Wednesday"/>
    <d v="1899-12-30T13:29:55"/>
    <x v="274"/>
    <x v="18"/>
    <s v="March"/>
    <x v="895"/>
    <x v="84"/>
    <s v="Bidar"/>
    <s v="Birthday"/>
    <n v="8960"/>
    <n v="2"/>
  </r>
  <r>
    <n v="903"/>
    <s v="C066"/>
    <n v="63"/>
    <s v="Adipisci Set"/>
    <s v="Sweets"/>
    <n v="2"/>
    <n v="1348"/>
    <x v="167"/>
    <s v="September"/>
    <s v="Friday"/>
    <d v="1899-12-30T17:42:23"/>
    <x v="67"/>
    <x v="21"/>
    <s v="September"/>
    <x v="896"/>
    <x v="30"/>
    <s v="Bhusawal"/>
    <s v="All Occasions"/>
    <n v="2696"/>
    <n v="7"/>
  </r>
  <r>
    <n v="904"/>
    <s v="C013"/>
    <n v="2"/>
    <s v="Voluptas Box"/>
    <s v="Plants"/>
    <n v="4"/>
    <n v="441"/>
    <x v="33"/>
    <s v="February"/>
    <s v="Sunday"/>
    <d v="1899-12-30T22:05:48"/>
    <x v="197"/>
    <x v="3"/>
    <s v="February"/>
    <x v="897"/>
    <x v="14"/>
    <s v="Mira-Bhayandar"/>
    <s v="Valentine's Day"/>
    <n v="1764"/>
    <n v="5"/>
  </r>
  <r>
    <n v="905"/>
    <s v="C080"/>
    <n v="58"/>
    <s v="Sed Pack"/>
    <s v="Cake"/>
    <n v="1"/>
    <n v="1492"/>
    <x v="29"/>
    <s v="February"/>
    <s v="Friday"/>
    <d v="1899-12-30T19:31:35"/>
    <x v="33"/>
    <x v="1"/>
    <s v="February"/>
    <x v="898"/>
    <x v="31"/>
    <s v="Ichalkaranji"/>
    <s v="Valentine's Day"/>
    <n v="1492"/>
    <n v="6"/>
  </r>
  <r>
    <n v="906"/>
    <s v="C100"/>
    <n v="49"/>
    <s v="Voluptate Pack"/>
    <s v="Colors"/>
    <n v="3"/>
    <n v="903"/>
    <x v="103"/>
    <s v="February"/>
    <s v="Monday"/>
    <d v="1899-12-30T01:16:20"/>
    <x v="33"/>
    <x v="4"/>
    <s v="February"/>
    <x v="899"/>
    <x v="56"/>
    <s v="Jalandhar"/>
    <s v="Valentine's Day"/>
    <n v="2709"/>
    <n v="10"/>
  </r>
  <r>
    <n v="907"/>
    <s v="C046"/>
    <n v="30"/>
    <s v="Recusandae Pack"/>
    <s v="Colors"/>
    <n v="2"/>
    <n v="751"/>
    <x v="217"/>
    <s v="April"/>
    <s v="Wednesday"/>
    <d v="1899-12-30T21:36:41"/>
    <x v="25"/>
    <x v="20"/>
    <s v="April"/>
    <x v="900"/>
    <x v="32"/>
    <s v="Burhanpur"/>
    <s v="Anniversary"/>
    <n v="1502"/>
    <n v="6"/>
  </r>
  <r>
    <n v="908"/>
    <s v="C090"/>
    <n v="28"/>
    <s v="Velit Set"/>
    <s v="Sweets"/>
    <n v="5"/>
    <n v="1778"/>
    <x v="22"/>
    <s v="August"/>
    <s v="Tuesday"/>
    <d v="1899-12-30T15:51:25"/>
    <x v="152"/>
    <x v="11"/>
    <s v="August"/>
    <x v="901"/>
    <x v="17"/>
    <s v="Ozhukarai"/>
    <s v="Raksha Bandhan"/>
    <n v="8890"/>
    <n v="2"/>
  </r>
  <r>
    <n v="909"/>
    <s v="C084"/>
    <n v="42"/>
    <s v="Expedita Gift"/>
    <s v="Sweets"/>
    <n v="1"/>
    <n v="1744"/>
    <x v="13"/>
    <s v="November"/>
    <s v="Saturday"/>
    <d v="1899-12-30T07:43:51"/>
    <x v="74"/>
    <x v="14"/>
    <s v="November"/>
    <x v="902"/>
    <x v="68"/>
    <s v="Hyderabad"/>
    <s v="All Occasions"/>
    <n v="1744"/>
    <n v="4"/>
  </r>
  <r>
    <n v="910"/>
    <s v="C066"/>
    <n v="55"/>
    <s v="Dolores Gift"/>
    <s v="Soft Toys"/>
    <n v="4"/>
    <n v="1904"/>
    <x v="11"/>
    <s v="August"/>
    <s v="Saturday"/>
    <d v="1899-12-30T02:03:23"/>
    <x v="126"/>
    <x v="10"/>
    <s v="September"/>
    <x v="903"/>
    <x v="30"/>
    <s v="Kamarhati"/>
    <s v="Raksha Bandhan"/>
    <n v="7616"/>
    <n v="9"/>
  </r>
  <r>
    <n v="911"/>
    <s v="C071"/>
    <n v="22"/>
    <s v="Exercitationem Pack"/>
    <s v="Soft Toys"/>
    <n v="4"/>
    <n v="1639"/>
    <x v="270"/>
    <s v="January"/>
    <s v="Monday"/>
    <d v="1899-12-30T05:18:52"/>
    <x v="187"/>
    <x v="16"/>
    <s v="January"/>
    <x v="904"/>
    <x v="26"/>
    <s v="Nangloi Jat"/>
    <s v="All Occasions"/>
    <n v="6556"/>
    <n v="5"/>
  </r>
  <r>
    <n v="912"/>
    <s v="C062"/>
    <n v="9"/>
    <s v="Aperiam Box"/>
    <s v="Colors"/>
    <n v="4"/>
    <n v="1605"/>
    <x v="39"/>
    <s v="August"/>
    <s v="Tuesday"/>
    <d v="1899-12-30T03:09:59"/>
    <x v="117"/>
    <x v="9"/>
    <s v="September"/>
    <x v="905"/>
    <x v="49"/>
    <s v="Ghaziabad"/>
    <s v="Raksha Bandhan"/>
    <n v="6420"/>
    <n v="8"/>
  </r>
  <r>
    <n v="913"/>
    <s v="C092"/>
    <n v="56"/>
    <s v="Quia Gift"/>
    <s v="Raksha Bandhan"/>
    <n v="5"/>
    <n v="1272"/>
    <x v="14"/>
    <s v="December"/>
    <s v="Sunday"/>
    <d v="1899-12-30T18:39:24"/>
    <x v="199"/>
    <x v="23"/>
    <s v="December"/>
    <x v="906"/>
    <x v="38"/>
    <s v="Bharatpur"/>
    <s v="Anniversary"/>
    <n v="6360"/>
    <n v="2"/>
  </r>
  <r>
    <n v="914"/>
    <s v="C048"/>
    <n v="33"/>
    <s v="Earum Set"/>
    <s v="Colors"/>
    <n v="4"/>
    <n v="314"/>
    <x v="16"/>
    <s v="February"/>
    <s v="Thursday"/>
    <d v="1899-12-30T14:52:18"/>
    <x v="16"/>
    <x v="15"/>
    <s v="February"/>
    <x v="907"/>
    <x v="42"/>
    <s v="Sambhal"/>
    <s v="Valentine's Day"/>
    <n v="1256"/>
    <n v="5"/>
  </r>
  <r>
    <n v="915"/>
    <s v="C014"/>
    <n v="35"/>
    <s v="Nam Gift"/>
    <s v="Colors"/>
    <n v="1"/>
    <n v="1865"/>
    <x v="21"/>
    <s v="March"/>
    <s v="Monday"/>
    <d v="1899-12-30T21:12:40"/>
    <x v="27"/>
    <x v="20"/>
    <s v="March"/>
    <x v="908"/>
    <x v="37"/>
    <s v="Uluberia"/>
    <s v="Holi"/>
    <n v="1865"/>
    <n v="8"/>
  </r>
  <r>
    <n v="916"/>
    <s v="C063"/>
    <n v="33"/>
    <s v="Earum Set"/>
    <s v="Colors"/>
    <n v="2"/>
    <n v="314"/>
    <x v="103"/>
    <s v="February"/>
    <s v="Monday"/>
    <d v="1899-12-30T04:23:09"/>
    <x v="16"/>
    <x v="2"/>
    <s v="February"/>
    <x v="909"/>
    <x v="22"/>
    <s v="Darbhanga"/>
    <s v="Valentine's Day"/>
    <n v="628"/>
    <n v="8"/>
  </r>
  <r>
    <n v="917"/>
    <s v="C052"/>
    <n v="12"/>
    <s v="Non Set"/>
    <s v="Plants"/>
    <n v="3"/>
    <n v="672"/>
    <x v="271"/>
    <s v="January"/>
    <s v="Tuesday"/>
    <d v="1899-12-30T05:56:54"/>
    <x v="275"/>
    <x v="16"/>
    <s v="January"/>
    <x v="910"/>
    <x v="9"/>
    <s v="Bareilly"/>
    <s v="Anniversary"/>
    <n v="2016"/>
    <n v="5"/>
  </r>
  <r>
    <n v="918"/>
    <s v="C083"/>
    <n v="19"/>
    <s v="Iure Gift"/>
    <s v="Mugs"/>
    <n v="2"/>
    <n v="1234"/>
    <x v="33"/>
    <s v="February"/>
    <s v="Sunday"/>
    <d v="1899-12-30T18:13:06"/>
    <x v="80"/>
    <x v="23"/>
    <s v="February"/>
    <x v="911"/>
    <x v="62"/>
    <s v="Pali"/>
    <s v="Valentine's Day"/>
    <n v="2468"/>
    <n v="9"/>
  </r>
  <r>
    <n v="919"/>
    <s v="C038"/>
    <n v="35"/>
    <s v="Nam Gift"/>
    <s v="Colors"/>
    <n v="5"/>
    <n v="1865"/>
    <x v="25"/>
    <s v="February"/>
    <s v="Tuesday"/>
    <d v="1899-12-30T08:27:53"/>
    <x v="11"/>
    <x v="7"/>
    <s v="March"/>
    <x v="912"/>
    <x v="53"/>
    <s v="Delhi"/>
    <s v="Holi"/>
    <n v="9325"/>
    <n v="4"/>
  </r>
  <r>
    <n v="920"/>
    <s v="C026"/>
    <n v="45"/>
    <s v="Iusto Set"/>
    <s v="Raksha Bandhan"/>
    <n v="1"/>
    <n v="722"/>
    <x v="200"/>
    <s v="June"/>
    <s v="Thursday"/>
    <d v="1899-12-30T20:23:05"/>
    <x v="114"/>
    <x v="6"/>
    <s v="July"/>
    <x v="913"/>
    <x v="63"/>
    <s v="Gorakhpur"/>
    <s v="Birthday"/>
    <n v="722"/>
    <n v="9"/>
  </r>
  <r>
    <n v="921"/>
    <s v="C078"/>
    <n v="23"/>
    <s v="Dignissimos Pack"/>
    <s v="Sweets"/>
    <n v="4"/>
    <n v="1098"/>
    <x v="112"/>
    <s v="September"/>
    <s v="Monday"/>
    <d v="1899-12-30T13:52:40"/>
    <x v="179"/>
    <x v="18"/>
    <s v="September"/>
    <x v="914"/>
    <x v="4"/>
    <s v="Ghaziabad"/>
    <s v="Anniversary"/>
    <n v="4392"/>
    <n v="5"/>
  </r>
  <r>
    <n v="922"/>
    <s v="C009"/>
    <n v="23"/>
    <s v="Dignissimos Pack"/>
    <s v="Sweets"/>
    <n v="1"/>
    <n v="1098"/>
    <x v="272"/>
    <s v="December"/>
    <s v="Thursday"/>
    <d v="1899-12-30T09:16:24"/>
    <x v="276"/>
    <x v="17"/>
    <s v="December"/>
    <x v="915"/>
    <x v="6"/>
    <s v="Mahbubnagar"/>
    <s v="Anniversary"/>
    <n v="1098"/>
    <n v="4"/>
  </r>
  <r>
    <n v="923"/>
    <s v="C034"/>
    <n v="7"/>
    <s v="Quos Set"/>
    <s v="Soft Toys"/>
    <n v="4"/>
    <n v="409"/>
    <x v="64"/>
    <s v="February"/>
    <s v="Monday"/>
    <d v="1899-12-30T14:37:32"/>
    <x v="37"/>
    <x v="15"/>
    <s v="February"/>
    <x v="916"/>
    <x v="66"/>
    <s v="Ahmedabad"/>
    <s v="Holi"/>
    <n v="1636"/>
    <n v="1"/>
  </r>
  <r>
    <n v="924"/>
    <s v="C013"/>
    <n v="17"/>
    <s v="Delectus Gift"/>
    <s v="Soft Toys"/>
    <n v="1"/>
    <n v="1899"/>
    <x v="132"/>
    <s v="March"/>
    <s v="Saturday"/>
    <d v="1899-12-30T09:47:09"/>
    <x v="211"/>
    <x v="17"/>
    <s v="April"/>
    <x v="917"/>
    <x v="14"/>
    <s v="Sagar"/>
    <s v="Anniversary"/>
    <n v="1899"/>
    <n v="10"/>
  </r>
  <r>
    <n v="925"/>
    <s v="C012"/>
    <n v="31"/>
    <s v="Nihil Box"/>
    <s v="Colors"/>
    <n v="1"/>
    <n v="1804"/>
    <x v="273"/>
    <s v="January"/>
    <s v="Sunday"/>
    <d v="1899-12-30T00:55:51"/>
    <x v="277"/>
    <x v="5"/>
    <s v="January"/>
    <x v="918"/>
    <x v="3"/>
    <s v="Pallavaram"/>
    <s v="All Occasions"/>
    <n v="1804"/>
    <n v="4"/>
  </r>
  <r>
    <n v="926"/>
    <s v="C049"/>
    <n v="40"/>
    <s v="Provident Pack"/>
    <s v="Sweets"/>
    <n v="4"/>
    <n v="1923"/>
    <x v="196"/>
    <s v="March"/>
    <s v="Tuesday"/>
    <d v="1899-12-30T23:01:58"/>
    <x v="193"/>
    <x v="0"/>
    <s v="March"/>
    <x v="919"/>
    <x v="27"/>
    <s v="Kulti"/>
    <s v="Anniversary"/>
    <n v="7692"/>
    <n v="3"/>
  </r>
  <r>
    <n v="927"/>
    <s v="C100"/>
    <n v="43"/>
    <s v="Quisquam Pack"/>
    <s v="Raksha Bandhan"/>
    <n v="4"/>
    <n v="750"/>
    <x v="69"/>
    <s v="November"/>
    <s v="Friday"/>
    <d v="1899-12-30T06:38:15"/>
    <x v="108"/>
    <x v="22"/>
    <s v="November"/>
    <x v="920"/>
    <x v="56"/>
    <s v="Gopalpur"/>
    <s v="Diwali"/>
    <n v="3000"/>
    <n v="8"/>
  </r>
  <r>
    <n v="928"/>
    <s v="C012"/>
    <n v="23"/>
    <s v="Dignissimos Pack"/>
    <s v="Sweets"/>
    <n v="3"/>
    <n v="1098"/>
    <x v="113"/>
    <s v="November"/>
    <s v="Sunday"/>
    <d v="1899-12-30T11:06:24"/>
    <x v="278"/>
    <x v="12"/>
    <s v="November"/>
    <x v="921"/>
    <x v="3"/>
    <s v="Bihar Sharif"/>
    <s v="Anniversary"/>
    <n v="3294"/>
    <n v="8"/>
  </r>
  <r>
    <n v="929"/>
    <s v="C085"/>
    <n v="23"/>
    <s v="Dignissimos Pack"/>
    <s v="Sweets"/>
    <n v="1"/>
    <n v="1098"/>
    <x v="84"/>
    <s v="March"/>
    <s v="Sunday"/>
    <d v="1899-12-30T07:00:52"/>
    <x v="125"/>
    <x v="14"/>
    <s v="March"/>
    <x v="922"/>
    <x v="71"/>
    <s v="Kavali"/>
    <s v="Anniversary"/>
    <n v="1098"/>
    <n v="7"/>
  </r>
  <r>
    <n v="930"/>
    <s v="C083"/>
    <n v="61"/>
    <s v="Iusto Box"/>
    <s v="Plants"/>
    <n v="3"/>
    <n v="810"/>
    <x v="178"/>
    <s v="June"/>
    <s v="Saturday"/>
    <d v="1899-12-30T15:52:31"/>
    <x v="236"/>
    <x v="11"/>
    <s v="June"/>
    <x v="923"/>
    <x v="62"/>
    <s v="Gangtok"/>
    <s v="Anniversary"/>
    <n v="2430"/>
    <n v="4"/>
  </r>
  <r>
    <n v="931"/>
    <s v="C053"/>
    <n v="14"/>
    <s v="Deserunt Box"/>
    <s v="Colors"/>
    <n v="1"/>
    <n v="1915"/>
    <x v="164"/>
    <s v="April"/>
    <s v="Monday"/>
    <d v="1899-12-30T19:48:12"/>
    <x v="279"/>
    <x v="1"/>
    <s v="April"/>
    <x v="924"/>
    <x v="52"/>
    <s v="Mahbubnagar"/>
    <s v="Birthday"/>
    <n v="1915"/>
    <n v="2"/>
  </r>
  <r>
    <n v="932"/>
    <s v="C038"/>
    <n v="63"/>
    <s v="Adipisci Set"/>
    <s v="Sweets"/>
    <n v="2"/>
    <n v="1348"/>
    <x v="274"/>
    <s v="October"/>
    <s v="Sunday"/>
    <d v="1899-12-30T16:32:30"/>
    <x v="216"/>
    <x v="8"/>
    <s v="November"/>
    <x v="925"/>
    <x v="53"/>
    <s v="Durgapur"/>
    <s v="All Occasions"/>
    <n v="2696"/>
    <n v="4"/>
  </r>
  <r>
    <n v="933"/>
    <s v="C038"/>
    <n v="51"/>
    <s v="Fugit Set"/>
    <s v="Soft Toys"/>
    <n v="3"/>
    <n v="1084"/>
    <x v="78"/>
    <s v="November"/>
    <s v="Tuesday"/>
    <d v="1899-12-30T12:17:01"/>
    <x v="84"/>
    <x v="19"/>
    <s v="November"/>
    <x v="926"/>
    <x v="53"/>
    <s v="Muzaffarnagar"/>
    <s v="All Occasions"/>
    <n v="3252"/>
    <n v="9"/>
  </r>
  <r>
    <n v="934"/>
    <s v="C022"/>
    <n v="27"/>
    <s v="Architecto Gift"/>
    <s v="Cake"/>
    <n v="5"/>
    <n v="548"/>
    <x v="22"/>
    <s v="August"/>
    <s v="Tuesday"/>
    <d v="1899-12-30T00:41:04"/>
    <x v="142"/>
    <x v="5"/>
    <s v="August"/>
    <x v="927"/>
    <x v="67"/>
    <s v="Agartala"/>
    <s v="Raksha Bandhan"/>
    <n v="2740"/>
    <n v="1"/>
  </r>
  <r>
    <n v="935"/>
    <s v="C046"/>
    <n v="27"/>
    <s v="Architecto Gift"/>
    <s v="Cake"/>
    <n v="5"/>
    <n v="548"/>
    <x v="5"/>
    <s v="August"/>
    <s v="Sunday"/>
    <d v="1899-12-30T09:38:15"/>
    <x v="7"/>
    <x v="17"/>
    <s v="August"/>
    <x v="928"/>
    <x v="32"/>
    <s v="Kurnool"/>
    <s v="Raksha Bandhan"/>
    <n v="2740"/>
    <n v="9"/>
  </r>
  <r>
    <n v="936"/>
    <s v="C045"/>
    <n v="43"/>
    <s v="Quisquam Pack"/>
    <s v="Raksha Bandhan"/>
    <n v="4"/>
    <n v="750"/>
    <x v="31"/>
    <s v="November"/>
    <s v="Thursday"/>
    <d v="1899-12-30T21:26:31"/>
    <x v="74"/>
    <x v="20"/>
    <s v="November"/>
    <x v="428"/>
    <x v="39"/>
    <s v="Bardhaman"/>
    <s v="Diwali"/>
    <n v="3000"/>
    <n v="6"/>
  </r>
  <r>
    <n v="937"/>
    <s v="C097"/>
    <n v="51"/>
    <s v="Fugit Set"/>
    <s v="Soft Toys"/>
    <n v="2"/>
    <n v="1084"/>
    <x v="90"/>
    <s v="March"/>
    <s v="Saturday"/>
    <d v="1899-12-30T03:57:43"/>
    <x v="137"/>
    <x v="9"/>
    <s v="March"/>
    <x v="929"/>
    <x v="7"/>
    <s v="Rohtak"/>
    <s v="All Occasions"/>
    <n v="2168"/>
    <n v="4"/>
  </r>
  <r>
    <n v="938"/>
    <s v="C005"/>
    <n v="59"/>
    <s v="Pariatur Box"/>
    <s v="Cake"/>
    <n v="3"/>
    <n v="811"/>
    <x v="39"/>
    <s v="August"/>
    <s v="Tuesday"/>
    <d v="1899-12-30T18:12:49"/>
    <x v="54"/>
    <x v="23"/>
    <s v="September"/>
    <x v="930"/>
    <x v="81"/>
    <s v="Ratlam"/>
    <s v="Raksha Bandhan"/>
    <n v="2433"/>
    <n v="10"/>
  </r>
  <r>
    <n v="939"/>
    <s v="C084"/>
    <n v="9"/>
    <s v="Aperiam Box"/>
    <s v="Colors"/>
    <n v="4"/>
    <n v="1605"/>
    <x v="5"/>
    <s v="August"/>
    <s v="Sunday"/>
    <d v="1899-12-30T20:55:05"/>
    <x v="122"/>
    <x v="6"/>
    <s v="August"/>
    <x v="931"/>
    <x v="68"/>
    <s v="Bhilai"/>
    <s v="Raksha Bandhan"/>
    <n v="6420"/>
    <n v="1"/>
  </r>
  <r>
    <n v="940"/>
    <s v="C082"/>
    <n v="57"/>
    <s v="Voluptatem Box"/>
    <s v="Colors"/>
    <n v="4"/>
    <n v="1582"/>
    <x v="275"/>
    <s v="January"/>
    <s v="Wednesday"/>
    <d v="1899-12-30T23:38:25"/>
    <x v="277"/>
    <x v="0"/>
    <s v="January"/>
    <x v="932"/>
    <x v="59"/>
    <s v="Orai"/>
    <s v="Birthday"/>
    <n v="6328"/>
    <n v="1"/>
  </r>
  <r>
    <n v="941"/>
    <s v="C058"/>
    <n v="18"/>
    <s v="Nemo Set"/>
    <s v="Plants"/>
    <n v="4"/>
    <n v="781"/>
    <x v="276"/>
    <s v="May"/>
    <s v="Friday"/>
    <d v="1899-12-30T09:16:07"/>
    <x v="176"/>
    <x v="17"/>
    <s v="May"/>
    <x v="933"/>
    <x v="42"/>
    <s v="Bidar"/>
    <s v="Birthday"/>
    <n v="3124"/>
    <n v="3"/>
  </r>
  <r>
    <n v="942"/>
    <s v="C024"/>
    <n v="51"/>
    <s v="Fugit Set"/>
    <s v="Soft Toys"/>
    <n v="1"/>
    <n v="1084"/>
    <x v="277"/>
    <s v="December"/>
    <s v="Saturday"/>
    <d v="1899-12-30T04:59:43"/>
    <x v="140"/>
    <x v="2"/>
    <s v="December"/>
    <x v="934"/>
    <x v="11"/>
    <s v="Surat"/>
    <s v="All Occasions"/>
    <n v="1084"/>
    <n v="3"/>
  </r>
  <r>
    <n v="943"/>
    <s v="C026"/>
    <n v="22"/>
    <s v="Exercitationem Pack"/>
    <s v="Soft Toys"/>
    <n v="4"/>
    <n v="1639"/>
    <x v="229"/>
    <s v="February"/>
    <s v="Sunday"/>
    <d v="1899-12-30T14:27:09"/>
    <x v="180"/>
    <x v="15"/>
    <s v="February"/>
    <x v="935"/>
    <x v="63"/>
    <s v="Narasaraopet"/>
    <s v="All Occasions"/>
    <n v="6556"/>
    <n v="3"/>
  </r>
  <r>
    <n v="944"/>
    <s v="C024"/>
    <n v="67"/>
    <s v="Maiores Box"/>
    <s v="Raksha Bandhan"/>
    <n v="4"/>
    <n v="1374"/>
    <x v="278"/>
    <s v="November"/>
    <s v="Friday"/>
    <d v="1899-12-30T20:34:33"/>
    <x v="280"/>
    <x v="6"/>
    <s v="November"/>
    <x v="936"/>
    <x v="11"/>
    <s v="Amravati"/>
    <s v="Anniversary"/>
    <n v="5496"/>
    <n v="4"/>
  </r>
  <r>
    <n v="945"/>
    <s v="C038"/>
    <n v="18"/>
    <s v="Nemo Set"/>
    <s v="Plants"/>
    <n v="2"/>
    <n v="781"/>
    <x v="279"/>
    <s v="July"/>
    <s v="Sunday"/>
    <d v="1899-12-30T12:00:02"/>
    <x v="232"/>
    <x v="19"/>
    <s v="August"/>
    <x v="937"/>
    <x v="53"/>
    <s v="Raebareli"/>
    <s v="Birthday"/>
    <n v="1562"/>
    <n v="7"/>
  </r>
  <r>
    <n v="946"/>
    <s v="C050"/>
    <n v="17"/>
    <s v="Delectus Gift"/>
    <s v="Soft Toys"/>
    <n v="4"/>
    <n v="1899"/>
    <x v="188"/>
    <s v="December"/>
    <s v="Saturday"/>
    <d v="1899-12-30T11:07:29"/>
    <x v="263"/>
    <x v="12"/>
    <s v="December"/>
    <x v="938"/>
    <x v="27"/>
    <s v="Ratlam"/>
    <s v="Anniversary"/>
    <n v="7596"/>
    <n v="7"/>
  </r>
  <r>
    <n v="947"/>
    <s v="C100"/>
    <n v="38"/>
    <s v="Mollitia Set"/>
    <s v="Cake"/>
    <n v="3"/>
    <n v="562"/>
    <x v="97"/>
    <s v="October"/>
    <s v="Friday"/>
    <d v="1899-12-30T19:16:19"/>
    <x v="135"/>
    <x v="1"/>
    <s v="October"/>
    <x v="939"/>
    <x v="56"/>
    <s v="Nadiad"/>
    <s v="Birthday"/>
    <n v="1686"/>
    <n v="2"/>
  </r>
  <r>
    <n v="948"/>
    <s v="C061"/>
    <n v="26"/>
    <s v="Aliquam Box"/>
    <s v="Colors"/>
    <n v="3"/>
    <n v="289"/>
    <x v="26"/>
    <s v="March"/>
    <s v="Saturday"/>
    <d v="1899-12-30T18:21:51"/>
    <x v="32"/>
    <x v="23"/>
    <s v="March"/>
    <x v="940"/>
    <x v="11"/>
    <s v="Dehradun"/>
    <s v="Holi"/>
    <n v="867"/>
    <n v="3"/>
  </r>
  <r>
    <n v="949"/>
    <s v="C020"/>
    <n v="6"/>
    <s v="Quos Box"/>
    <s v="Cake"/>
    <n v="4"/>
    <n v="1112"/>
    <x v="64"/>
    <s v="February"/>
    <s v="Monday"/>
    <d v="1899-12-30T20:55:01"/>
    <x v="44"/>
    <x v="6"/>
    <s v="March"/>
    <x v="941"/>
    <x v="36"/>
    <s v="Begusarai"/>
    <s v="Holi"/>
    <n v="4448"/>
    <n v="7"/>
  </r>
  <r>
    <n v="950"/>
    <s v="C014"/>
    <n v="39"/>
    <s v="Voluptate Set"/>
    <s v="Mugs"/>
    <n v="3"/>
    <n v="387"/>
    <x v="247"/>
    <s v="October"/>
    <s v="Monday"/>
    <d v="1899-12-30T19:31:00"/>
    <x v="281"/>
    <x v="1"/>
    <s v="October"/>
    <x v="942"/>
    <x v="37"/>
    <s v="Tiruchirappalli"/>
    <s v="All Occasions"/>
    <n v="1161"/>
    <n v="2"/>
  </r>
  <r>
    <n v="951"/>
    <s v="C024"/>
    <n v="20"/>
    <s v="Reiciendis Box"/>
    <s v="Colors"/>
    <n v="1"/>
    <n v="697"/>
    <x v="150"/>
    <s v="November"/>
    <s v="Thursday"/>
    <d v="1899-12-30T15:34:09"/>
    <x v="107"/>
    <x v="11"/>
    <s v="November"/>
    <x v="943"/>
    <x v="11"/>
    <s v="Bongaigaon"/>
    <s v="Anniversary"/>
    <n v="697"/>
    <n v="2"/>
  </r>
  <r>
    <n v="952"/>
    <s v="C027"/>
    <n v="49"/>
    <s v="Voluptate Pack"/>
    <s v="Colors"/>
    <n v="4"/>
    <n v="903"/>
    <x v="33"/>
    <s v="February"/>
    <s v="Sunday"/>
    <d v="1899-12-30T02:48:07"/>
    <x v="180"/>
    <x v="10"/>
    <s v="February"/>
    <x v="944"/>
    <x v="72"/>
    <s v="Bidar"/>
    <s v="Valentine's Day"/>
    <n v="3612"/>
    <n v="10"/>
  </r>
  <r>
    <n v="953"/>
    <s v="C076"/>
    <n v="40"/>
    <s v="Provident Pack"/>
    <s v="Sweets"/>
    <n v="1"/>
    <n v="1923"/>
    <x v="131"/>
    <s v="September"/>
    <s v="Sunday"/>
    <d v="1899-12-30T00:26:01"/>
    <x v="126"/>
    <x v="5"/>
    <s v="September"/>
    <x v="945"/>
    <x v="78"/>
    <s v="Varanasi"/>
    <s v="Anniversary"/>
    <n v="1923"/>
    <n v="1"/>
  </r>
  <r>
    <n v="954"/>
    <s v="C063"/>
    <n v="44"/>
    <s v="Dolorum Set"/>
    <s v="Plants"/>
    <n v="3"/>
    <n v="794"/>
    <x v="31"/>
    <s v="November"/>
    <s v="Thursday"/>
    <d v="1899-12-30T04:01:43"/>
    <x v="95"/>
    <x v="2"/>
    <s v="November"/>
    <x v="946"/>
    <x v="22"/>
    <s v="Ballia"/>
    <s v="Diwali"/>
    <n v="2382"/>
    <n v="1"/>
  </r>
  <r>
    <n v="955"/>
    <s v="C015"/>
    <n v="24"/>
    <s v="Ad Box"/>
    <s v="Mugs"/>
    <n v="4"/>
    <n v="535"/>
    <x v="178"/>
    <s v="June"/>
    <s v="Saturday"/>
    <d v="1899-12-30T00:30:48"/>
    <x v="236"/>
    <x v="5"/>
    <s v="June"/>
    <x v="947"/>
    <x v="44"/>
    <s v="Singrauli"/>
    <s v="Birthday"/>
    <n v="2140"/>
    <n v="4"/>
  </r>
  <r>
    <n v="956"/>
    <s v="C037"/>
    <n v="34"/>
    <s v="Placeat Pack"/>
    <s v="Soft Toys"/>
    <n v="5"/>
    <n v="1335"/>
    <x v="39"/>
    <s v="August"/>
    <s v="Tuesday"/>
    <d v="1899-12-30T04:52:24"/>
    <x v="104"/>
    <x v="2"/>
    <s v="September"/>
    <x v="948"/>
    <x v="0"/>
    <s v="Sagar"/>
    <s v="Raksha Bandhan"/>
    <n v="6675"/>
    <n v="5"/>
  </r>
  <r>
    <n v="957"/>
    <s v="C038"/>
    <n v="23"/>
    <s v="Dignissimos Pack"/>
    <s v="Sweets"/>
    <n v="1"/>
    <n v="1098"/>
    <x v="194"/>
    <s v="December"/>
    <s v="Friday"/>
    <d v="1899-12-30T01:56:38"/>
    <x v="219"/>
    <x v="4"/>
    <s v="December"/>
    <x v="949"/>
    <x v="53"/>
    <s v="Kanpur"/>
    <s v="Anniversary"/>
    <n v="1098"/>
    <n v="2"/>
  </r>
  <r>
    <n v="958"/>
    <s v="C009"/>
    <n v="16"/>
    <s v="Ut Pack"/>
    <s v="Sweets"/>
    <n v="3"/>
    <n v="1721"/>
    <x v="15"/>
    <s v="March"/>
    <s v="Tuesday"/>
    <d v="1899-12-30T14:02:57"/>
    <x v="27"/>
    <x v="15"/>
    <s v="March"/>
    <x v="950"/>
    <x v="6"/>
    <s v="Bihar Sharif"/>
    <s v="Holi"/>
    <n v="5163"/>
    <n v="7"/>
  </r>
  <r>
    <n v="959"/>
    <s v="C098"/>
    <n v="40"/>
    <s v="Provident Pack"/>
    <s v="Sweets"/>
    <n v="1"/>
    <n v="1923"/>
    <x v="227"/>
    <s v="December"/>
    <s v="Thursday"/>
    <d v="1899-12-30T01:54:46"/>
    <x v="140"/>
    <x v="4"/>
    <s v="December"/>
    <x v="951"/>
    <x v="77"/>
    <s v="Raebareli"/>
    <s v="Anniversary"/>
    <n v="1923"/>
    <n v="5"/>
  </r>
  <r>
    <n v="960"/>
    <s v="C032"/>
    <n v="48"/>
    <s v="Maiores Gift"/>
    <s v="Colors"/>
    <n v="3"/>
    <n v="433"/>
    <x v="159"/>
    <s v="November"/>
    <s v="Sunday"/>
    <d v="1899-12-30T05:25:49"/>
    <x v="74"/>
    <x v="16"/>
    <s v="November"/>
    <x v="952"/>
    <x v="54"/>
    <s v="Nadiad"/>
    <s v="Diwali"/>
    <n v="1299"/>
    <n v="3"/>
  </r>
  <r>
    <n v="961"/>
    <s v="C016"/>
    <n v="1"/>
    <s v="Magnam Set"/>
    <s v="Soft Toys"/>
    <n v="5"/>
    <n v="1935"/>
    <x v="74"/>
    <s v="February"/>
    <s v="Wednesday"/>
    <d v="1899-12-30T06:49:28"/>
    <x v="145"/>
    <x v="22"/>
    <s v="February"/>
    <x v="953"/>
    <x v="73"/>
    <s v="Gulbarga"/>
    <s v="All Occasions"/>
    <n v="9675"/>
    <n v="9"/>
  </r>
  <r>
    <n v="962"/>
    <s v="C028"/>
    <n v="17"/>
    <s v="Delectus Gift"/>
    <s v="Soft Toys"/>
    <n v="5"/>
    <n v="1899"/>
    <x v="262"/>
    <s v="September"/>
    <s v="Friday"/>
    <d v="1899-12-30T11:55:53"/>
    <x v="23"/>
    <x v="12"/>
    <s v="October"/>
    <x v="954"/>
    <x v="48"/>
    <s v="Kalyan-Dombivli"/>
    <s v="Anniversary"/>
    <n v="9495"/>
    <n v="2"/>
  </r>
  <r>
    <n v="963"/>
    <s v="C025"/>
    <n v="29"/>
    <s v="In Set"/>
    <s v="Colors"/>
    <n v="1"/>
    <n v="1252"/>
    <x v="52"/>
    <s v="March"/>
    <s v="Friday"/>
    <d v="1899-12-30T08:44:19"/>
    <x v="44"/>
    <x v="7"/>
    <s v="March"/>
    <x v="955"/>
    <x v="84"/>
    <s v="Phagwara"/>
    <s v="Holi"/>
    <n v="1252"/>
    <n v="3"/>
  </r>
  <r>
    <n v="964"/>
    <s v="C098"/>
    <n v="32"/>
    <s v="Fuga Set"/>
    <s v="Soft Toys"/>
    <n v="4"/>
    <n v="1792"/>
    <x v="280"/>
    <s v="October"/>
    <s v="Thursday"/>
    <d v="1899-12-30T06:39:41"/>
    <x v="282"/>
    <x v="22"/>
    <s v="October"/>
    <x v="956"/>
    <x v="77"/>
    <s v="Jammu"/>
    <s v="Birthday"/>
    <n v="7168"/>
    <n v="4"/>
  </r>
  <r>
    <n v="965"/>
    <s v="C080"/>
    <n v="62"/>
    <s v="Sed Set"/>
    <s v="Colors"/>
    <n v="1"/>
    <n v="1356"/>
    <x v="9"/>
    <s v="March"/>
    <s v="Thursday"/>
    <d v="1899-12-30T03:15:10"/>
    <x v="44"/>
    <x v="9"/>
    <s v="March"/>
    <x v="957"/>
    <x v="31"/>
    <s v="Amaravati"/>
    <s v="Holi"/>
    <n v="1356"/>
    <n v="4"/>
  </r>
  <r>
    <n v="966"/>
    <s v="C061"/>
    <n v="13"/>
    <s v="Et Set"/>
    <s v="Mugs"/>
    <n v="2"/>
    <n v="1141"/>
    <x v="125"/>
    <s v="March"/>
    <s v="Wednesday"/>
    <d v="1899-12-30T02:21:06"/>
    <x v="101"/>
    <x v="10"/>
    <s v="March"/>
    <x v="958"/>
    <x v="11"/>
    <s v="Nellore"/>
    <s v="Holi"/>
    <n v="2282"/>
    <n v="9"/>
  </r>
  <r>
    <n v="967"/>
    <s v="C041"/>
    <n v="68"/>
    <s v="Quas Gift"/>
    <s v="Soft Toys"/>
    <n v="4"/>
    <n v="597"/>
    <x v="33"/>
    <s v="February"/>
    <s v="Sunday"/>
    <d v="1899-12-30T00:21:23"/>
    <x v="14"/>
    <x v="5"/>
    <s v="February"/>
    <x v="959"/>
    <x v="19"/>
    <s v="Siliguri"/>
    <s v="Valentine's Day"/>
    <n v="2388"/>
    <n v="8"/>
  </r>
  <r>
    <n v="968"/>
    <s v="C002"/>
    <n v="9"/>
    <s v="Aperiam Box"/>
    <s v="Colors"/>
    <n v="2"/>
    <n v="1605"/>
    <x v="49"/>
    <s v="August"/>
    <s v="Friday"/>
    <d v="1899-12-30T23:55:22"/>
    <x v="141"/>
    <x v="0"/>
    <s v="September"/>
    <x v="960"/>
    <x v="83"/>
    <s v="Jaunpur"/>
    <s v="Raksha Bandhan"/>
    <n v="3210"/>
    <n v="7"/>
  </r>
  <r>
    <n v="969"/>
    <s v="C004"/>
    <n v="42"/>
    <s v="Expedita Gift"/>
    <s v="Sweets"/>
    <n v="4"/>
    <n v="1744"/>
    <x v="281"/>
    <s v="August"/>
    <s v="Wednesday"/>
    <d v="1899-12-30T22:56:34"/>
    <x v="104"/>
    <x v="3"/>
    <s v="September"/>
    <x v="961"/>
    <x v="75"/>
    <s v="Khammam"/>
    <s v="All Occasions"/>
    <n v="6976"/>
    <n v="4"/>
  </r>
  <r>
    <n v="970"/>
    <s v="C020"/>
    <n v="54"/>
    <s v="Occaecati Gift"/>
    <s v="Cake"/>
    <n v="4"/>
    <n v="1236"/>
    <x v="40"/>
    <s v="April"/>
    <s v="Thursday"/>
    <d v="1899-12-30T03:26:33"/>
    <x v="251"/>
    <x v="9"/>
    <s v="April"/>
    <x v="962"/>
    <x v="36"/>
    <s v="Siliguri"/>
    <s v="Anniversary"/>
    <n v="4944"/>
    <n v="8"/>
  </r>
  <r>
    <n v="971"/>
    <s v="C027"/>
    <n v="47"/>
    <s v="Harum Pack"/>
    <s v="Colors"/>
    <n v="1"/>
    <n v="1638"/>
    <x v="9"/>
    <s v="March"/>
    <s v="Thursday"/>
    <d v="1899-12-30T04:02:13"/>
    <x v="101"/>
    <x v="2"/>
    <s v="March"/>
    <x v="963"/>
    <x v="72"/>
    <s v="Sultan Pur Majra"/>
    <s v="Holi"/>
    <n v="1638"/>
    <n v="8"/>
  </r>
  <r>
    <n v="972"/>
    <s v="C026"/>
    <n v="30"/>
    <s v="Recusandae Pack"/>
    <s v="Colors"/>
    <n v="2"/>
    <n v="751"/>
    <x v="180"/>
    <s v="April"/>
    <s v="Sunday"/>
    <d v="1899-12-30T01:34:34"/>
    <x v="283"/>
    <x v="4"/>
    <s v="May"/>
    <x v="964"/>
    <x v="63"/>
    <s v="Ujjain"/>
    <s v="Anniversary"/>
    <n v="1502"/>
    <n v="2"/>
  </r>
  <r>
    <n v="973"/>
    <s v="C031"/>
    <n v="66"/>
    <s v="Quas Box"/>
    <s v="Colors"/>
    <n v="3"/>
    <n v="610"/>
    <x v="8"/>
    <s v="February"/>
    <s v="Sunday"/>
    <d v="1899-12-30T10:35:55"/>
    <x v="32"/>
    <x v="13"/>
    <s v="March"/>
    <x v="965"/>
    <x v="35"/>
    <s v="Barasat"/>
    <s v="Holi"/>
    <n v="1830"/>
    <n v="9"/>
  </r>
  <r>
    <n v="974"/>
    <s v="C014"/>
    <n v="17"/>
    <s v="Delectus Gift"/>
    <s v="Soft Toys"/>
    <n v="4"/>
    <n v="1899"/>
    <x v="13"/>
    <s v="November"/>
    <s v="Saturday"/>
    <d v="1899-12-30T19:16:59"/>
    <x v="112"/>
    <x v="1"/>
    <s v="November"/>
    <x v="966"/>
    <x v="37"/>
    <s v="Pallavaram"/>
    <s v="Anniversary"/>
    <n v="7596"/>
    <n v="3"/>
  </r>
  <r>
    <n v="975"/>
    <s v="C077"/>
    <n v="62"/>
    <s v="Sed Set"/>
    <s v="Colors"/>
    <n v="2"/>
    <n v="1356"/>
    <x v="26"/>
    <s v="March"/>
    <s v="Saturday"/>
    <d v="1899-12-30T00:26:32"/>
    <x v="21"/>
    <x v="5"/>
    <s v="March"/>
    <x v="967"/>
    <x v="41"/>
    <s v="Sultan Pur Majra"/>
    <s v="Holi"/>
    <n v="2712"/>
    <n v="8"/>
  </r>
  <r>
    <n v="976"/>
    <s v="C017"/>
    <n v="17"/>
    <s v="Delectus Gift"/>
    <s v="Soft Toys"/>
    <n v="2"/>
    <n v="1899"/>
    <x v="276"/>
    <s v="May"/>
    <s v="Friday"/>
    <d v="1899-12-30T07:11:09"/>
    <x v="284"/>
    <x v="14"/>
    <s v="May"/>
    <x v="968"/>
    <x v="46"/>
    <s v="Raichur"/>
    <s v="Anniversary"/>
    <n v="3798"/>
    <n v="1"/>
  </r>
  <r>
    <n v="977"/>
    <s v="C005"/>
    <n v="47"/>
    <s v="Harum Pack"/>
    <s v="Colors"/>
    <n v="2"/>
    <n v="1638"/>
    <x v="88"/>
    <s v="March"/>
    <s v="Sunday"/>
    <d v="1899-12-30T12:33:31"/>
    <x v="32"/>
    <x v="19"/>
    <s v="March"/>
    <x v="969"/>
    <x v="81"/>
    <s v="Rajpur Sonarpur"/>
    <s v="Holi"/>
    <n v="3276"/>
    <n v="2"/>
  </r>
  <r>
    <n v="978"/>
    <s v="C019"/>
    <n v="29"/>
    <s v="In Set"/>
    <s v="Colors"/>
    <n v="4"/>
    <n v="1252"/>
    <x v="25"/>
    <s v="February"/>
    <s v="Tuesday"/>
    <d v="1899-12-30T08:59:15"/>
    <x v="170"/>
    <x v="7"/>
    <s v="March"/>
    <x v="970"/>
    <x v="1"/>
    <s v="Barasat"/>
    <s v="Holi"/>
    <n v="5008"/>
    <n v="9"/>
  </r>
  <r>
    <n v="979"/>
    <s v="C030"/>
    <n v="9"/>
    <s v="Aperiam Box"/>
    <s v="Colors"/>
    <n v="4"/>
    <n v="1605"/>
    <x v="110"/>
    <s v="August"/>
    <s v="Monday"/>
    <d v="1899-12-30T18:43:04"/>
    <x v="53"/>
    <x v="23"/>
    <s v="August"/>
    <x v="971"/>
    <x v="64"/>
    <s v="Adoni"/>
    <s v="Raksha Bandhan"/>
    <n v="6420"/>
    <n v="3"/>
  </r>
  <r>
    <n v="980"/>
    <s v="C067"/>
    <n v="12"/>
    <s v="Non Set"/>
    <s v="Plants"/>
    <n v="5"/>
    <n v="672"/>
    <x v="149"/>
    <s v="September"/>
    <s v="Thursday"/>
    <d v="1899-12-30T20:35:26"/>
    <x v="207"/>
    <x v="6"/>
    <s v="September"/>
    <x v="972"/>
    <x v="29"/>
    <s v="Bijapur"/>
    <s v="Anniversary"/>
    <n v="3360"/>
    <n v="9"/>
  </r>
  <r>
    <n v="981"/>
    <s v="C014"/>
    <n v="46"/>
    <s v="Pariatur Set"/>
    <s v="Cake"/>
    <n v="2"/>
    <n v="758"/>
    <x v="121"/>
    <s v="April"/>
    <s v="Sunday"/>
    <d v="1899-12-30T20:01:08"/>
    <x v="257"/>
    <x v="6"/>
    <s v="April"/>
    <x v="973"/>
    <x v="37"/>
    <s v="Dehradun"/>
    <s v="Anniversary"/>
    <n v="1516"/>
    <n v="1"/>
  </r>
  <r>
    <n v="982"/>
    <s v="C019"/>
    <n v="47"/>
    <s v="Harum Pack"/>
    <s v="Colors"/>
    <n v="4"/>
    <n v="1638"/>
    <x v="25"/>
    <s v="February"/>
    <s v="Tuesday"/>
    <d v="1899-12-30T18:56:23"/>
    <x v="11"/>
    <x v="23"/>
    <s v="March"/>
    <x v="974"/>
    <x v="1"/>
    <s v="Srinagar"/>
    <s v="Holi"/>
    <n v="6552"/>
    <n v="4"/>
  </r>
  <r>
    <n v="983"/>
    <s v="C094"/>
    <n v="70"/>
    <s v="Error Gift"/>
    <s v="Sweets"/>
    <n v="1"/>
    <n v="866"/>
    <x v="132"/>
    <s v="March"/>
    <s v="Saturday"/>
    <d v="1899-12-30T09:39:44"/>
    <x v="143"/>
    <x v="17"/>
    <s v="April"/>
    <x v="975"/>
    <x v="69"/>
    <s v="Satna"/>
    <s v="Birthday"/>
    <n v="866"/>
    <n v="7"/>
  </r>
  <r>
    <n v="984"/>
    <s v="C058"/>
    <n v="65"/>
    <s v="Error Gift"/>
    <s v="Raksha Bandhan"/>
    <n v="1"/>
    <n v="1895"/>
    <x v="282"/>
    <s v="August"/>
    <s v="Thursday"/>
    <d v="1899-12-30T22:31:02"/>
    <x v="285"/>
    <x v="3"/>
    <s v="August"/>
    <x v="976"/>
    <x v="42"/>
    <s v="Ballia"/>
    <s v="All Occasions"/>
    <n v="1895"/>
    <n v="4"/>
  </r>
  <r>
    <n v="985"/>
    <s v="C070"/>
    <n v="31"/>
    <s v="Nihil Box"/>
    <s v="Colors"/>
    <n v="4"/>
    <n v="1804"/>
    <x v="239"/>
    <s v="October"/>
    <s v="Thursday"/>
    <d v="1899-12-30T11:27:20"/>
    <x v="91"/>
    <x v="12"/>
    <s v="October"/>
    <x v="977"/>
    <x v="66"/>
    <s v="Ludhiana"/>
    <s v="All Occasions"/>
    <n v="7216"/>
    <n v="8"/>
  </r>
  <r>
    <n v="986"/>
    <s v="C086"/>
    <n v="1"/>
    <s v="Magnam Set"/>
    <s v="Soft Toys"/>
    <n v="2"/>
    <n v="1935"/>
    <x v="69"/>
    <s v="November"/>
    <s v="Friday"/>
    <d v="1899-12-30T16:41:54"/>
    <x v="30"/>
    <x v="8"/>
    <s v="November"/>
    <x v="978"/>
    <x v="80"/>
    <s v="Bally"/>
    <s v="All Occasions"/>
    <n v="3870"/>
    <n v="2"/>
  </r>
  <r>
    <n v="987"/>
    <s v="C018"/>
    <n v="65"/>
    <s v="Error Gift"/>
    <s v="Raksha Bandhan"/>
    <n v="3"/>
    <n v="1895"/>
    <x v="283"/>
    <s v="December"/>
    <s v="Wednesday"/>
    <d v="1899-12-30T09:13:17"/>
    <x v="237"/>
    <x v="17"/>
    <s v="December"/>
    <x v="979"/>
    <x v="20"/>
    <s v="Bulandshahr"/>
    <s v="All Occasions"/>
    <n v="5685"/>
    <n v="5"/>
  </r>
  <r>
    <n v="988"/>
    <s v="C020"/>
    <n v="4"/>
    <s v="Accusantium Set"/>
    <s v="Sweets"/>
    <n v="3"/>
    <n v="1199"/>
    <x v="87"/>
    <s v="November"/>
    <s v="Friday"/>
    <d v="1899-12-30T09:47:17"/>
    <x v="12"/>
    <x v="17"/>
    <s v="November"/>
    <x v="980"/>
    <x v="36"/>
    <s v="Mau"/>
    <s v="Diwali"/>
    <n v="3597"/>
    <n v="5"/>
  </r>
  <r>
    <n v="989"/>
    <s v="C017"/>
    <n v="52"/>
    <s v="Dolorum Box"/>
    <s v="Raksha Bandhan"/>
    <n v="3"/>
    <n v="236"/>
    <x v="103"/>
    <s v="February"/>
    <s v="Monday"/>
    <d v="1899-12-30T08:11:27"/>
    <x v="28"/>
    <x v="7"/>
    <s v="February"/>
    <x v="981"/>
    <x v="46"/>
    <s v="Bidhannagar"/>
    <s v="Valentine's Day"/>
    <n v="708"/>
    <n v="9"/>
  </r>
  <r>
    <n v="990"/>
    <s v="C021"/>
    <n v="42"/>
    <s v="Expedita Gift"/>
    <s v="Sweets"/>
    <n v="2"/>
    <n v="1744"/>
    <x v="197"/>
    <s v="December"/>
    <s v="Monday"/>
    <d v="1899-12-30T22:20:00"/>
    <x v="212"/>
    <x v="3"/>
    <s v="December"/>
    <x v="982"/>
    <x v="85"/>
    <s v="Amritsar"/>
    <s v="All Occasions"/>
    <n v="3488"/>
    <n v="4"/>
  </r>
  <r>
    <n v="991"/>
    <s v="C054"/>
    <n v="36"/>
    <s v="Cum Gift"/>
    <s v="Plants"/>
    <n v="5"/>
    <n v="203"/>
    <x v="16"/>
    <s v="February"/>
    <s v="Thursday"/>
    <d v="1899-12-30T15:01:12"/>
    <x v="28"/>
    <x v="11"/>
    <s v="February"/>
    <x v="983"/>
    <x v="18"/>
    <s v="Barasat"/>
    <s v="Birthday"/>
    <n v="1015"/>
    <n v="6"/>
  </r>
  <r>
    <n v="992"/>
    <s v="C091"/>
    <n v="43"/>
    <s v="Quisquam Pack"/>
    <s v="Raksha Bandhan"/>
    <n v="3"/>
    <n v="750"/>
    <x v="31"/>
    <s v="November"/>
    <s v="Thursday"/>
    <d v="1899-12-30T14:09:04"/>
    <x v="95"/>
    <x v="15"/>
    <s v="November"/>
    <x v="984"/>
    <x v="21"/>
    <s v="Chittoor"/>
    <s v="Diwali"/>
    <n v="2250"/>
    <n v="1"/>
  </r>
  <r>
    <n v="993"/>
    <s v="C082"/>
    <n v="61"/>
    <s v="Iusto Box"/>
    <s v="Plants"/>
    <n v="5"/>
    <n v="810"/>
    <x v="284"/>
    <s v="October"/>
    <s v="Sunday"/>
    <d v="1899-12-30T21:34:06"/>
    <x v="248"/>
    <x v="20"/>
    <s v="October"/>
    <x v="985"/>
    <x v="59"/>
    <s v="Kishanganj"/>
    <s v="Anniversary"/>
    <n v="4050"/>
    <n v="6"/>
  </r>
  <r>
    <n v="994"/>
    <s v="C004"/>
    <n v="68"/>
    <s v="Quas Gift"/>
    <s v="Soft Toys"/>
    <n v="2"/>
    <n v="597"/>
    <x v="94"/>
    <s v="February"/>
    <s v="Monday"/>
    <d v="1899-12-30T22:44:36"/>
    <x v="80"/>
    <x v="3"/>
    <s v="February"/>
    <x v="986"/>
    <x v="75"/>
    <s v="Chandigarh"/>
    <s v="Valentine's Day"/>
    <n v="1194"/>
    <n v="8"/>
  </r>
  <r>
    <n v="995"/>
    <s v="C089"/>
    <n v="57"/>
    <s v="Voluptatem Box"/>
    <s v="Colors"/>
    <n v="2"/>
    <n v="1582"/>
    <x v="285"/>
    <s v="July"/>
    <s v="Thursday"/>
    <d v="1899-12-30T00:40:38"/>
    <x v="34"/>
    <x v="5"/>
    <s v="July"/>
    <x v="987"/>
    <x v="76"/>
    <s v="Muzaffarnagar"/>
    <s v="Birthday"/>
    <n v="3164"/>
    <n v="7"/>
  </r>
  <r>
    <n v="996"/>
    <s v="C077"/>
    <n v="25"/>
    <s v="Qui Gift"/>
    <s v="Plants"/>
    <n v="5"/>
    <n v="1202"/>
    <x v="234"/>
    <s v="May"/>
    <s v="Saturday"/>
    <d v="1899-12-30T06:55:09"/>
    <x v="186"/>
    <x v="22"/>
    <s v="May"/>
    <x v="988"/>
    <x v="41"/>
    <s v="Faridabad"/>
    <s v="Anniversary"/>
    <n v="6010"/>
    <n v="6"/>
  </r>
  <r>
    <n v="997"/>
    <s v="C098"/>
    <n v="19"/>
    <s v="Iure Gift"/>
    <s v="Mugs"/>
    <n v="2"/>
    <n v="1234"/>
    <x v="56"/>
    <s v="February"/>
    <s v="Saturday"/>
    <d v="1899-12-30T04:28:27"/>
    <x v="145"/>
    <x v="2"/>
    <s v="February"/>
    <x v="989"/>
    <x v="77"/>
    <s v="Vasai-Virar"/>
    <s v="Valentine's Day"/>
    <n v="2468"/>
    <n v="6"/>
  </r>
  <r>
    <n v="998"/>
    <s v="C046"/>
    <n v="44"/>
    <s v="Dolorum Set"/>
    <s v="Plants"/>
    <n v="1"/>
    <n v="794"/>
    <x v="76"/>
    <s v="November"/>
    <s v="Monday"/>
    <d v="1899-12-30T16:17:11"/>
    <x v="6"/>
    <x v="8"/>
    <s v="November"/>
    <x v="990"/>
    <x v="32"/>
    <s v="Ballia"/>
    <s v="Diwali"/>
    <n v="794"/>
    <n v="8"/>
  </r>
  <r>
    <n v="999"/>
    <s v="C054"/>
    <n v="52"/>
    <s v="Dolorum Box"/>
    <s v="Raksha Bandhan"/>
    <n v="2"/>
    <n v="236"/>
    <x v="103"/>
    <s v="February"/>
    <s v="Monday"/>
    <d v="1899-12-30T22:40:49"/>
    <x v="145"/>
    <x v="3"/>
    <s v="February"/>
    <x v="991"/>
    <x v="18"/>
    <s v="Miryalaguda"/>
    <s v="Valentine's Day"/>
    <n v="472"/>
    <n v="4"/>
  </r>
  <r>
    <n v="1000"/>
    <s v="C012"/>
    <n v="27"/>
    <s v="Architecto Gift"/>
    <s v="Cake"/>
    <n v="4"/>
    <n v="548"/>
    <x v="49"/>
    <s v="August"/>
    <s v="Friday"/>
    <d v="1899-12-30T01:22:43"/>
    <x v="53"/>
    <x v="4"/>
    <s v="August"/>
    <x v="992"/>
    <x v="3"/>
    <s v="Tadepalligudem"/>
    <s v="Raksha Bandhan"/>
    <n v="2192"/>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C7D93C-CA13-44AA-AD88-3BA16B94EEFE}" name="PivotTable1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9:M10" firstHeaderRow="1" firstDataRow="1" firstDataCol="0"/>
  <pivotFields count="21">
    <pivotField dataField="1" showAll="0"/>
    <pivotField showAll="0">
      <items count="101">
        <item x="86"/>
        <item x="97"/>
        <item x="92"/>
        <item x="84"/>
        <item x="94"/>
        <item x="34"/>
        <item x="78"/>
        <item x="54"/>
        <item x="6"/>
        <item x="53"/>
        <item x="17"/>
        <item x="3"/>
        <item x="14"/>
        <item x="38"/>
        <item x="46"/>
        <item x="82"/>
        <item x="48"/>
        <item x="21"/>
        <item x="1"/>
        <item x="37"/>
        <item x="99"/>
        <item x="73"/>
        <item x="40"/>
        <item x="11"/>
        <item x="98"/>
        <item x="68"/>
        <item x="80"/>
        <item x="51"/>
        <item x="2"/>
        <item x="69"/>
        <item x="36"/>
        <item x="57"/>
        <item x="47"/>
        <item x="96"/>
        <item x="65"/>
        <item x="39"/>
        <item x="0"/>
        <item x="56"/>
        <item x="61"/>
        <item x="5"/>
        <item x="20"/>
        <item x="12"/>
        <item x="87"/>
        <item x="8"/>
        <item x="41"/>
        <item x="33"/>
        <item x="26"/>
        <item x="66"/>
        <item x="77"/>
        <item x="49"/>
        <item x="70"/>
        <item x="91"/>
        <item x="55"/>
        <item x="19"/>
        <item x="28"/>
        <item x="15"/>
        <item x="50"/>
        <item x="44"/>
        <item x="35"/>
        <item x="58"/>
        <item x="59"/>
        <item x="52"/>
        <item x="23"/>
        <item x="25"/>
        <item x="10"/>
        <item x="31"/>
        <item x="30"/>
        <item x="81"/>
        <item x="13"/>
        <item x="71"/>
        <item x="27"/>
        <item x="16"/>
        <item x="95"/>
        <item x="45"/>
        <item x="64"/>
        <item x="89"/>
        <item x="43"/>
        <item x="4"/>
        <item x="90"/>
        <item x="32"/>
        <item x="62"/>
        <item x="63"/>
        <item x="67"/>
        <item x="75"/>
        <item x="79"/>
        <item x="93"/>
        <item x="72"/>
        <item x="24"/>
        <item x="85"/>
        <item x="18"/>
        <item x="22"/>
        <item x="74"/>
        <item x="83"/>
        <item x="76"/>
        <item x="42"/>
        <item x="29"/>
        <item x="7"/>
        <item x="88"/>
        <item x="9"/>
        <item x="60"/>
        <item t="default"/>
      </items>
    </pivotField>
    <pivotField showAll="0"/>
    <pivotField showAll="0">
      <items count="69">
        <item x="22"/>
        <item x="44"/>
        <item x="54"/>
        <item x="67"/>
        <item x="42"/>
        <item x="21"/>
        <item x="7"/>
        <item x="1"/>
        <item x="37"/>
        <item x="25"/>
        <item x="2"/>
        <item x="13"/>
        <item x="60"/>
        <item x="15"/>
        <item x="39"/>
        <item x="12"/>
        <item x="59"/>
        <item x="52"/>
        <item x="56"/>
        <item x="35"/>
        <item x="64"/>
        <item x="34"/>
        <item x="18"/>
        <item x="16"/>
        <item x="38"/>
        <item x="49"/>
        <item x="55"/>
        <item x="66"/>
        <item x="65"/>
        <item x="27"/>
        <item x="33"/>
        <item x="5"/>
        <item x="48"/>
        <item x="0"/>
        <item x="29"/>
        <item x="45"/>
        <item x="10"/>
        <item x="31"/>
        <item x="36"/>
        <item x="53"/>
        <item x="43"/>
        <item x="17"/>
        <item x="61"/>
        <item x="30"/>
        <item x="28"/>
        <item x="58"/>
        <item x="62"/>
        <item x="41"/>
        <item x="46"/>
        <item x="26"/>
        <item x="63"/>
        <item x="24"/>
        <item x="40"/>
        <item x="8"/>
        <item x="6"/>
        <item x="20"/>
        <item x="23"/>
        <item x="19"/>
        <item x="11"/>
        <item x="51"/>
        <item x="3"/>
        <item x="14"/>
        <item x="9"/>
        <item x="4"/>
        <item x="50"/>
        <item x="32"/>
        <item x="47"/>
        <item x="57"/>
        <item t="default"/>
      </items>
    </pivotField>
    <pivotField showAll="0"/>
    <pivotField showAll="0"/>
    <pivotField numFmtId="164" showAll="0"/>
    <pivotField numFmtId="14" showAll="0"/>
    <pivotField showAll="0">
      <items count="13">
        <item x="8"/>
        <item x="0"/>
        <item x="5"/>
        <item x="9"/>
        <item x="4"/>
        <item x="11"/>
        <item x="2"/>
        <item x="3"/>
        <item x="7"/>
        <item x="10"/>
        <item x="1"/>
        <item x="6"/>
        <item t="default"/>
      </items>
    </pivotField>
    <pivotField showAll="0"/>
    <pivotField numFmtId="21" showAll="0"/>
    <pivotField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showAll="0"/>
    <pivotField numFmtId="21" showAll="0"/>
    <pivotField showAll="0"/>
    <pivotField showAll="0">
      <items count="8">
        <item x="6"/>
        <item x="0"/>
        <item x="2"/>
        <item x="1"/>
        <item x="5"/>
        <item x="4"/>
        <item x="3"/>
        <item t="default"/>
      </items>
    </pivotField>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_ID" fld="0" subtotal="count" baseField="0" baseItem="0" numFmtId="2"/>
  </dataFields>
  <formats count="3">
    <format dxfId="30">
      <pivotArea type="all" dataOnly="0" outline="0" fieldPosition="0"/>
    </format>
    <format dxfId="29">
      <pivotArea outline="0" collapsedLevelsAreSubtotals="1"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E06A54-E77F-42C3-A90D-35B296A005B8}" name="PivotTable15"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G14:H39" firstHeaderRow="1" firstDataRow="1" firstDataCol="1"/>
  <pivotFields count="23">
    <pivotField showAll="0"/>
    <pivotField showAll="0"/>
    <pivotField showAll="0"/>
    <pivotField showAll="0"/>
    <pivotField showAll="0"/>
    <pivotField showAll="0"/>
    <pivotField numFmtId="164" showAll="0"/>
    <pivotField numFmtId="14" showAll="0">
      <items count="287">
        <item x="53"/>
        <item x="58"/>
        <item x="118"/>
        <item x="185"/>
        <item x="42"/>
        <item x="255"/>
        <item x="273"/>
        <item x="215"/>
        <item x="275"/>
        <item x="263"/>
        <item x="24"/>
        <item x="236"/>
        <item x="83"/>
        <item x="169"/>
        <item x="93"/>
        <item x="226"/>
        <item x="270"/>
        <item x="271"/>
        <item x="177"/>
        <item x="186"/>
        <item x="242"/>
        <item x="240"/>
        <item x="250"/>
        <item x="195"/>
        <item x="74"/>
        <item x="162"/>
        <item x="79"/>
        <item x="56"/>
        <item x="81"/>
        <item x="103"/>
        <item x="106"/>
        <item x="41"/>
        <item x="16"/>
        <item x="29"/>
        <item x="4"/>
        <item x="33"/>
        <item x="94"/>
        <item x="124"/>
        <item x="12"/>
        <item x="85"/>
        <item x="238"/>
        <item x="229"/>
        <item x="216"/>
        <item x="59"/>
        <item x="231"/>
        <item x="0"/>
        <item x="8"/>
        <item x="64"/>
        <item x="25"/>
        <item x="125"/>
        <item x="9"/>
        <item x="52"/>
        <item x="26"/>
        <item x="88"/>
        <item x="21"/>
        <item x="15"/>
        <item x="160"/>
        <item x="157"/>
        <item x="108"/>
        <item x="90"/>
        <item x="139"/>
        <item x="68"/>
        <item x="38"/>
        <item x="95"/>
        <item x="267"/>
        <item x="84"/>
        <item x="133"/>
        <item x="104"/>
        <item x="117"/>
        <item x="181"/>
        <item x="130"/>
        <item x="132"/>
        <item x="203"/>
        <item x="196"/>
        <item x="192"/>
        <item x="154"/>
        <item x="121"/>
        <item x="269"/>
        <item x="54"/>
        <item x="206"/>
        <item x="144"/>
        <item x="205"/>
        <item x="116"/>
        <item x="161"/>
        <item x="40"/>
        <item x="245"/>
        <item x="27"/>
        <item x="138"/>
        <item x="164"/>
        <item x="36"/>
        <item x="217"/>
        <item x="86"/>
        <item x="233"/>
        <item x="101"/>
        <item x="224"/>
        <item x="35"/>
        <item x="180"/>
        <item x="66"/>
        <item x="248"/>
        <item x="18"/>
        <item x="257"/>
        <item x="111"/>
        <item x="6"/>
        <item x="71"/>
        <item x="218"/>
        <item x="91"/>
        <item x="140"/>
        <item x="234"/>
        <item x="176"/>
        <item x="65"/>
        <item x="165"/>
        <item x="211"/>
        <item x="276"/>
        <item x="126"/>
        <item x="244"/>
        <item x="264"/>
        <item x="199"/>
        <item x="190"/>
        <item x="146"/>
        <item x="67"/>
        <item x="57"/>
        <item x="99"/>
        <item x="178"/>
        <item x="179"/>
        <item x="198"/>
        <item x="175"/>
        <item x="32"/>
        <item x="212"/>
        <item x="259"/>
        <item x="46"/>
        <item x="127"/>
        <item x="187"/>
        <item x="223"/>
        <item x="256"/>
        <item x="72"/>
        <item x="147"/>
        <item x="77"/>
        <item x="122"/>
        <item x="143"/>
        <item x="201"/>
        <item x="45"/>
        <item x="43"/>
        <item x="219"/>
        <item x="200"/>
        <item x="105"/>
        <item x="207"/>
        <item x="120"/>
        <item x="193"/>
        <item x="48"/>
        <item x="136"/>
        <item x="171"/>
        <item x="174"/>
        <item x="3"/>
        <item x="230"/>
        <item x="10"/>
        <item x="2"/>
        <item x="266"/>
        <item x="34"/>
        <item x="191"/>
        <item x="285"/>
        <item x="20"/>
        <item x="158"/>
        <item x="19"/>
        <item x="119"/>
        <item x="252"/>
        <item x="279"/>
        <item x="222"/>
        <item x="254"/>
        <item x="282"/>
        <item x="60"/>
        <item x="55"/>
        <item x="102"/>
        <item x="173"/>
        <item x="182"/>
        <item x="221"/>
        <item x="151"/>
        <item x="243"/>
        <item x="141"/>
        <item x="208"/>
        <item x="115"/>
        <item x="209"/>
        <item x="5"/>
        <item x="128"/>
        <item x="22"/>
        <item x="61"/>
        <item x="109"/>
        <item x="49"/>
        <item x="11"/>
        <item x="100"/>
        <item x="110"/>
        <item x="39"/>
        <item x="281"/>
        <item x="47"/>
        <item x="50"/>
        <item x="131"/>
        <item x="153"/>
        <item x="89"/>
        <item x="213"/>
        <item x="129"/>
        <item x="135"/>
        <item x="62"/>
        <item x="249"/>
        <item x="167"/>
        <item x="241"/>
        <item x="112"/>
        <item x="253"/>
        <item x="166"/>
        <item x="149"/>
        <item x="23"/>
        <item x="232"/>
        <item x="163"/>
        <item x="152"/>
        <item x="51"/>
        <item x="262"/>
        <item x="183"/>
        <item x="28"/>
        <item x="82"/>
        <item x="239"/>
        <item x="97"/>
        <item x="284"/>
        <item x="265"/>
        <item x="134"/>
        <item x="114"/>
        <item x="107"/>
        <item x="268"/>
        <item x="247"/>
        <item x="210"/>
        <item x="260"/>
        <item x="280"/>
        <item x="189"/>
        <item x="204"/>
        <item x="123"/>
        <item x="92"/>
        <item x="155"/>
        <item x="142"/>
        <item x="228"/>
        <item x="73"/>
        <item x="274"/>
        <item x="70"/>
        <item x="251"/>
        <item x="31"/>
        <item x="69"/>
        <item x="13"/>
        <item x="159"/>
        <item x="76"/>
        <item x="1"/>
        <item x="7"/>
        <item x="17"/>
        <item x="87"/>
        <item x="30"/>
        <item x="37"/>
        <item x="214"/>
        <item x="78"/>
        <item x="278"/>
        <item x="246"/>
        <item x="113"/>
        <item x="156"/>
        <item x="98"/>
        <item x="145"/>
        <item x="150"/>
        <item x="148"/>
        <item x="172"/>
        <item x="168"/>
        <item x="235"/>
        <item x="188"/>
        <item x="237"/>
        <item x="197"/>
        <item x="96"/>
        <item x="184"/>
        <item x="202"/>
        <item x="225"/>
        <item x="14"/>
        <item x="261"/>
        <item x="44"/>
        <item x="272"/>
        <item x="194"/>
        <item x="258"/>
        <item x="220"/>
        <item x="283"/>
        <item x="227"/>
        <item x="63"/>
        <item x="277"/>
        <item x="170"/>
        <item x="80"/>
        <item x="137"/>
        <item x="75"/>
        <item t="default"/>
      </items>
    </pivotField>
    <pivotField showAll="0"/>
    <pivotField showAll="0"/>
    <pivotField numFmtId="21" showAll="0"/>
    <pivotField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axis="axisRow" showAll="0">
      <items count="25">
        <item x="5"/>
        <item x="4"/>
        <item x="10"/>
        <item x="9"/>
        <item x="2"/>
        <item x="16"/>
        <item x="22"/>
        <item x="14"/>
        <item x="7"/>
        <item x="17"/>
        <item x="13"/>
        <item x="12"/>
        <item x="19"/>
        <item x="18"/>
        <item x="15"/>
        <item x="11"/>
        <item x="8"/>
        <item x="21"/>
        <item x="23"/>
        <item x="1"/>
        <item x="6"/>
        <item x="20"/>
        <item x="3"/>
        <item x="0"/>
        <item t="default"/>
      </items>
    </pivotField>
    <pivotField showAll="0"/>
    <pivotField numFmtId="21" showAll="0">
      <items count="994">
        <item x="153"/>
        <item x="831"/>
        <item x="586"/>
        <item x="647"/>
        <item x="257"/>
        <item x="912"/>
        <item x="458"/>
        <item x="418"/>
        <item x="421"/>
        <item x="605"/>
        <item x="761"/>
        <item x="102"/>
        <item x="184"/>
        <item x="892"/>
        <item x="249"/>
        <item x="17"/>
        <item x="527"/>
        <item x="554"/>
        <item x="637"/>
        <item x="740"/>
        <item x="75"/>
        <item x="232"/>
        <item x="244"/>
        <item x="649"/>
        <item x="972"/>
        <item x="508"/>
        <item x="843"/>
        <item x="821"/>
        <item x="461"/>
        <item x="565"/>
        <item x="499"/>
        <item x="718"/>
        <item x="702"/>
        <item x="897"/>
        <item x="513"/>
        <item x="260"/>
        <item x="412"/>
        <item x="196"/>
        <item x="738"/>
        <item x="930"/>
        <item x="273"/>
        <item x="413"/>
        <item x="438"/>
        <item x="584"/>
        <item x="452"/>
        <item x="466"/>
        <item x="615"/>
        <item x="537"/>
        <item x="167"/>
        <item x="885"/>
        <item x="787"/>
        <item x="806"/>
        <item x="72"/>
        <item x="642"/>
        <item x="248"/>
        <item x="865"/>
        <item x="813"/>
        <item x="894"/>
        <item x="616"/>
        <item x="336"/>
        <item x="103"/>
        <item x="19"/>
        <item x="519"/>
        <item x="523"/>
        <item x="904"/>
        <item x="95"/>
        <item x="228"/>
        <item x="733"/>
        <item x="711"/>
        <item x="827"/>
        <item x="705"/>
        <item x="290"/>
        <item x="394"/>
        <item x="853"/>
        <item x="833"/>
        <item x="361"/>
        <item x="714"/>
        <item x="803"/>
        <item x="171"/>
        <item x="580"/>
        <item x="792"/>
        <item x="746"/>
        <item x="271"/>
        <item x="798"/>
        <item x="502"/>
        <item x="981"/>
        <item x="472"/>
        <item x="152"/>
        <item x="79"/>
        <item x="222"/>
        <item x="640"/>
        <item x="234"/>
        <item x="553"/>
        <item x="190"/>
        <item x="32"/>
        <item x="176"/>
        <item x="385"/>
        <item x="441"/>
        <item x="750"/>
        <item x="296"/>
        <item x="826"/>
        <item x="112"/>
        <item x="333"/>
        <item x="728"/>
        <item x="12"/>
        <item x="836"/>
        <item x="518"/>
        <item x="545"/>
        <item x="139"/>
        <item x="675"/>
        <item x="191"/>
        <item x="855"/>
        <item x="284"/>
        <item x="679"/>
        <item x="620"/>
        <item x="42"/>
        <item x="592"/>
        <item x="926"/>
        <item x="797"/>
        <item x="287"/>
        <item x="633"/>
        <item x="848"/>
        <item x="773"/>
        <item x="366"/>
        <item x="156"/>
        <item x="888"/>
        <item x="839"/>
        <item x="529"/>
        <item x="338"/>
        <item x="568"/>
        <item x="245"/>
        <item x="768"/>
        <item x="200"/>
        <item x="18"/>
        <item x="216"/>
        <item x="327"/>
        <item x="534"/>
        <item x="645"/>
        <item x="801"/>
        <item x="974"/>
        <item x="830"/>
        <item x="475"/>
        <item x="857"/>
        <item x="120"/>
        <item x="614"/>
        <item x="634"/>
        <item x="436"/>
        <item x="961"/>
        <item x="142"/>
        <item x="606"/>
        <item x="195"/>
        <item x="320"/>
        <item x="631"/>
        <item x="596"/>
        <item x="744"/>
        <item x="115"/>
        <item x="626"/>
        <item x="965"/>
        <item x="331"/>
        <item x="753"/>
        <item x="265"/>
        <item x="760"/>
        <item x="199"/>
        <item x="149"/>
        <item x="757"/>
        <item x="932"/>
        <item x="420"/>
        <item x="590"/>
        <item x="144"/>
        <item x="231"/>
        <item x="405"/>
        <item x="979"/>
        <item x="246"/>
        <item x="816"/>
        <item x="431"/>
        <item x="784"/>
        <item x="51"/>
        <item x="140"/>
        <item x="668"/>
        <item x="566"/>
        <item x="111"/>
        <item x="485"/>
        <item x="774"/>
        <item x="367"/>
        <item x="791"/>
        <item x="39"/>
        <item x="758"/>
        <item x="487"/>
        <item x="354"/>
        <item x="990"/>
        <item x="931"/>
        <item x="362"/>
        <item x="731"/>
        <item x="752"/>
        <item x="808"/>
        <item x="406"/>
        <item x="495"/>
        <item x="651"/>
        <item x="748"/>
        <item x="682"/>
        <item x="814"/>
        <item x="179"/>
        <item x="192"/>
        <item x="873"/>
        <item x="312"/>
        <item x="157"/>
        <item x="696"/>
        <item x="132"/>
        <item x="121"/>
        <item x="589"/>
        <item x="920"/>
        <item x="182"/>
        <item x="824"/>
        <item x="558"/>
        <item x="703"/>
        <item x="481"/>
        <item x="860"/>
        <item x="665"/>
        <item x="777"/>
        <item x="628"/>
        <item x="170"/>
        <item x="168"/>
        <item x="786"/>
        <item x="307"/>
        <item x="501"/>
        <item x="122"/>
        <item x="114"/>
        <item x="486"/>
        <item x="964"/>
        <item x="252"/>
        <item x="98"/>
        <item x="688"/>
        <item x="47"/>
        <item x="672"/>
        <item x="908"/>
        <item x="33"/>
        <item x="906"/>
        <item x="251"/>
        <item x="988"/>
        <item x="276"/>
        <item x="469"/>
        <item x="648"/>
        <item x="585"/>
        <item x="415"/>
        <item x="408"/>
        <item x="730"/>
        <item x="52"/>
        <item x="46"/>
        <item x="310"/>
        <item x="597"/>
        <item x="136"/>
        <item x="151"/>
        <item x="25"/>
        <item x="311"/>
        <item x="754"/>
        <item x="559"/>
        <item x="715"/>
        <item x="180"/>
        <item x="832"/>
        <item x="610"/>
        <item x="698"/>
        <item x="164"/>
        <item x="507"/>
        <item x="820"/>
        <item x="778"/>
        <item x="44"/>
        <item x="99"/>
        <item x="796"/>
        <item x="379"/>
        <item x="713"/>
        <item x="404"/>
        <item x="741"/>
        <item x="65"/>
        <item x="697"/>
        <item x="342"/>
        <item x="263"/>
        <item x="202"/>
        <item x="532"/>
        <item x="970"/>
        <item x="3"/>
        <item x="64"/>
        <item x="707"/>
        <item x="795"/>
        <item x="304"/>
        <item x="975"/>
        <item x="800"/>
        <item x="918"/>
        <item x="516"/>
        <item x="687"/>
        <item x="986"/>
        <item x="667"/>
        <item x="863"/>
        <item x="785"/>
        <item x="840"/>
        <item x="992"/>
        <item x="83"/>
        <item x="274"/>
        <item x="100"/>
        <item x="206"/>
        <item x="242"/>
        <item x="301"/>
        <item x="397"/>
        <item x="80"/>
        <item x="505"/>
        <item x="794"/>
        <item x="603"/>
        <item x="1"/>
        <item x="93"/>
        <item x="780"/>
        <item x="399"/>
        <item x="409"/>
        <item x="314"/>
        <item x="914"/>
        <item x="173"/>
        <item x="630"/>
        <item x="0"/>
        <item x="135"/>
        <item x="119"/>
        <item x="601"/>
        <item x="498"/>
        <item x="945"/>
        <item x="457"/>
        <item x="78"/>
        <item x="54"/>
        <item x="549"/>
        <item x="506"/>
        <item x="500"/>
        <item x="193"/>
        <item x="158"/>
        <item x="709"/>
        <item x="27"/>
        <item x="23"/>
        <item x="26"/>
        <item x="719"/>
        <item x="783"/>
        <item x="571"/>
        <item x="739"/>
        <item x="208"/>
        <item x="859"/>
        <item x="45"/>
        <item x="106"/>
        <item x="915"/>
        <item x="967"/>
        <item x="858"/>
        <item x="440"/>
        <item x="717"/>
        <item x="542"/>
        <item x="790"/>
        <item x="60"/>
        <item x="250"/>
        <item x="621"/>
        <item x="35"/>
        <item x="434"/>
        <item x="127"/>
        <item x="235"/>
        <item x="766"/>
        <item x="517"/>
        <item x="856"/>
        <item x="643"/>
        <item x="57"/>
        <item x="212"/>
        <item x="108"/>
        <item x="657"/>
        <item x="129"/>
        <item x="619"/>
        <item x="680"/>
        <item x="893"/>
        <item x="898"/>
        <item x="359"/>
        <item x="345"/>
        <item x="163"/>
        <item x="318"/>
        <item x="968"/>
        <item x="927"/>
        <item x="107"/>
        <item x="528"/>
        <item x="7"/>
        <item x="178"/>
        <item x="189"/>
        <item x="653"/>
        <item x="644"/>
        <item x="94"/>
        <item x="782"/>
        <item x="146"/>
        <item x="194"/>
        <item x="211"/>
        <item x="239"/>
        <item x="326"/>
        <item x="230"/>
        <item x="73"/>
        <item x="729"/>
        <item x="947"/>
        <item x="812"/>
        <item x="899"/>
        <item x="350"/>
        <item x="641"/>
        <item x="944"/>
        <item x="253"/>
        <item x="759"/>
        <item x="341"/>
        <item x="68"/>
        <item x="243"/>
        <item x="227"/>
        <item x="541"/>
        <item x="588"/>
        <item x="185"/>
        <item x="941"/>
        <item x="414"/>
        <item x="353"/>
        <item x="764"/>
        <item x="352"/>
        <item x="907"/>
        <item x="838"/>
        <item x="21"/>
        <item x="476"/>
        <item x="656"/>
        <item x="556"/>
        <item x="319"/>
        <item x="539"/>
        <item x="602"/>
        <item x="442"/>
        <item x="880"/>
        <item x="751"/>
        <item x="952"/>
        <item x="664"/>
        <item x="118"/>
        <item x="464"/>
        <item x="543"/>
        <item x="396"/>
        <item x="428"/>
        <item x="882"/>
        <item x="293"/>
        <item x="6"/>
        <item x="735"/>
        <item x="861"/>
        <item x="447"/>
        <item x="448"/>
        <item x="802"/>
        <item x="567"/>
        <item x="673"/>
        <item x="363"/>
        <item x="921"/>
        <item x="221"/>
        <item x="823"/>
        <item x="49"/>
        <item x="161"/>
        <item x="841"/>
        <item x="321"/>
        <item x="958"/>
        <item x="924"/>
        <item x="422"/>
        <item x="279"/>
        <item x="933"/>
        <item x="369"/>
        <item x="980"/>
        <item x="226"/>
        <item x="662"/>
        <item x="844"/>
        <item x="347"/>
        <item x="116"/>
        <item x="734"/>
        <item x="360"/>
        <item x="747"/>
        <item x="217"/>
        <item x="955"/>
        <item x="386"/>
        <item x="582"/>
        <item x="377"/>
        <item x="574"/>
        <item x="383"/>
        <item x="43"/>
        <item x="477"/>
        <item x="154"/>
        <item x="337"/>
        <item x="364"/>
        <item x="765"/>
        <item x="684"/>
        <item x="726"/>
        <item x="166"/>
        <item x="444"/>
        <item x="910"/>
        <item x="686"/>
        <item x="4"/>
        <item x="900"/>
        <item x="533"/>
        <item x="91"/>
        <item x="224"/>
        <item x="639"/>
        <item x="282"/>
        <item x="531"/>
        <item x="131"/>
        <item x="872"/>
        <item x="305"/>
        <item x="771"/>
        <item x="677"/>
        <item x="627"/>
        <item x="155"/>
        <item x="905"/>
        <item x="20"/>
        <item x="113"/>
        <item x="416"/>
        <item x="883"/>
        <item x="987"/>
        <item x="450"/>
        <item x="503"/>
        <item x="69"/>
        <item x="375"/>
        <item x="203"/>
        <item x="162"/>
        <item x="989"/>
        <item x="834"/>
        <item x="724"/>
        <item x="540"/>
        <item x="756"/>
        <item x="646"/>
        <item x="772"/>
        <item x="676"/>
        <item x="346"/>
        <item x="490"/>
        <item x="804"/>
        <item x="13"/>
        <item x="306"/>
        <item x="22"/>
        <item x="594"/>
        <item x="497"/>
        <item x="205"/>
        <item x="87"/>
        <item x="762"/>
        <item x="117"/>
        <item x="895"/>
        <item x="37"/>
        <item x="575"/>
        <item x="328"/>
        <item x="169"/>
        <item x="488"/>
        <item x="870"/>
        <item x="56"/>
        <item x="451"/>
        <item x="991"/>
        <item x="521"/>
        <item x="241"/>
        <item x="433"/>
        <item x="213"/>
        <item x="607"/>
        <item x="204"/>
        <item x="427"/>
        <item x="937"/>
        <item x="889"/>
        <item x="437"/>
        <item x="283"/>
        <item x="467"/>
        <item x="674"/>
        <item x="389"/>
        <item x="874"/>
        <item x="922"/>
        <item x="59"/>
        <item x="143"/>
        <item x="494"/>
        <item x="779"/>
        <item x="509"/>
        <item x="940"/>
        <item x="560"/>
        <item x="701"/>
        <item x="563"/>
        <item x="124"/>
        <item x="297"/>
        <item x="187"/>
        <item x="237"/>
        <item x="90"/>
        <item x="14"/>
        <item x="38"/>
        <item x="463"/>
        <item x="755"/>
        <item x="854"/>
        <item x="356"/>
        <item x="70"/>
        <item x="473"/>
        <item x="395"/>
        <item x="400"/>
        <item x="699"/>
        <item x="29"/>
        <item x="732"/>
        <item x="462"/>
        <item x="188"/>
        <item x="810"/>
        <item x="446"/>
        <item x="695"/>
        <item x="629"/>
        <item x="48"/>
        <item x="424"/>
        <item x="145"/>
        <item x="683"/>
        <item x="417"/>
        <item x="510"/>
        <item x="382"/>
        <item x="219"/>
        <item x="851"/>
        <item x="303"/>
        <item x="828"/>
        <item x="186"/>
        <item x="890"/>
        <item x="526"/>
        <item x="81"/>
        <item x="85"/>
        <item x="225"/>
        <item x="330"/>
        <item x="781"/>
        <item x="351"/>
        <item x="329"/>
        <item x="846"/>
        <item x="536"/>
        <item x="460"/>
        <item x="105"/>
        <item x="443"/>
        <item x="618"/>
        <item x="847"/>
        <item x="24"/>
        <item x="28"/>
        <item x="40"/>
        <item x="53"/>
        <item x="177"/>
        <item x="288"/>
        <item x="123"/>
        <item x="88"/>
        <item x="218"/>
        <item x="82"/>
        <item x="809"/>
        <item x="403"/>
        <item x="84"/>
        <item x="652"/>
        <item x="886"/>
        <item x="141"/>
        <item x="175"/>
        <item x="706"/>
        <item x="788"/>
        <item x="817"/>
        <item x="459"/>
        <item x="948"/>
        <item x="570"/>
        <item x="576"/>
        <item x="512"/>
        <item x="693"/>
        <item x="34"/>
        <item x="445"/>
        <item x="365"/>
        <item x="691"/>
        <item x="126"/>
        <item x="881"/>
        <item x="692"/>
        <item x="598"/>
        <item x="165"/>
        <item x="595"/>
        <item x="465"/>
        <item x="261"/>
        <item x="818"/>
        <item x="547"/>
        <item x="181"/>
        <item x="468"/>
        <item x="624"/>
        <item x="324"/>
        <item x="322"/>
        <item x="520"/>
        <item x="285"/>
        <item x="62"/>
        <item x="308"/>
        <item x="491"/>
        <item x="133"/>
        <item x="238"/>
        <item x="262"/>
        <item x="471"/>
        <item x="97"/>
        <item x="866"/>
        <item x="552"/>
        <item x="275"/>
        <item x="110"/>
        <item x="160"/>
        <item x="660"/>
        <item x="31"/>
        <item x="985"/>
        <item x="934"/>
        <item x="737"/>
        <item x="524"/>
        <item x="617"/>
        <item x="316"/>
        <item x="852"/>
        <item x="240"/>
        <item x="268"/>
        <item x="723"/>
        <item x="579"/>
        <item x="391"/>
        <item x="966"/>
        <item x="315"/>
        <item x="875"/>
        <item x="954"/>
        <item x="850"/>
        <item x="76"/>
        <item x="722"/>
        <item x="197"/>
        <item x="348"/>
        <item x="340"/>
        <item x="581"/>
        <item x="278"/>
        <item x="663"/>
        <item x="96"/>
        <item x="455"/>
        <item x="742"/>
        <item x="439"/>
        <item x="976"/>
        <item x="150"/>
        <item x="710"/>
        <item x="936"/>
        <item x="215"/>
        <item x="573"/>
        <item x="871"/>
        <item x="344"/>
        <item x="50"/>
        <item x="550"/>
        <item x="299"/>
        <item x="266"/>
        <item x="977"/>
        <item x="148"/>
        <item x="484"/>
        <item x="689"/>
        <item x="612"/>
        <item x="690"/>
        <item x="903"/>
        <item x="546"/>
        <item x="525"/>
        <item x="548"/>
        <item x="300"/>
        <item x="983"/>
        <item x="41"/>
        <item x="928"/>
        <item x="957"/>
        <item x="613"/>
        <item x="557"/>
        <item x="174"/>
        <item x="704"/>
        <item x="71"/>
        <item x="867"/>
        <item x="2"/>
        <item x="209"/>
        <item x="938"/>
        <item x="530"/>
        <item x="358"/>
        <item x="89"/>
        <item x="277"/>
        <item x="309"/>
        <item x="474"/>
        <item x="564"/>
        <item x="511"/>
        <item x="700"/>
        <item x="551"/>
        <item x="267"/>
        <item x="591"/>
        <item x="223"/>
        <item x="453"/>
        <item x="254"/>
        <item x="172"/>
        <item x="799"/>
        <item x="819"/>
        <item x="291"/>
        <item x="398"/>
        <item x="137"/>
        <item x="387"/>
        <item x="845"/>
        <item x="269"/>
        <item x="220"/>
        <item x="946"/>
        <item x="281"/>
        <item x="298"/>
        <item x="716"/>
        <item x="370"/>
        <item x="959"/>
        <item x="393"/>
        <item x="555"/>
        <item x="92"/>
        <item x="479"/>
        <item x="16"/>
        <item x="878"/>
        <item x="572"/>
        <item x="609"/>
        <item x="55"/>
        <item x="625"/>
        <item x="390"/>
        <item x="721"/>
        <item x="727"/>
        <item x="562"/>
        <item x="650"/>
        <item x="877"/>
        <item x="368"/>
        <item x="943"/>
        <item x="419"/>
        <item x="514"/>
        <item x="935"/>
        <item x="825"/>
        <item x="5"/>
        <item x="492"/>
        <item x="635"/>
        <item x="636"/>
        <item x="577"/>
        <item x="963"/>
        <item x="608"/>
        <item x="264"/>
        <item x="313"/>
        <item x="611"/>
        <item x="125"/>
        <item x="678"/>
        <item x="776"/>
        <item x="392"/>
        <item x="376"/>
        <item x="837"/>
        <item x="929"/>
        <item x="483"/>
        <item x="661"/>
        <item x="896"/>
        <item x="482"/>
        <item x="984"/>
        <item x="294"/>
        <item x="426"/>
        <item x="373"/>
        <item x="775"/>
        <item x="430"/>
        <item x="515"/>
        <item x="923"/>
        <item x="432"/>
        <item x="292"/>
        <item x="407"/>
        <item x="544"/>
        <item x="879"/>
        <item x="334"/>
        <item x="130"/>
        <item x="868"/>
        <item x="578"/>
        <item x="183"/>
        <item x="210"/>
        <item x="323"/>
        <item x="720"/>
        <item x="256"/>
        <item x="325"/>
        <item x="147"/>
        <item x="381"/>
        <item x="58"/>
        <item x="763"/>
        <item x="504"/>
        <item x="971"/>
        <item x="401"/>
        <item x="270"/>
        <item x="849"/>
        <item x="259"/>
        <item x="236"/>
        <item x="411"/>
        <item x="973"/>
        <item x="659"/>
        <item x="793"/>
        <item x="638"/>
        <item x="960"/>
        <item x="335"/>
        <item x="743"/>
        <item x="77"/>
        <item x="357"/>
        <item x="456"/>
        <item x="561"/>
        <item x="286"/>
        <item x="214"/>
        <item x="9"/>
        <item x="869"/>
        <item x="655"/>
        <item x="600"/>
        <item x="295"/>
        <item x="671"/>
        <item x="272"/>
        <item x="953"/>
        <item x="355"/>
        <item x="480"/>
        <item x="864"/>
        <item x="429"/>
        <item x="876"/>
        <item x="109"/>
        <item x="951"/>
        <item x="623"/>
        <item x="949"/>
        <item x="942"/>
        <item x="449"/>
        <item x="66"/>
        <item x="229"/>
        <item x="496"/>
        <item x="909"/>
        <item x="36"/>
        <item x="583"/>
        <item x="599"/>
        <item x="138"/>
        <item x="67"/>
        <item x="685"/>
        <item x="384"/>
        <item x="962"/>
        <item x="736"/>
        <item x="681"/>
        <item x="770"/>
        <item x="587"/>
        <item x="207"/>
        <item x="569"/>
        <item x="593"/>
        <item x="380"/>
        <item x="805"/>
        <item x="807"/>
        <item x="916"/>
        <item x="128"/>
        <item x="911"/>
        <item x="332"/>
        <item x="950"/>
        <item x="811"/>
        <item x="63"/>
        <item x="280"/>
        <item x="134"/>
        <item x="749"/>
        <item x="454"/>
        <item x="15"/>
        <item x="925"/>
        <item x="789"/>
        <item x="822"/>
        <item x="478"/>
        <item x="258"/>
        <item x="522"/>
        <item x="956"/>
        <item x="745"/>
        <item x="902"/>
        <item x="842"/>
        <item x="402"/>
        <item x="349"/>
        <item x="658"/>
        <item x="339"/>
        <item x="372"/>
        <item x="632"/>
        <item x="535"/>
        <item x="654"/>
        <item x="725"/>
        <item x="255"/>
        <item x="201"/>
        <item x="978"/>
        <item x="317"/>
        <item x="815"/>
        <item x="425"/>
        <item x="470"/>
        <item x="901"/>
        <item x="708"/>
        <item x="493"/>
        <item x="101"/>
        <item x="289"/>
        <item x="917"/>
        <item x="538"/>
        <item x="435"/>
        <item x="489"/>
        <item x="423"/>
        <item x="104"/>
        <item x="74"/>
        <item x="388"/>
        <item x="86"/>
        <item x="694"/>
        <item x="302"/>
        <item x="887"/>
        <item x="343"/>
        <item x="159"/>
        <item x="891"/>
        <item x="410"/>
        <item x="666"/>
        <item x="862"/>
        <item x="835"/>
        <item x="247"/>
        <item x="198"/>
        <item x="10"/>
        <item x="712"/>
        <item x="939"/>
        <item x="233"/>
        <item x="769"/>
        <item x="829"/>
        <item x="11"/>
        <item x="30"/>
        <item x="622"/>
        <item x="969"/>
        <item x="669"/>
        <item x="378"/>
        <item x="913"/>
        <item x="604"/>
        <item x="767"/>
        <item x="374"/>
        <item x="919"/>
        <item x="61"/>
        <item x="670"/>
        <item x="884"/>
        <item x="371"/>
        <item x="982"/>
        <item x="8"/>
        <item t="default"/>
      </items>
    </pivotField>
    <pivotField showAll="0">
      <items count="87">
        <item x="8"/>
        <item x="59"/>
        <item x="53"/>
        <item x="12"/>
        <item x="60"/>
        <item x="29"/>
        <item x="17"/>
        <item x="70"/>
        <item x="52"/>
        <item x="66"/>
        <item x="79"/>
        <item x="31"/>
        <item x="4"/>
        <item x="18"/>
        <item x="3"/>
        <item x="83"/>
        <item x="51"/>
        <item x="77"/>
        <item x="1"/>
        <item x="0"/>
        <item x="47"/>
        <item x="69"/>
        <item x="9"/>
        <item x="38"/>
        <item x="63"/>
        <item x="46"/>
        <item x="78"/>
        <item x="32"/>
        <item x="42"/>
        <item x="2"/>
        <item x="15"/>
        <item x="27"/>
        <item x="45"/>
        <item x="22"/>
        <item x="25"/>
        <item x="34"/>
        <item x="57"/>
        <item x="50"/>
        <item x="19"/>
        <item x="33"/>
        <item x="11"/>
        <item x="67"/>
        <item x="23"/>
        <item x="44"/>
        <item x="65"/>
        <item x="81"/>
        <item x="36"/>
        <item x="13"/>
        <item x="6"/>
        <item x="39"/>
        <item x="30"/>
        <item x="14"/>
        <item x="28"/>
        <item x="85"/>
        <item x="75"/>
        <item x="49"/>
        <item x="76"/>
        <item x="21"/>
        <item x="20"/>
        <item x="48"/>
        <item x="10"/>
        <item x="16"/>
        <item x="5"/>
        <item x="41"/>
        <item x="37"/>
        <item x="82"/>
        <item x="56"/>
        <item x="80"/>
        <item x="71"/>
        <item x="58"/>
        <item x="62"/>
        <item x="64"/>
        <item x="35"/>
        <item x="55"/>
        <item x="72"/>
        <item x="84"/>
        <item x="7"/>
        <item x="24"/>
        <item x="43"/>
        <item x="54"/>
        <item x="73"/>
        <item x="68"/>
        <item x="26"/>
        <item x="74"/>
        <item x="61"/>
        <item x="40"/>
        <item t="default"/>
      </items>
    </pivotField>
    <pivotField showAll="0"/>
    <pivotField showAll="0"/>
    <pivotField dataField="1"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fld="18" baseField="0" baseItem="0" numFmtId="164"/>
  </dataFields>
  <formats count="2">
    <format dxfId="26">
      <pivotArea dataOnly="0" labelOnly="1" outline="0" axis="axisValues" fieldPosition="0"/>
    </format>
    <format dxfId="27">
      <pivotArea outline="0" collapsedLevelsAreSubtotals="1" fieldPosition="0"/>
    </format>
  </formats>
  <chartFormats count="1">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FA1B0C-5E36-451E-901C-777385D9E498}" name="PivotTable1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5" firstHeaderRow="1" firstDataRow="1" firstDataCol="1"/>
  <pivotFields count="21">
    <pivotField showAll="0"/>
    <pivotField showAll="0">
      <items count="101">
        <item x="86"/>
        <item x="97"/>
        <item x="92"/>
        <item x="84"/>
        <item x="94"/>
        <item x="34"/>
        <item x="78"/>
        <item x="54"/>
        <item x="6"/>
        <item x="53"/>
        <item x="17"/>
        <item x="3"/>
        <item x="14"/>
        <item x="38"/>
        <item x="46"/>
        <item x="82"/>
        <item x="48"/>
        <item x="21"/>
        <item x="1"/>
        <item x="37"/>
        <item x="99"/>
        <item x="73"/>
        <item x="40"/>
        <item x="11"/>
        <item x="98"/>
        <item x="68"/>
        <item x="80"/>
        <item x="51"/>
        <item x="2"/>
        <item x="69"/>
        <item x="36"/>
        <item x="57"/>
        <item x="47"/>
        <item x="96"/>
        <item x="65"/>
        <item x="39"/>
        <item x="0"/>
        <item x="56"/>
        <item x="61"/>
        <item x="5"/>
        <item x="20"/>
        <item x="12"/>
        <item x="87"/>
        <item x="8"/>
        <item x="41"/>
        <item x="33"/>
        <item x="26"/>
        <item x="66"/>
        <item x="77"/>
        <item x="49"/>
        <item x="70"/>
        <item x="91"/>
        <item x="55"/>
        <item x="19"/>
        <item x="28"/>
        <item x="15"/>
        <item x="50"/>
        <item x="44"/>
        <item x="35"/>
        <item x="58"/>
        <item x="59"/>
        <item x="52"/>
        <item x="23"/>
        <item x="25"/>
        <item x="10"/>
        <item x="31"/>
        <item x="30"/>
        <item x="81"/>
        <item x="13"/>
        <item x="71"/>
        <item x="27"/>
        <item x="16"/>
        <item x="95"/>
        <item x="45"/>
        <item x="64"/>
        <item x="89"/>
        <item x="43"/>
        <item x="4"/>
        <item x="90"/>
        <item x="32"/>
        <item x="62"/>
        <item x="63"/>
        <item x="67"/>
        <item x="75"/>
        <item x="79"/>
        <item x="93"/>
        <item x="72"/>
        <item x="24"/>
        <item x="85"/>
        <item x="18"/>
        <item x="22"/>
        <item x="74"/>
        <item x="83"/>
        <item x="76"/>
        <item x="42"/>
        <item x="29"/>
        <item x="7"/>
        <item x="88"/>
        <item x="9"/>
        <item x="60"/>
        <item t="default"/>
      </items>
    </pivotField>
    <pivotField showAll="0"/>
    <pivotField showAll="0" measureFilter="1">
      <items count="69">
        <item x="22"/>
        <item x="44"/>
        <item x="54"/>
        <item x="67"/>
        <item x="42"/>
        <item x="21"/>
        <item x="7"/>
        <item x="1"/>
        <item x="37"/>
        <item x="25"/>
        <item x="2"/>
        <item x="13"/>
        <item x="60"/>
        <item x="15"/>
        <item x="39"/>
        <item x="12"/>
        <item x="59"/>
        <item x="52"/>
        <item x="56"/>
        <item x="35"/>
        <item x="64"/>
        <item x="34"/>
        <item x="18"/>
        <item x="16"/>
        <item x="38"/>
        <item x="49"/>
        <item x="55"/>
        <item x="66"/>
        <item x="65"/>
        <item x="27"/>
        <item x="33"/>
        <item x="5"/>
        <item x="48"/>
        <item x="0"/>
        <item x="29"/>
        <item x="45"/>
        <item x="10"/>
        <item x="31"/>
        <item x="36"/>
        <item x="53"/>
        <item x="43"/>
        <item x="17"/>
        <item x="61"/>
        <item x="30"/>
        <item x="28"/>
        <item x="58"/>
        <item x="62"/>
        <item x="41"/>
        <item x="46"/>
        <item x="26"/>
        <item x="63"/>
        <item x="24"/>
        <item x="40"/>
        <item x="8"/>
        <item x="6"/>
        <item x="20"/>
        <item x="23"/>
        <item x="19"/>
        <item x="11"/>
        <item x="51"/>
        <item x="3"/>
        <item x="14"/>
        <item x="9"/>
        <item x="4"/>
        <item x="50"/>
        <item x="32"/>
        <item x="47"/>
        <item x="57"/>
        <item t="default"/>
      </items>
    </pivotField>
    <pivotField showAll="0">
      <items count="8">
        <item x="3"/>
        <item x="2"/>
        <item x="6"/>
        <item x="5"/>
        <item x="0"/>
        <item x="4"/>
        <item x="1"/>
        <item t="default"/>
      </items>
    </pivotField>
    <pivotField showAll="0"/>
    <pivotField numFmtId="164" showAll="0"/>
    <pivotField numFmtId="14" showAll="0"/>
    <pivotField showAll="0">
      <items count="13">
        <item x="8"/>
        <item x="0"/>
        <item x="5"/>
        <item x="9"/>
        <item x="4"/>
        <item x="11"/>
        <item x="2"/>
        <item x="3"/>
        <item x="7"/>
        <item x="10"/>
        <item x="1"/>
        <item x="6"/>
        <item t="default"/>
      </items>
    </pivotField>
    <pivotField showAll="0"/>
    <pivotField numFmtId="21" showAll="0"/>
    <pivotField axis="axisRow"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showAll="0"/>
    <pivotField numFmtId="21" showAll="0"/>
    <pivotField showAll="0"/>
    <pivotField showAll="0">
      <items count="8">
        <item x="6"/>
        <item x="0"/>
        <item x="2"/>
        <item x="1"/>
        <item x="5"/>
        <item x="4"/>
        <item x="3"/>
        <item t="default"/>
      </items>
    </pivotField>
    <pivotField dataField="1"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5">
        <item sd="0" x="0"/>
        <item sd="0" x="1"/>
        <item sd="0" x="2"/>
        <item sd="0" x="3"/>
        <item t="default"/>
      </items>
    </pivotField>
  </pivotFields>
  <rowFields count="4">
    <field x="20"/>
    <field x="19"/>
    <field x="18"/>
    <field x="11"/>
  </rowFields>
  <rowItems count="3">
    <i>
      <x v="1"/>
    </i>
    <i>
      <x v="2"/>
    </i>
    <i t="grand">
      <x/>
    </i>
  </rowItems>
  <colItems count="1">
    <i/>
  </colItems>
  <dataFields count="1">
    <dataField name="Sum of Sales" fld="16" baseField="4" baseItem="0" numFmtId="164"/>
  </dataFields>
  <formats count="1">
    <format dxfId="54">
      <pivotArea outline="0" collapsedLevelsAreSubtotals="1" fieldPosition="0"/>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F53D68-0CC7-4B7C-81B7-3320CACDF5E8}" name="PivotTable1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20" firstHeaderRow="1" firstDataRow="1" firstDataCol="1"/>
  <pivotFields count="21">
    <pivotField showAll="0"/>
    <pivotField showAll="0">
      <items count="101">
        <item x="86"/>
        <item x="97"/>
        <item x="92"/>
        <item x="84"/>
        <item x="94"/>
        <item x="34"/>
        <item x="78"/>
        <item x="54"/>
        <item x="6"/>
        <item x="53"/>
        <item x="17"/>
        <item x="3"/>
        <item x="14"/>
        <item x="38"/>
        <item x="46"/>
        <item x="82"/>
        <item x="48"/>
        <item x="21"/>
        <item x="1"/>
        <item x="37"/>
        <item x="99"/>
        <item x="73"/>
        <item x="40"/>
        <item x="11"/>
        <item x="98"/>
        <item x="68"/>
        <item x="80"/>
        <item x="51"/>
        <item x="2"/>
        <item x="69"/>
        <item x="36"/>
        <item x="57"/>
        <item x="47"/>
        <item x="96"/>
        <item x="65"/>
        <item x="39"/>
        <item x="0"/>
        <item x="56"/>
        <item x="61"/>
        <item x="5"/>
        <item x="20"/>
        <item x="12"/>
        <item x="87"/>
        <item x="8"/>
        <item x="41"/>
        <item x="33"/>
        <item x="26"/>
        <item x="66"/>
        <item x="77"/>
        <item x="49"/>
        <item x="70"/>
        <item x="91"/>
        <item x="55"/>
        <item x="19"/>
        <item x="28"/>
        <item x="15"/>
        <item x="50"/>
        <item x="44"/>
        <item x="35"/>
        <item x="58"/>
        <item x="59"/>
        <item x="52"/>
        <item x="23"/>
        <item x="25"/>
        <item x="10"/>
        <item x="31"/>
        <item x="30"/>
        <item x="81"/>
        <item x="13"/>
        <item x="71"/>
        <item x="27"/>
        <item x="16"/>
        <item x="95"/>
        <item x="45"/>
        <item x="64"/>
        <item x="89"/>
        <item x="43"/>
        <item x="4"/>
        <item x="90"/>
        <item x="32"/>
        <item x="62"/>
        <item x="63"/>
        <item x="67"/>
        <item x="75"/>
        <item x="79"/>
        <item x="93"/>
        <item x="72"/>
        <item x="24"/>
        <item x="85"/>
        <item x="18"/>
        <item x="22"/>
        <item x="74"/>
        <item x="83"/>
        <item x="76"/>
        <item x="42"/>
        <item x="29"/>
        <item x="7"/>
        <item x="88"/>
        <item x="9"/>
        <item x="60"/>
        <item t="default"/>
      </items>
    </pivotField>
    <pivotField showAll="0"/>
    <pivotField showAll="0" measureFilter="1">
      <items count="69">
        <item x="22"/>
        <item x="44"/>
        <item x="54"/>
        <item x="67"/>
        <item x="42"/>
        <item x="21"/>
        <item x="7"/>
        <item x="1"/>
        <item x="37"/>
        <item x="25"/>
        <item x="2"/>
        <item x="13"/>
        <item x="60"/>
        <item x="15"/>
        <item x="39"/>
        <item x="12"/>
        <item x="59"/>
        <item x="52"/>
        <item x="56"/>
        <item x="35"/>
        <item x="64"/>
        <item x="34"/>
        <item x="18"/>
        <item x="16"/>
        <item x="38"/>
        <item x="49"/>
        <item x="55"/>
        <item x="66"/>
        <item x="65"/>
        <item x="27"/>
        <item x="33"/>
        <item x="5"/>
        <item x="48"/>
        <item x="0"/>
        <item x="29"/>
        <item x="45"/>
        <item x="10"/>
        <item x="31"/>
        <item x="36"/>
        <item x="53"/>
        <item x="43"/>
        <item x="17"/>
        <item x="61"/>
        <item x="30"/>
        <item x="28"/>
        <item x="58"/>
        <item x="62"/>
        <item x="41"/>
        <item x="46"/>
        <item x="26"/>
        <item x="63"/>
        <item x="24"/>
        <item x="40"/>
        <item x="8"/>
        <item x="6"/>
        <item x="20"/>
        <item x="23"/>
        <item x="19"/>
        <item x="11"/>
        <item x="51"/>
        <item x="3"/>
        <item x="14"/>
        <item x="9"/>
        <item x="4"/>
        <item x="50"/>
        <item x="32"/>
        <item x="47"/>
        <item x="57"/>
        <item t="default"/>
      </items>
    </pivotField>
    <pivotField showAll="0">
      <items count="8">
        <item x="3"/>
        <item x="2"/>
        <item x="6"/>
        <item x="5"/>
        <item x="0"/>
        <item x="4"/>
        <item x="1"/>
        <item t="default"/>
      </items>
    </pivotField>
    <pivotField showAll="0"/>
    <pivotField numFmtId="164" showAll="0"/>
    <pivotField numFmtId="14" showAll="0"/>
    <pivotField showAll="0">
      <items count="13">
        <item x="8"/>
        <item x="0"/>
        <item x="5"/>
        <item x="9"/>
        <item x="4"/>
        <item x="11"/>
        <item x="2"/>
        <item x="3"/>
        <item x="7"/>
        <item x="10"/>
        <item x="1"/>
        <item x="6"/>
        <item t="default"/>
      </items>
    </pivotField>
    <pivotField axis="axisRow" showAll="0">
      <items count="8">
        <item x="4"/>
        <item x="2"/>
        <item x="1"/>
        <item x="5"/>
        <item x="6"/>
        <item x="0"/>
        <item x="3"/>
        <item t="default"/>
      </items>
    </pivotField>
    <pivotField numFmtId="21" showAll="0"/>
    <pivotField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showAll="0"/>
    <pivotField numFmtId="21" showAll="0"/>
    <pivotField showAll="0" measureFilter="1">
      <items count="302">
        <item x="272"/>
        <item x="45"/>
        <item x="72"/>
        <item x="51"/>
        <item x="87"/>
        <item x="271"/>
        <item x="276"/>
        <item x="203"/>
        <item x="232"/>
        <item x="155"/>
        <item x="113"/>
        <item x="181"/>
        <item x="273"/>
        <item x="8"/>
        <item x="246"/>
        <item x="205"/>
        <item x="52"/>
        <item x="111"/>
        <item x="23"/>
        <item x="65"/>
        <item x="142"/>
        <item x="274"/>
        <item x="165"/>
        <item x="30"/>
        <item x="75"/>
        <item x="74"/>
        <item x="140"/>
        <item x="192"/>
        <item x="62"/>
        <item x="184"/>
        <item x="128"/>
        <item x="0"/>
        <item x="149"/>
        <item x="18"/>
        <item x="147"/>
        <item x="9"/>
        <item x="202"/>
        <item x="90"/>
        <item x="59"/>
        <item x="261"/>
        <item x="257"/>
        <item x="163"/>
        <item x="112"/>
        <item x="159"/>
        <item x="39"/>
        <item x="137"/>
        <item x="102"/>
        <item x="151"/>
        <item x="293"/>
        <item x="248"/>
        <item x="84"/>
        <item x="277"/>
        <item x="249"/>
        <item x="251"/>
        <item x="121"/>
        <item x="224"/>
        <item x="298"/>
        <item x="167"/>
        <item x="207"/>
        <item x="2"/>
        <item x="109"/>
        <item x="252"/>
        <item x="26"/>
        <item x="83"/>
        <item x="241"/>
        <item x="299"/>
        <item x="187"/>
        <item x="227"/>
        <item x="139"/>
        <item x="88"/>
        <item x="58"/>
        <item x="263"/>
        <item x="50"/>
        <item x="54"/>
        <item x="126"/>
        <item x="157"/>
        <item x="253"/>
        <item x="42"/>
        <item x="135"/>
        <item x="150"/>
        <item x="105"/>
        <item x="104"/>
        <item x="284"/>
        <item x="244"/>
        <item x="292"/>
        <item x="21"/>
        <item x="158"/>
        <item x="231"/>
        <item x="193"/>
        <item x="145"/>
        <item x="37"/>
        <item x="63"/>
        <item x="98"/>
        <item x="11"/>
        <item x="265"/>
        <item x="225"/>
        <item x="256"/>
        <item x="222"/>
        <item x="243"/>
        <item x="119"/>
        <item x="89"/>
        <item x="180"/>
        <item x="100"/>
        <item x="41"/>
        <item x="178"/>
        <item x="99"/>
        <item x="160"/>
        <item x="3"/>
        <item x="71"/>
        <item x="154"/>
        <item x="40"/>
        <item x="294"/>
        <item x="240"/>
        <item x="223"/>
        <item x="46"/>
        <item x="206"/>
        <item x="96"/>
        <item x="61"/>
        <item x="86"/>
        <item x="196"/>
        <item x="33"/>
        <item x="286"/>
        <item x="1"/>
        <item x="161"/>
        <item x="245"/>
        <item x="122"/>
        <item x="44"/>
        <item x="176"/>
        <item x="282"/>
        <item x="258"/>
        <item x="95"/>
        <item x="118"/>
        <item x="56"/>
        <item x="168"/>
        <item x="297"/>
        <item x="270"/>
        <item x="70"/>
        <item x="132"/>
        <item x="66"/>
        <item x="127"/>
        <item x="230"/>
        <item x="10"/>
        <item x="32"/>
        <item x="219"/>
        <item x="13"/>
        <item x="173"/>
        <item x="233"/>
        <item x="183"/>
        <item x="94"/>
        <item x="91"/>
        <item x="93"/>
        <item x="239"/>
        <item x="103"/>
        <item x="25"/>
        <item x="182"/>
        <item x="14"/>
        <item x="49"/>
        <item x="47"/>
        <item x="153"/>
        <item x="116"/>
        <item x="237"/>
        <item x="82"/>
        <item x="97"/>
        <item x="130"/>
        <item x="20"/>
        <item x="289"/>
        <item x="131"/>
        <item x="17"/>
        <item x="77"/>
        <item x="212"/>
        <item x="73"/>
        <item x="101"/>
        <item x="120"/>
        <item x="194"/>
        <item x="288"/>
        <item x="264"/>
        <item x="125"/>
        <item x="254"/>
        <item x="169"/>
        <item x="235"/>
        <item x="300"/>
        <item x="238"/>
        <item x="15"/>
        <item x="259"/>
        <item x="7"/>
        <item x="260"/>
        <item x="57"/>
        <item x="195"/>
        <item x="191"/>
        <item x="221"/>
        <item x="171"/>
        <item x="198"/>
        <item x="162"/>
        <item x="6"/>
        <item x="27"/>
        <item x="43"/>
        <item x="81"/>
        <item x="213"/>
        <item x="136"/>
        <item x="138"/>
        <item x="31"/>
        <item x="172"/>
        <item x="179"/>
        <item x="210"/>
        <item x="216"/>
        <item x="156"/>
        <item x="85"/>
        <item x="278"/>
        <item x="67"/>
        <item x="211"/>
        <item x="55"/>
        <item x="22"/>
        <item x="174"/>
        <item x="217"/>
        <item x="134"/>
        <item x="189"/>
        <item x="148"/>
        <item x="267"/>
        <item x="250"/>
        <item x="146"/>
        <item x="170"/>
        <item x="28"/>
        <item x="12"/>
        <item x="80"/>
        <item x="188"/>
        <item x="281"/>
        <item x="35"/>
        <item x="24"/>
        <item x="242"/>
        <item x="4"/>
        <item x="283"/>
        <item x="114"/>
        <item x="92"/>
        <item x="208"/>
        <item x="190"/>
        <item x="48"/>
        <item x="141"/>
        <item x="123"/>
        <item x="78"/>
        <item x="234"/>
        <item x="247"/>
        <item x="229"/>
        <item x="36"/>
        <item x="69"/>
        <item x="38"/>
        <item x="124"/>
        <item x="262"/>
        <item x="175"/>
        <item x="106"/>
        <item x="266"/>
        <item x="220"/>
        <item x="143"/>
        <item x="76"/>
        <item x="268"/>
        <item x="218"/>
        <item x="64"/>
        <item x="280"/>
        <item x="275"/>
        <item x="110"/>
        <item x="296"/>
        <item x="5"/>
        <item x="177"/>
        <item x="226"/>
        <item x="186"/>
        <item x="214"/>
        <item x="215"/>
        <item x="144"/>
        <item x="115"/>
        <item x="291"/>
        <item x="166"/>
        <item x="228"/>
        <item x="164"/>
        <item x="199"/>
        <item x="269"/>
        <item x="19"/>
        <item x="197"/>
        <item x="204"/>
        <item x="53"/>
        <item x="107"/>
        <item x="60"/>
        <item x="200"/>
        <item x="201"/>
        <item x="185"/>
        <item x="29"/>
        <item x="108"/>
        <item x="133"/>
        <item x="279"/>
        <item x="209"/>
        <item x="295"/>
        <item x="129"/>
        <item x="152"/>
        <item x="236"/>
        <item x="255"/>
        <item x="68"/>
        <item x="287"/>
        <item x="34"/>
        <item x="16"/>
        <item x="117"/>
        <item x="290"/>
        <item x="79"/>
        <item x="285"/>
        <item t="default"/>
      </items>
    </pivotField>
    <pivotField showAll="0">
      <items count="8">
        <item x="6"/>
        <item x="0"/>
        <item x="2"/>
        <item x="1"/>
        <item x="5"/>
        <item x="4"/>
        <item x="3"/>
        <item t="default"/>
      </items>
    </pivotField>
    <pivotField dataField="1"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8">
    <i>
      <x/>
    </i>
    <i>
      <x v="1"/>
    </i>
    <i>
      <x v="2"/>
    </i>
    <i>
      <x v="3"/>
    </i>
    <i>
      <x v="4"/>
    </i>
    <i>
      <x v="5"/>
    </i>
    <i>
      <x v="6"/>
    </i>
    <i t="grand">
      <x/>
    </i>
  </rowItems>
  <colItems count="1">
    <i/>
  </colItems>
  <dataFields count="1">
    <dataField name="Sum of Sales" fld="16" baseField="4" baseItem="0" numFmtId="164"/>
  </dataFields>
  <formats count="1">
    <format dxfId="55">
      <pivotArea outline="0" collapsedLevelsAreSubtotals="1" fieldPosition="0"/>
    </format>
  </formats>
  <pivotTableStyleInfo name="PivotStyleLight16" showRowHeaders="1" showColHeaders="1" showRowStripes="0" showColStripes="0" showLastColumn="1"/>
  <filters count="2">
    <filter fld="3" type="count" evalOrder="-1" id="1" iMeasureFld="0">
      <autoFilter ref="A1">
        <filterColumn colId="0">
          <top10 val="5" filterVal="5"/>
        </filterColumn>
      </autoFilter>
    </filter>
    <filter fld="1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5E1F7E-DAC6-46D4-9D01-DAA5B2B2287C}"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5:E23" firstHeaderRow="1" firstDataRow="1" firstDataCol="1"/>
  <pivotFields count="21">
    <pivotField showAll="0"/>
    <pivotField showAll="0">
      <items count="101">
        <item x="86"/>
        <item x="97"/>
        <item x="92"/>
        <item x="84"/>
        <item x="94"/>
        <item x="34"/>
        <item x="78"/>
        <item x="54"/>
        <item x="6"/>
        <item x="53"/>
        <item x="17"/>
        <item x="3"/>
        <item x="14"/>
        <item x="38"/>
        <item x="46"/>
        <item x="82"/>
        <item x="48"/>
        <item x="21"/>
        <item x="1"/>
        <item x="37"/>
        <item x="99"/>
        <item x="73"/>
        <item x="40"/>
        <item x="11"/>
        <item x="98"/>
        <item x="68"/>
        <item x="80"/>
        <item x="51"/>
        <item x="2"/>
        <item x="69"/>
        <item x="36"/>
        <item x="57"/>
        <item x="47"/>
        <item x="96"/>
        <item x="65"/>
        <item x="39"/>
        <item x="0"/>
        <item x="56"/>
        <item x="61"/>
        <item x="5"/>
        <item x="20"/>
        <item x="12"/>
        <item x="87"/>
        <item x="8"/>
        <item x="41"/>
        <item x="33"/>
        <item x="26"/>
        <item x="66"/>
        <item x="77"/>
        <item x="49"/>
        <item x="70"/>
        <item x="91"/>
        <item x="55"/>
        <item x="19"/>
        <item x="28"/>
        <item x="15"/>
        <item x="50"/>
        <item x="44"/>
        <item x="35"/>
        <item x="58"/>
        <item x="59"/>
        <item x="52"/>
        <item x="23"/>
        <item x="25"/>
        <item x="10"/>
        <item x="31"/>
        <item x="30"/>
        <item x="81"/>
        <item x="13"/>
        <item x="71"/>
        <item x="27"/>
        <item x="16"/>
        <item x="95"/>
        <item x="45"/>
        <item x="64"/>
        <item x="89"/>
        <item x="43"/>
        <item x="4"/>
        <item x="90"/>
        <item x="32"/>
        <item x="62"/>
        <item x="63"/>
        <item x="67"/>
        <item x="75"/>
        <item x="79"/>
        <item x="93"/>
        <item x="72"/>
        <item x="24"/>
        <item x="85"/>
        <item x="18"/>
        <item x="22"/>
        <item x="74"/>
        <item x="83"/>
        <item x="76"/>
        <item x="42"/>
        <item x="29"/>
        <item x="7"/>
        <item x="88"/>
        <item x="9"/>
        <item x="60"/>
        <item t="default"/>
      </items>
    </pivotField>
    <pivotField showAll="0"/>
    <pivotField showAll="0" measureFilter="1">
      <items count="69">
        <item x="22"/>
        <item x="44"/>
        <item x="54"/>
        <item x="67"/>
        <item x="42"/>
        <item x="21"/>
        <item x="7"/>
        <item x="1"/>
        <item x="37"/>
        <item x="25"/>
        <item x="2"/>
        <item x="13"/>
        <item x="60"/>
        <item x="15"/>
        <item x="39"/>
        <item x="12"/>
        <item x="59"/>
        <item x="52"/>
        <item x="56"/>
        <item x="35"/>
        <item x="64"/>
        <item x="34"/>
        <item x="18"/>
        <item x="16"/>
        <item x="38"/>
        <item x="49"/>
        <item x="55"/>
        <item x="66"/>
        <item x="65"/>
        <item x="27"/>
        <item x="33"/>
        <item x="5"/>
        <item x="48"/>
        <item x="0"/>
        <item x="29"/>
        <item x="45"/>
        <item x="10"/>
        <item x="31"/>
        <item x="36"/>
        <item x="53"/>
        <item x="43"/>
        <item x="17"/>
        <item x="61"/>
        <item x="30"/>
        <item x="28"/>
        <item x="58"/>
        <item x="62"/>
        <item x="41"/>
        <item x="46"/>
        <item x="26"/>
        <item x="63"/>
        <item x="24"/>
        <item x="40"/>
        <item x="8"/>
        <item x="6"/>
        <item x="20"/>
        <item x="23"/>
        <item x="19"/>
        <item x="11"/>
        <item x="51"/>
        <item x="3"/>
        <item x="14"/>
        <item x="9"/>
        <item x="4"/>
        <item x="50"/>
        <item x="32"/>
        <item x="47"/>
        <item x="57"/>
        <item t="default"/>
      </items>
    </pivotField>
    <pivotField showAll="0">
      <items count="8">
        <item x="3"/>
        <item x="2"/>
        <item x="6"/>
        <item x="5"/>
        <item x="0"/>
        <item x="4"/>
        <item x="1"/>
        <item t="default"/>
      </items>
    </pivotField>
    <pivotField showAll="0"/>
    <pivotField numFmtId="164" showAll="0"/>
    <pivotField numFmtId="14" showAll="0"/>
    <pivotField showAll="0">
      <items count="13">
        <item x="8"/>
        <item x="0"/>
        <item x="5"/>
        <item x="9"/>
        <item x="4"/>
        <item x="11"/>
        <item x="2"/>
        <item x="3"/>
        <item x="7"/>
        <item x="10"/>
        <item x="1"/>
        <item x="6"/>
        <item t="default"/>
      </items>
    </pivotField>
    <pivotField showAll="0"/>
    <pivotField numFmtId="21" showAll="0"/>
    <pivotField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showAll="0"/>
    <pivotField numFmtId="21" showAll="0"/>
    <pivotField showAll="0" measureFilter="1">
      <items count="302">
        <item x="272"/>
        <item x="45"/>
        <item x="72"/>
        <item x="51"/>
        <item x="87"/>
        <item x="271"/>
        <item x="276"/>
        <item x="203"/>
        <item x="232"/>
        <item x="155"/>
        <item x="113"/>
        <item x="181"/>
        <item x="273"/>
        <item x="8"/>
        <item x="246"/>
        <item x="205"/>
        <item x="52"/>
        <item x="111"/>
        <item x="23"/>
        <item x="65"/>
        <item x="142"/>
        <item x="274"/>
        <item x="165"/>
        <item x="30"/>
        <item x="75"/>
        <item x="74"/>
        <item x="140"/>
        <item x="192"/>
        <item x="62"/>
        <item x="184"/>
        <item x="128"/>
        <item x="0"/>
        <item x="149"/>
        <item x="18"/>
        <item x="147"/>
        <item x="9"/>
        <item x="202"/>
        <item x="90"/>
        <item x="59"/>
        <item x="261"/>
        <item x="257"/>
        <item x="163"/>
        <item x="112"/>
        <item x="159"/>
        <item x="39"/>
        <item x="137"/>
        <item x="102"/>
        <item x="151"/>
        <item x="293"/>
        <item x="248"/>
        <item x="84"/>
        <item x="277"/>
        <item x="249"/>
        <item x="251"/>
        <item x="121"/>
        <item x="224"/>
        <item x="298"/>
        <item x="167"/>
        <item x="207"/>
        <item x="2"/>
        <item x="109"/>
        <item x="252"/>
        <item x="26"/>
        <item x="83"/>
        <item x="241"/>
        <item x="299"/>
        <item x="187"/>
        <item x="227"/>
        <item x="139"/>
        <item x="88"/>
        <item x="58"/>
        <item x="263"/>
        <item x="50"/>
        <item x="54"/>
        <item x="126"/>
        <item x="157"/>
        <item x="253"/>
        <item x="42"/>
        <item x="135"/>
        <item x="150"/>
        <item x="105"/>
        <item x="104"/>
        <item x="284"/>
        <item x="244"/>
        <item x="292"/>
        <item x="21"/>
        <item x="158"/>
        <item x="231"/>
        <item x="193"/>
        <item x="145"/>
        <item x="37"/>
        <item x="63"/>
        <item x="98"/>
        <item x="11"/>
        <item x="265"/>
        <item x="225"/>
        <item x="256"/>
        <item x="222"/>
        <item x="243"/>
        <item x="119"/>
        <item x="89"/>
        <item x="180"/>
        <item x="100"/>
        <item x="41"/>
        <item x="178"/>
        <item x="99"/>
        <item x="160"/>
        <item x="3"/>
        <item x="71"/>
        <item x="154"/>
        <item x="40"/>
        <item x="294"/>
        <item x="240"/>
        <item x="223"/>
        <item x="46"/>
        <item x="206"/>
        <item x="96"/>
        <item x="61"/>
        <item x="86"/>
        <item x="196"/>
        <item x="33"/>
        <item x="286"/>
        <item x="1"/>
        <item x="161"/>
        <item x="245"/>
        <item x="122"/>
        <item x="44"/>
        <item x="176"/>
        <item x="282"/>
        <item x="258"/>
        <item x="95"/>
        <item x="118"/>
        <item x="56"/>
        <item x="168"/>
        <item x="297"/>
        <item x="270"/>
        <item x="70"/>
        <item x="132"/>
        <item x="66"/>
        <item x="127"/>
        <item x="230"/>
        <item x="10"/>
        <item x="32"/>
        <item x="219"/>
        <item x="13"/>
        <item x="173"/>
        <item x="233"/>
        <item x="183"/>
        <item x="94"/>
        <item x="91"/>
        <item x="93"/>
        <item x="239"/>
        <item x="103"/>
        <item x="25"/>
        <item x="182"/>
        <item x="14"/>
        <item x="49"/>
        <item x="47"/>
        <item x="153"/>
        <item x="116"/>
        <item x="237"/>
        <item x="82"/>
        <item x="97"/>
        <item x="130"/>
        <item x="20"/>
        <item x="289"/>
        <item x="131"/>
        <item x="17"/>
        <item x="77"/>
        <item x="212"/>
        <item x="73"/>
        <item x="101"/>
        <item x="120"/>
        <item x="194"/>
        <item x="288"/>
        <item x="264"/>
        <item x="125"/>
        <item x="254"/>
        <item x="169"/>
        <item x="235"/>
        <item x="300"/>
        <item x="238"/>
        <item x="15"/>
        <item x="259"/>
        <item x="7"/>
        <item x="260"/>
        <item x="57"/>
        <item x="195"/>
        <item x="191"/>
        <item x="221"/>
        <item x="171"/>
        <item x="198"/>
        <item x="162"/>
        <item x="6"/>
        <item x="27"/>
        <item x="43"/>
        <item x="81"/>
        <item x="213"/>
        <item x="136"/>
        <item x="138"/>
        <item x="31"/>
        <item x="172"/>
        <item x="179"/>
        <item x="210"/>
        <item x="216"/>
        <item x="156"/>
        <item x="85"/>
        <item x="278"/>
        <item x="67"/>
        <item x="211"/>
        <item x="55"/>
        <item x="22"/>
        <item x="174"/>
        <item x="217"/>
        <item x="134"/>
        <item x="189"/>
        <item x="148"/>
        <item x="267"/>
        <item x="250"/>
        <item x="146"/>
        <item x="170"/>
        <item x="28"/>
        <item x="12"/>
        <item x="80"/>
        <item x="188"/>
        <item x="281"/>
        <item x="35"/>
        <item x="24"/>
        <item x="242"/>
        <item x="4"/>
        <item x="283"/>
        <item x="114"/>
        <item x="92"/>
        <item x="208"/>
        <item x="190"/>
        <item x="48"/>
        <item x="141"/>
        <item x="123"/>
        <item x="78"/>
        <item x="234"/>
        <item x="247"/>
        <item x="229"/>
        <item x="36"/>
        <item x="69"/>
        <item x="38"/>
        <item x="124"/>
        <item x="262"/>
        <item x="175"/>
        <item x="106"/>
        <item x="266"/>
        <item x="220"/>
        <item x="143"/>
        <item x="76"/>
        <item x="268"/>
        <item x="218"/>
        <item x="64"/>
        <item x="280"/>
        <item x="275"/>
        <item x="110"/>
        <item x="296"/>
        <item x="5"/>
        <item x="177"/>
        <item x="226"/>
        <item x="186"/>
        <item x="214"/>
        <item x="215"/>
        <item x="144"/>
        <item x="115"/>
        <item x="291"/>
        <item x="166"/>
        <item x="228"/>
        <item x="164"/>
        <item x="199"/>
        <item x="269"/>
        <item x="19"/>
        <item x="197"/>
        <item x="204"/>
        <item x="53"/>
        <item x="107"/>
        <item x="60"/>
        <item x="200"/>
        <item x="201"/>
        <item x="185"/>
        <item x="29"/>
        <item x="108"/>
        <item x="133"/>
        <item x="279"/>
        <item x="209"/>
        <item x="295"/>
        <item x="129"/>
        <item x="152"/>
        <item x="236"/>
        <item x="255"/>
        <item x="68"/>
        <item x="287"/>
        <item x="34"/>
        <item x="16"/>
        <item x="117"/>
        <item x="290"/>
        <item x="79"/>
        <item x="285"/>
        <item t="default"/>
      </items>
    </pivotField>
    <pivotField axis="axisRow" showAll="0">
      <items count="8">
        <item x="6"/>
        <item x="0"/>
        <item x="2"/>
        <item x="1"/>
        <item x="5"/>
        <item x="4"/>
        <item x="3"/>
        <item t="default"/>
      </items>
    </pivotField>
    <pivotField dataField="1"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8">
    <i>
      <x/>
    </i>
    <i>
      <x v="1"/>
    </i>
    <i>
      <x v="2"/>
    </i>
    <i>
      <x v="3"/>
    </i>
    <i>
      <x v="4"/>
    </i>
    <i>
      <x v="5"/>
    </i>
    <i>
      <x v="6"/>
    </i>
    <i t="grand">
      <x/>
    </i>
  </rowItems>
  <colItems count="1">
    <i/>
  </colItems>
  <dataFields count="1">
    <dataField name="Sum of Sales" fld="16" baseField="4" baseItem="0" numFmtId="164"/>
  </dataFields>
  <formats count="1">
    <format dxfId="61">
      <pivotArea outline="0" collapsedLevelsAreSubtotals="1" fieldPosition="0"/>
    </format>
  </formats>
  <pivotTableStyleInfo name="PivotStyleLight16" showRowHeaders="1" showColHeaders="1" showRowStripes="0" showColStripes="0" showLastColumn="1"/>
  <filters count="2">
    <filter fld="3" type="count" evalOrder="-1" id="1" iMeasureFld="0">
      <autoFilter ref="A1">
        <filterColumn colId="0">
          <top10 val="5" filterVal="5"/>
        </filterColumn>
      </autoFilter>
    </filter>
    <filter fld="1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976087-7572-4E84-B481-A5E7976B3333}" name="PivotTable9"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1:E12" firstHeaderRow="1" firstDataRow="1" firstDataCol="1"/>
  <pivotFields count="23">
    <pivotField dataField="1" showAll="0"/>
    <pivotField showAll="0"/>
    <pivotField showAll="0"/>
    <pivotField showAll="0"/>
    <pivotField showAll="0"/>
    <pivotField showAll="0"/>
    <pivotField numFmtId="164" showAll="0"/>
    <pivotField numFmtId="14" showAll="0">
      <items count="287">
        <item x="53"/>
        <item x="58"/>
        <item x="118"/>
        <item x="185"/>
        <item x="42"/>
        <item x="255"/>
        <item x="273"/>
        <item x="215"/>
        <item x="275"/>
        <item x="263"/>
        <item x="24"/>
        <item x="236"/>
        <item x="83"/>
        <item x="169"/>
        <item x="93"/>
        <item x="226"/>
        <item x="270"/>
        <item x="271"/>
        <item x="177"/>
        <item x="186"/>
        <item x="242"/>
        <item x="240"/>
        <item x="250"/>
        <item x="195"/>
        <item x="74"/>
        <item x="162"/>
        <item x="79"/>
        <item x="56"/>
        <item x="81"/>
        <item x="103"/>
        <item x="106"/>
        <item x="41"/>
        <item x="16"/>
        <item x="29"/>
        <item x="4"/>
        <item x="33"/>
        <item x="94"/>
        <item x="124"/>
        <item x="12"/>
        <item x="85"/>
        <item x="238"/>
        <item x="229"/>
        <item x="216"/>
        <item x="59"/>
        <item x="231"/>
        <item x="0"/>
        <item x="8"/>
        <item x="64"/>
        <item x="25"/>
        <item x="125"/>
        <item x="9"/>
        <item x="52"/>
        <item x="26"/>
        <item x="88"/>
        <item x="21"/>
        <item x="15"/>
        <item x="160"/>
        <item x="157"/>
        <item x="108"/>
        <item x="90"/>
        <item x="139"/>
        <item x="68"/>
        <item x="38"/>
        <item x="95"/>
        <item x="267"/>
        <item x="84"/>
        <item x="133"/>
        <item x="104"/>
        <item x="117"/>
        <item x="181"/>
        <item x="130"/>
        <item x="132"/>
        <item x="203"/>
        <item x="196"/>
        <item x="192"/>
        <item x="154"/>
        <item x="121"/>
        <item x="269"/>
        <item x="54"/>
        <item x="206"/>
        <item x="144"/>
        <item x="205"/>
        <item x="116"/>
        <item x="161"/>
        <item x="40"/>
        <item x="245"/>
        <item x="27"/>
        <item x="138"/>
        <item x="164"/>
        <item x="36"/>
        <item x="217"/>
        <item x="86"/>
        <item x="233"/>
        <item x="101"/>
        <item x="224"/>
        <item x="35"/>
        <item x="180"/>
        <item x="66"/>
        <item x="248"/>
        <item x="18"/>
        <item x="257"/>
        <item x="111"/>
        <item x="6"/>
        <item x="71"/>
        <item x="218"/>
        <item x="91"/>
        <item x="140"/>
        <item x="234"/>
        <item x="176"/>
        <item x="65"/>
        <item x="165"/>
        <item x="211"/>
        <item x="276"/>
        <item x="126"/>
        <item x="244"/>
        <item x="264"/>
        <item x="199"/>
        <item x="190"/>
        <item x="146"/>
        <item x="67"/>
        <item x="57"/>
        <item x="99"/>
        <item x="178"/>
        <item x="179"/>
        <item x="198"/>
        <item x="175"/>
        <item x="32"/>
        <item x="212"/>
        <item x="259"/>
        <item x="46"/>
        <item x="127"/>
        <item x="187"/>
        <item x="223"/>
        <item x="256"/>
        <item x="72"/>
        <item x="147"/>
        <item x="77"/>
        <item x="122"/>
        <item x="143"/>
        <item x="201"/>
        <item x="45"/>
        <item x="43"/>
        <item x="219"/>
        <item x="200"/>
        <item x="105"/>
        <item x="207"/>
        <item x="120"/>
        <item x="193"/>
        <item x="48"/>
        <item x="136"/>
        <item x="171"/>
        <item x="174"/>
        <item x="3"/>
        <item x="230"/>
        <item x="10"/>
        <item x="2"/>
        <item x="266"/>
        <item x="34"/>
        <item x="191"/>
        <item x="285"/>
        <item x="20"/>
        <item x="158"/>
        <item x="19"/>
        <item x="119"/>
        <item x="252"/>
        <item x="279"/>
        <item x="222"/>
        <item x="254"/>
        <item x="282"/>
        <item x="60"/>
        <item x="55"/>
        <item x="102"/>
        <item x="173"/>
        <item x="182"/>
        <item x="221"/>
        <item x="151"/>
        <item x="243"/>
        <item x="141"/>
        <item x="208"/>
        <item x="115"/>
        <item x="209"/>
        <item x="5"/>
        <item x="128"/>
        <item x="22"/>
        <item x="61"/>
        <item x="109"/>
        <item x="49"/>
        <item x="11"/>
        <item x="100"/>
        <item x="110"/>
        <item x="39"/>
        <item x="281"/>
        <item x="47"/>
        <item x="50"/>
        <item x="131"/>
        <item x="153"/>
        <item x="89"/>
        <item x="213"/>
        <item x="129"/>
        <item x="135"/>
        <item x="62"/>
        <item x="249"/>
        <item x="167"/>
        <item x="241"/>
        <item x="112"/>
        <item x="253"/>
        <item x="166"/>
        <item x="149"/>
        <item x="23"/>
        <item x="232"/>
        <item x="163"/>
        <item x="152"/>
        <item x="51"/>
        <item x="262"/>
        <item x="183"/>
        <item x="28"/>
        <item x="82"/>
        <item x="239"/>
        <item x="97"/>
        <item x="284"/>
        <item x="265"/>
        <item x="134"/>
        <item x="114"/>
        <item x="107"/>
        <item x="268"/>
        <item x="247"/>
        <item x="210"/>
        <item x="260"/>
        <item x="280"/>
        <item x="189"/>
        <item x="204"/>
        <item x="123"/>
        <item x="92"/>
        <item x="155"/>
        <item x="142"/>
        <item x="228"/>
        <item x="73"/>
        <item x="274"/>
        <item x="70"/>
        <item x="251"/>
        <item x="31"/>
        <item x="69"/>
        <item x="13"/>
        <item x="159"/>
        <item x="76"/>
        <item x="1"/>
        <item x="7"/>
        <item x="17"/>
        <item x="87"/>
        <item x="30"/>
        <item x="37"/>
        <item x="214"/>
        <item x="78"/>
        <item x="278"/>
        <item x="246"/>
        <item x="113"/>
        <item x="156"/>
        <item x="98"/>
        <item x="145"/>
        <item x="150"/>
        <item x="148"/>
        <item x="172"/>
        <item x="168"/>
        <item x="235"/>
        <item x="188"/>
        <item x="237"/>
        <item x="197"/>
        <item x="96"/>
        <item x="184"/>
        <item x="202"/>
        <item x="225"/>
        <item x="14"/>
        <item x="261"/>
        <item x="44"/>
        <item x="272"/>
        <item x="194"/>
        <item x="258"/>
        <item x="220"/>
        <item x="283"/>
        <item x="227"/>
        <item x="63"/>
        <item x="277"/>
        <item x="170"/>
        <item x="80"/>
        <item x="137"/>
        <item x="75"/>
        <item t="default"/>
      </items>
    </pivotField>
    <pivotField showAll="0"/>
    <pivotField showAll="0"/>
    <pivotField numFmtId="21" showAll="0"/>
    <pivotField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showAll="0"/>
    <pivotField showAll="0"/>
    <pivotField numFmtId="21" showAll="0"/>
    <pivotField axis="axisRow" showAll="0" measureFilter="1">
      <items count="87">
        <item x="8"/>
        <item x="59"/>
        <item x="53"/>
        <item x="12"/>
        <item x="60"/>
        <item x="29"/>
        <item x="17"/>
        <item x="70"/>
        <item x="52"/>
        <item x="66"/>
        <item x="79"/>
        <item x="31"/>
        <item x="4"/>
        <item x="18"/>
        <item x="3"/>
        <item x="83"/>
        <item x="51"/>
        <item x="77"/>
        <item x="1"/>
        <item x="0"/>
        <item x="47"/>
        <item x="69"/>
        <item x="9"/>
        <item x="38"/>
        <item x="63"/>
        <item x="46"/>
        <item x="78"/>
        <item x="32"/>
        <item x="42"/>
        <item x="2"/>
        <item x="15"/>
        <item x="27"/>
        <item x="45"/>
        <item x="22"/>
        <item x="25"/>
        <item x="34"/>
        <item x="57"/>
        <item x="50"/>
        <item x="19"/>
        <item x="33"/>
        <item x="11"/>
        <item x="67"/>
        <item x="23"/>
        <item x="44"/>
        <item x="65"/>
        <item x="81"/>
        <item x="36"/>
        <item x="13"/>
        <item x="6"/>
        <item x="39"/>
        <item x="30"/>
        <item x="14"/>
        <item x="28"/>
        <item x="85"/>
        <item x="75"/>
        <item x="49"/>
        <item x="76"/>
        <item x="21"/>
        <item x="20"/>
        <item x="48"/>
        <item x="10"/>
        <item x="16"/>
        <item x="5"/>
        <item x="41"/>
        <item x="37"/>
        <item x="82"/>
        <item x="56"/>
        <item x="80"/>
        <item x="71"/>
        <item x="58"/>
        <item x="62"/>
        <item x="64"/>
        <item x="35"/>
        <item x="55"/>
        <item x="72"/>
        <item x="84"/>
        <item x="7"/>
        <item x="24"/>
        <item x="43"/>
        <item x="54"/>
        <item x="73"/>
        <item x="68"/>
        <item x="26"/>
        <item x="74"/>
        <item x="61"/>
        <item x="40"/>
        <item t="default"/>
      </items>
    </pivotField>
    <pivotField showAll="0" measureFilter="1"/>
    <pivotField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11">
    <i>
      <x v="9"/>
    </i>
    <i>
      <x v="13"/>
    </i>
    <i>
      <x v="14"/>
    </i>
    <i>
      <x v="22"/>
    </i>
    <i>
      <x v="23"/>
    </i>
    <i>
      <x v="28"/>
    </i>
    <i>
      <x v="29"/>
    </i>
    <i>
      <x v="31"/>
    </i>
    <i>
      <x v="40"/>
    </i>
    <i>
      <x v="60"/>
    </i>
    <i t="grand">
      <x/>
    </i>
  </rowItems>
  <colItems count="1">
    <i/>
  </colItems>
  <dataFields count="1">
    <dataField name="Count of Order_ID" fld="0" subtotal="count" baseField="14" baseItem="0"/>
  </dataFields>
  <formats count="2">
    <format dxfId="24">
      <pivotArea outline="0" collapsedLevelsAreSubtotals="1" fieldPosition="0"/>
    </format>
    <format dxfId="25">
      <pivotArea dataOnly="0" labelOnly="1" outline="0" axis="axisValues" fieldPosition="0"/>
    </format>
  </format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6" type="count" evalOrder="-1" id="4" iMeasureFld="0">
      <autoFilter ref="A1">
        <filterColumn colId="0">
          <top10 val="10" filterVal="10"/>
        </filterColumn>
      </autoFilter>
    </filter>
    <filter fld="15"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CC1782-BC74-4C0F-B2E2-EB5628B5FB6E}"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6:K24" firstHeaderRow="1" firstDataRow="1" firstDataCol="1"/>
  <pivotFields count="21">
    <pivotField showAll="0"/>
    <pivotField showAll="0">
      <items count="101">
        <item x="86"/>
        <item x="97"/>
        <item x="92"/>
        <item x="84"/>
        <item x="94"/>
        <item x="34"/>
        <item x="78"/>
        <item x="54"/>
        <item x="6"/>
        <item x="53"/>
        <item x="17"/>
        <item x="3"/>
        <item x="14"/>
        <item x="38"/>
        <item x="46"/>
        <item x="82"/>
        <item x="48"/>
        <item x="21"/>
        <item x="1"/>
        <item x="37"/>
        <item x="99"/>
        <item x="73"/>
        <item x="40"/>
        <item x="11"/>
        <item x="98"/>
        <item x="68"/>
        <item x="80"/>
        <item x="51"/>
        <item x="2"/>
        <item x="69"/>
        <item x="36"/>
        <item x="57"/>
        <item x="47"/>
        <item x="96"/>
        <item x="65"/>
        <item x="39"/>
        <item x="0"/>
        <item x="56"/>
        <item x="61"/>
        <item x="5"/>
        <item x="20"/>
        <item x="12"/>
        <item x="87"/>
        <item x="8"/>
        <item x="41"/>
        <item x="33"/>
        <item x="26"/>
        <item x="66"/>
        <item x="77"/>
        <item x="49"/>
        <item x="70"/>
        <item x="91"/>
        <item x="55"/>
        <item x="19"/>
        <item x="28"/>
        <item x="15"/>
        <item x="50"/>
        <item x="44"/>
        <item x="35"/>
        <item x="58"/>
        <item x="59"/>
        <item x="52"/>
        <item x="23"/>
        <item x="25"/>
        <item x="10"/>
        <item x="31"/>
        <item x="30"/>
        <item x="81"/>
        <item x="13"/>
        <item x="71"/>
        <item x="27"/>
        <item x="16"/>
        <item x="95"/>
        <item x="45"/>
        <item x="64"/>
        <item x="89"/>
        <item x="43"/>
        <item x="4"/>
        <item x="90"/>
        <item x="32"/>
        <item x="62"/>
        <item x="63"/>
        <item x="67"/>
        <item x="75"/>
        <item x="79"/>
        <item x="93"/>
        <item x="72"/>
        <item x="24"/>
        <item x="85"/>
        <item x="18"/>
        <item x="22"/>
        <item x="74"/>
        <item x="83"/>
        <item x="76"/>
        <item x="42"/>
        <item x="29"/>
        <item x="7"/>
        <item x="88"/>
        <item x="9"/>
        <item x="60"/>
        <item t="default"/>
      </items>
    </pivotField>
    <pivotField showAll="0"/>
    <pivotField showAll="0" measureFilter="1">
      <items count="69">
        <item x="22"/>
        <item x="44"/>
        <item x="54"/>
        <item x="67"/>
        <item x="42"/>
        <item x="21"/>
        <item x="7"/>
        <item x="1"/>
        <item x="37"/>
        <item x="25"/>
        <item x="2"/>
        <item x="13"/>
        <item x="60"/>
        <item x="15"/>
        <item x="39"/>
        <item x="12"/>
        <item x="59"/>
        <item x="52"/>
        <item x="56"/>
        <item x="35"/>
        <item x="64"/>
        <item x="34"/>
        <item x="18"/>
        <item x="16"/>
        <item x="38"/>
        <item x="49"/>
        <item x="55"/>
        <item x="66"/>
        <item x="65"/>
        <item x="27"/>
        <item x="33"/>
        <item x="5"/>
        <item x="48"/>
        <item x="0"/>
        <item x="29"/>
        <item x="45"/>
        <item x="10"/>
        <item x="31"/>
        <item x="36"/>
        <item x="53"/>
        <item x="43"/>
        <item x="17"/>
        <item x="61"/>
        <item x="30"/>
        <item x="28"/>
        <item x="58"/>
        <item x="62"/>
        <item x="41"/>
        <item x="46"/>
        <item x="26"/>
        <item x="63"/>
        <item x="24"/>
        <item x="40"/>
        <item x="8"/>
        <item x="6"/>
        <item x="20"/>
        <item x="23"/>
        <item x="19"/>
        <item x="11"/>
        <item x="51"/>
        <item x="3"/>
        <item x="14"/>
        <item x="9"/>
        <item x="4"/>
        <item x="50"/>
        <item x="32"/>
        <item x="47"/>
        <item x="57"/>
        <item t="default"/>
      </items>
    </pivotField>
    <pivotField axis="axisRow" showAll="0">
      <items count="8">
        <item x="3"/>
        <item x="2"/>
        <item x="6"/>
        <item x="5"/>
        <item x="0"/>
        <item x="4"/>
        <item x="1"/>
        <item t="default"/>
      </items>
    </pivotField>
    <pivotField showAll="0"/>
    <pivotField numFmtId="164" showAll="0"/>
    <pivotField numFmtId="14" showAll="0"/>
    <pivotField showAll="0">
      <items count="13">
        <item x="8"/>
        <item x="0"/>
        <item x="5"/>
        <item x="9"/>
        <item x="4"/>
        <item x="11"/>
        <item x="2"/>
        <item x="3"/>
        <item x="7"/>
        <item x="10"/>
        <item x="1"/>
        <item x="6"/>
        <item t="default"/>
      </items>
    </pivotField>
    <pivotField showAll="0"/>
    <pivotField numFmtId="21" showAll="0"/>
    <pivotField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showAll="0"/>
    <pivotField numFmtId="21" showAll="0"/>
    <pivotField showAll="0"/>
    <pivotField showAll="0">
      <items count="8">
        <item x="6"/>
        <item x="0"/>
        <item x="2"/>
        <item x="1"/>
        <item x="5"/>
        <item x="4"/>
        <item x="3"/>
        <item t="default"/>
      </items>
    </pivotField>
    <pivotField dataField="1"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8">
    <i>
      <x/>
    </i>
    <i>
      <x v="1"/>
    </i>
    <i>
      <x v="2"/>
    </i>
    <i>
      <x v="3"/>
    </i>
    <i>
      <x v="4"/>
    </i>
    <i>
      <x v="5"/>
    </i>
    <i>
      <x v="6"/>
    </i>
    <i t="grand">
      <x/>
    </i>
  </rowItems>
  <colItems count="1">
    <i/>
  </colItems>
  <dataFields count="1">
    <dataField name="Sum of Sales" fld="16" baseField="4" baseItem="0" numFmtId="164"/>
  </dataFields>
  <formats count="1">
    <format dxfId="56">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7CBF45-4181-493E-BD3A-8AF672F5EB74}"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5:M6" firstHeaderRow="1" firstDataRow="1" firstDataCol="0"/>
  <pivotFields count="21">
    <pivotField showAll="0"/>
    <pivotField showAll="0">
      <items count="101">
        <item x="86"/>
        <item x="97"/>
        <item x="92"/>
        <item x="84"/>
        <item x="94"/>
        <item x="34"/>
        <item x="78"/>
        <item x="54"/>
        <item x="6"/>
        <item x="53"/>
        <item x="17"/>
        <item x="3"/>
        <item x="14"/>
        <item x="38"/>
        <item x="46"/>
        <item x="82"/>
        <item x="48"/>
        <item x="21"/>
        <item x="1"/>
        <item x="37"/>
        <item x="99"/>
        <item x="73"/>
        <item x="40"/>
        <item x="11"/>
        <item x="98"/>
        <item x="68"/>
        <item x="80"/>
        <item x="51"/>
        <item x="2"/>
        <item x="69"/>
        <item x="36"/>
        <item x="57"/>
        <item x="47"/>
        <item x="96"/>
        <item x="65"/>
        <item x="39"/>
        <item x="0"/>
        <item x="56"/>
        <item x="61"/>
        <item x="5"/>
        <item x="20"/>
        <item x="12"/>
        <item x="87"/>
        <item x="8"/>
        <item x="41"/>
        <item x="33"/>
        <item x="26"/>
        <item x="66"/>
        <item x="77"/>
        <item x="49"/>
        <item x="70"/>
        <item x="91"/>
        <item x="55"/>
        <item x="19"/>
        <item x="28"/>
        <item x="15"/>
        <item x="50"/>
        <item x="44"/>
        <item x="35"/>
        <item x="58"/>
        <item x="59"/>
        <item x="52"/>
        <item x="23"/>
        <item x="25"/>
        <item x="10"/>
        <item x="31"/>
        <item x="30"/>
        <item x="81"/>
        <item x="13"/>
        <item x="71"/>
        <item x="27"/>
        <item x="16"/>
        <item x="95"/>
        <item x="45"/>
        <item x="64"/>
        <item x="89"/>
        <item x="43"/>
        <item x="4"/>
        <item x="90"/>
        <item x="32"/>
        <item x="62"/>
        <item x="63"/>
        <item x="67"/>
        <item x="75"/>
        <item x="79"/>
        <item x="93"/>
        <item x="72"/>
        <item x="24"/>
        <item x="85"/>
        <item x="18"/>
        <item x="22"/>
        <item x="74"/>
        <item x="83"/>
        <item x="76"/>
        <item x="42"/>
        <item x="29"/>
        <item x="7"/>
        <item x="88"/>
        <item x="9"/>
        <item x="60"/>
        <item t="default"/>
      </items>
    </pivotField>
    <pivotField showAll="0"/>
    <pivotField showAll="0" measureFilter="1">
      <items count="69">
        <item x="22"/>
        <item x="44"/>
        <item x="54"/>
        <item x="67"/>
        <item x="42"/>
        <item x="21"/>
        <item x="7"/>
        <item x="1"/>
        <item x="37"/>
        <item x="25"/>
        <item x="2"/>
        <item x="13"/>
        <item x="60"/>
        <item x="15"/>
        <item x="39"/>
        <item x="12"/>
        <item x="59"/>
        <item x="52"/>
        <item x="56"/>
        <item x="35"/>
        <item x="64"/>
        <item x="34"/>
        <item x="18"/>
        <item x="16"/>
        <item x="38"/>
        <item x="49"/>
        <item x="55"/>
        <item x="66"/>
        <item x="65"/>
        <item x="27"/>
        <item x="33"/>
        <item x="5"/>
        <item x="48"/>
        <item x="0"/>
        <item x="29"/>
        <item x="45"/>
        <item x="10"/>
        <item x="31"/>
        <item x="36"/>
        <item x="53"/>
        <item x="43"/>
        <item x="17"/>
        <item x="61"/>
        <item x="30"/>
        <item x="28"/>
        <item x="58"/>
        <item x="62"/>
        <item x="41"/>
        <item x="46"/>
        <item x="26"/>
        <item x="63"/>
        <item x="24"/>
        <item x="40"/>
        <item x="8"/>
        <item x="6"/>
        <item x="20"/>
        <item x="23"/>
        <item x="19"/>
        <item x="11"/>
        <item x="51"/>
        <item x="3"/>
        <item x="14"/>
        <item x="9"/>
        <item x="4"/>
        <item x="50"/>
        <item x="32"/>
        <item x="47"/>
        <item x="57"/>
        <item t="default"/>
      </items>
    </pivotField>
    <pivotField showAll="0"/>
    <pivotField showAll="0"/>
    <pivotField numFmtId="164" showAll="0"/>
    <pivotField numFmtId="14" showAll="0"/>
    <pivotField showAll="0">
      <items count="13">
        <item x="8"/>
        <item x="0"/>
        <item x="5"/>
        <item x="9"/>
        <item x="4"/>
        <item x="11"/>
        <item x="2"/>
        <item x="3"/>
        <item x="7"/>
        <item x="10"/>
        <item x="1"/>
        <item x="6"/>
        <item t="default"/>
      </items>
    </pivotField>
    <pivotField showAll="0"/>
    <pivotField numFmtId="21" showAll="0"/>
    <pivotField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showAll="0"/>
    <pivotField numFmtId="21" showAll="0"/>
    <pivotField showAll="0"/>
    <pivotField showAll="0">
      <items count="8">
        <item x="6"/>
        <item x="0"/>
        <item x="2"/>
        <item x="1"/>
        <item x="5"/>
        <item x="4"/>
        <item x="3"/>
        <item t="default"/>
      </items>
    </pivotField>
    <pivotField dataField="1"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Sales" fld="16" subtotal="average" baseField="0" baseItem="0" numFmtId="164"/>
  </dataFields>
  <formats count="1">
    <format dxfId="57">
      <pivotArea outline="0" collapsedLevelsAreSubtotals="1" fieldPosition="0"/>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69737B-3905-4A13-A6CF-6F54B7AD6729}"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H12" firstHeaderRow="1" firstDataRow="1" firstDataCol="1"/>
  <pivotFields count="21">
    <pivotField showAll="0"/>
    <pivotField showAll="0"/>
    <pivotField showAll="0"/>
    <pivotField axis="axisRow" showAll="0" measureFilter="1">
      <items count="69">
        <item x="22"/>
        <item x="44"/>
        <item x="54"/>
        <item x="67"/>
        <item x="42"/>
        <item x="21"/>
        <item x="7"/>
        <item x="1"/>
        <item x="37"/>
        <item x="25"/>
        <item x="2"/>
        <item x="13"/>
        <item x="60"/>
        <item x="15"/>
        <item x="39"/>
        <item x="12"/>
        <item x="59"/>
        <item x="52"/>
        <item x="56"/>
        <item x="35"/>
        <item x="64"/>
        <item x="34"/>
        <item x="18"/>
        <item x="16"/>
        <item x="38"/>
        <item x="49"/>
        <item x="55"/>
        <item x="66"/>
        <item x="65"/>
        <item x="27"/>
        <item x="33"/>
        <item x="5"/>
        <item x="48"/>
        <item x="0"/>
        <item x="29"/>
        <item x="45"/>
        <item x="10"/>
        <item x="31"/>
        <item x="36"/>
        <item x="53"/>
        <item x="43"/>
        <item x="17"/>
        <item x="61"/>
        <item x="30"/>
        <item x="28"/>
        <item x="58"/>
        <item x="62"/>
        <item x="41"/>
        <item x="46"/>
        <item x="26"/>
        <item x="63"/>
        <item x="24"/>
        <item x="40"/>
        <item x="8"/>
        <item x="6"/>
        <item x="20"/>
        <item x="23"/>
        <item x="19"/>
        <item x="11"/>
        <item x="51"/>
        <item x="3"/>
        <item x="14"/>
        <item x="9"/>
        <item x="4"/>
        <item x="50"/>
        <item x="32"/>
        <item x="47"/>
        <item x="57"/>
        <item t="default"/>
      </items>
    </pivotField>
    <pivotField showAll="0"/>
    <pivotField showAll="0"/>
    <pivotField numFmtId="164" showAll="0"/>
    <pivotField numFmtId="14" showAll="0"/>
    <pivotField showAll="0">
      <items count="13">
        <item x="8"/>
        <item x="0"/>
        <item x="5"/>
        <item x="9"/>
        <item x="4"/>
        <item x="11"/>
        <item x="2"/>
        <item x="3"/>
        <item x="7"/>
        <item x="10"/>
        <item x="1"/>
        <item x="6"/>
        <item t="default"/>
      </items>
    </pivotField>
    <pivotField showAll="0"/>
    <pivotField numFmtId="21" showAll="0"/>
    <pivotField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showAll="0"/>
    <pivotField numFmtId="21" showAll="0"/>
    <pivotField showAll="0"/>
    <pivotField showAll="0">
      <items count="8">
        <item x="6"/>
        <item x="0"/>
        <item x="2"/>
        <item x="1"/>
        <item x="5"/>
        <item x="4"/>
        <item x="3"/>
        <item t="default"/>
      </items>
    </pivotField>
    <pivotField dataField="1"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10"/>
    </i>
    <i>
      <x v="11"/>
    </i>
    <i>
      <x v="12"/>
    </i>
    <i>
      <x v="19"/>
    </i>
    <i>
      <x v="21"/>
    </i>
    <i>
      <x v="25"/>
    </i>
    <i>
      <x v="32"/>
    </i>
    <i>
      <x v="37"/>
    </i>
    <i>
      <x v="42"/>
    </i>
    <i>
      <x v="53"/>
    </i>
    <i t="grand">
      <x/>
    </i>
  </rowItems>
  <colItems count="1">
    <i/>
  </colItems>
  <dataFields count="1">
    <dataField name="Sum of Sales" fld="16" baseField="0" baseItem="0" numFmtId="164"/>
  </dataFields>
  <formats count="1">
    <format dxfId="62">
      <pivotArea outline="0" collapsedLevelsAreSubtotals="1" fieldPosition="0"/>
    </format>
  </formats>
  <chartFormats count="1">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484681-62C1-495D-8438-CD8CB32F914E}"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K14" firstHeaderRow="1" firstDataRow="1" firstDataCol="1"/>
  <pivotFields count="21">
    <pivotField showAll="0"/>
    <pivotField showAll="0"/>
    <pivotField showAll="0"/>
    <pivotField showAll="0"/>
    <pivotField showAll="0"/>
    <pivotField showAll="0"/>
    <pivotField numFmtId="164" showAll="0"/>
    <pivotField numFmtId="14" showAll="0"/>
    <pivotField axis="axisRow" showAll="0">
      <items count="13">
        <item x="8"/>
        <item x="0"/>
        <item x="5"/>
        <item x="9"/>
        <item x="4"/>
        <item x="11"/>
        <item x="2"/>
        <item x="3"/>
        <item x="7"/>
        <item x="10"/>
        <item x="1"/>
        <item x="6"/>
        <item t="default"/>
      </items>
    </pivotField>
    <pivotField showAll="0"/>
    <pivotField numFmtId="21" showAll="0"/>
    <pivotField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showAll="0"/>
    <pivotField numFmtId="21" showAll="0"/>
    <pivotField showAll="0"/>
    <pivotField showAll="0">
      <items count="8">
        <item x="6"/>
        <item x="0"/>
        <item x="2"/>
        <item x="1"/>
        <item x="5"/>
        <item x="4"/>
        <item x="3"/>
        <item t="default"/>
      </items>
    </pivotField>
    <pivotField dataField="1"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fld="16" baseField="0" baseItem="0" numFmtId="164"/>
  </dataFields>
  <formats count="1">
    <format dxfId="5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2A8480-E162-4D99-B75A-03123A347347}"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21">
    <pivotField showAll="0"/>
    <pivotField showAll="0">
      <items count="101">
        <item x="86"/>
        <item x="97"/>
        <item x="92"/>
        <item x="84"/>
        <item x="94"/>
        <item x="34"/>
        <item x="78"/>
        <item x="54"/>
        <item x="6"/>
        <item x="53"/>
        <item x="17"/>
        <item x="3"/>
        <item x="14"/>
        <item x="38"/>
        <item x="46"/>
        <item x="82"/>
        <item x="48"/>
        <item x="21"/>
        <item x="1"/>
        <item x="37"/>
        <item x="99"/>
        <item x="73"/>
        <item x="40"/>
        <item x="11"/>
        <item x="98"/>
        <item x="68"/>
        <item x="80"/>
        <item x="51"/>
        <item x="2"/>
        <item x="69"/>
        <item x="36"/>
        <item x="57"/>
        <item x="47"/>
        <item x="96"/>
        <item x="65"/>
        <item x="39"/>
        <item x="0"/>
        <item x="56"/>
        <item x="61"/>
        <item x="5"/>
        <item x="20"/>
        <item x="12"/>
        <item x="87"/>
        <item x="8"/>
        <item x="41"/>
        <item x="33"/>
        <item x="26"/>
        <item x="66"/>
        <item x="77"/>
        <item x="49"/>
        <item x="70"/>
        <item x="91"/>
        <item x="55"/>
        <item x="19"/>
        <item x="28"/>
        <item x="15"/>
        <item x="50"/>
        <item x="44"/>
        <item x="35"/>
        <item x="58"/>
        <item x="59"/>
        <item x="52"/>
        <item x="23"/>
        <item x="25"/>
        <item x="10"/>
        <item x="31"/>
        <item x="30"/>
        <item x="81"/>
        <item x="13"/>
        <item x="71"/>
        <item x="27"/>
        <item x="16"/>
        <item x="95"/>
        <item x="45"/>
        <item x="64"/>
        <item x="89"/>
        <item x="43"/>
        <item x="4"/>
        <item x="90"/>
        <item x="32"/>
        <item x="62"/>
        <item x="63"/>
        <item x="67"/>
        <item x="75"/>
        <item x="79"/>
        <item x="93"/>
        <item x="72"/>
        <item x="24"/>
        <item x="85"/>
        <item x="18"/>
        <item x="22"/>
        <item x="74"/>
        <item x="83"/>
        <item x="76"/>
        <item x="42"/>
        <item x="29"/>
        <item x="7"/>
        <item x="88"/>
        <item x="9"/>
        <item x="60"/>
        <item t="default"/>
      </items>
    </pivotField>
    <pivotField showAll="0"/>
    <pivotField showAll="0" measureFilter="1">
      <items count="69">
        <item x="22"/>
        <item x="44"/>
        <item x="54"/>
        <item x="67"/>
        <item x="42"/>
        <item x="21"/>
        <item x="7"/>
        <item x="1"/>
        <item x="37"/>
        <item x="25"/>
        <item x="2"/>
        <item x="13"/>
        <item x="60"/>
        <item x="15"/>
        <item x="39"/>
        <item x="12"/>
        <item x="59"/>
        <item x="52"/>
        <item x="56"/>
        <item x="35"/>
        <item x="64"/>
        <item x="34"/>
        <item x="18"/>
        <item x="16"/>
        <item x="38"/>
        <item x="49"/>
        <item x="55"/>
        <item x="66"/>
        <item x="65"/>
        <item x="27"/>
        <item x="33"/>
        <item x="5"/>
        <item x="48"/>
        <item x="0"/>
        <item x="29"/>
        <item x="45"/>
        <item x="10"/>
        <item x="31"/>
        <item x="36"/>
        <item x="53"/>
        <item x="43"/>
        <item x="17"/>
        <item x="61"/>
        <item x="30"/>
        <item x="28"/>
        <item x="58"/>
        <item x="62"/>
        <item x="41"/>
        <item x="46"/>
        <item x="26"/>
        <item x="63"/>
        <item x="24"/>
        <item x="40"/>
        <item x="8"/>
        <item x="6"/>
        <item x="20"/>
        <item x="23"/>
        <item x="19"/>
        <item x="11"/>
        <item x="51"/>
        <item x="3"/>
        <item x="14"/>
        <item x="9"/>
        <item x="4"/>
        <item x="50"/>
        <item x="32"/>
        <item x="47"/>
        <item x="57"/>
        <item t="default"/>
      </items>
    </pivotField>
    <pivotField showAll="0">
      <items count="8">
        <item x="3"/>
        <item x="2"/>
        <item x="6"/>
        <item x="5"/>
        <item x="0"/>
        <item x="4"/>
        <item x="1"/>
        <item t="default"/>
      </items>
    </pivotField>
    <pivotField showAll="0"/>
    <pivotField numFmtId="164" showAll="0"/>
    <pivotField numFmtId="14" showAll="0"/>
    <pivotField showAll="0">
      <items count="13">
        <item x="8"/>
        <item x="0"/>
        <item x="5"/>
        <item x="9"/>
        <item x="4"/>
        <item x="11"/>
        <item x="2"/>
        <item x="3"/>
        <item x="7"/>
        <item x="10"/>
        <item x="1"/>
        <item x="6"/>
        <item t="default"/>
      </items>
    </pivotField>
    <pivotField showAll="0"/>
    <pivotField numFmtId="21" showAll="0"/>
    <pivotField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showAll="0"/>
    <pivotField numFmtId="21" showAll="0"/>
    <pivotField showAll="0" measureFilter="1">
      <items count="302">
        <item x="272"/>
        <item x="45"/>
        <item x="72"/>
        <item x="51"/>
        <item x="87"/>
        <item x="271"/>
        <item x="276"/>
        <item x="203"/>
        <item x="232"/>
        <item x="155"/>
        <item x="113"/>
        <item x="181"/>
        <item x="273"/>
        <item x="8"/>
        <item x="246"/>
        <item x="205"/>
        <item x="52"/>
        <item x="111"/>
        <item x="23"/>
        <item x="65"/>
        <item x="142"/>
        <item x="274"/>
        <item x="165"/>
        <item x="30"/>
        <item x="75"/>
        <item x="74"/>
        <item x="140"/>
        <item x="192"/>
        <item x="62"/>
        <item x="184"/>
        <item x="128"/>
        <item x="0"/>
        <item x="149"/>
        <item x="18"/>
        <item x="147"/>
        <item x="9"/>
        <item x="202"/>
        <item x="90"/>
        <item x="59"/>
        <item x="261"/>
        <item x="257"/>
        <item x="163"/>
        <item x="112"/>
        <item x="159"/>
        <item x="39"/>
        <item x="137"/>
        <item x="102"/>
        <item x="151"/>
        <item x="293"/>
        <item x="248"/>
        <item x="84"/>
        <item x="277"/>
        <item x="249"/>
        <item x="251"/>
        <item x="121"/>
        <item x="224"/>
        <item x="298"/>
        <item x="167"/>
        <item x="207"/>
        <item x="2"/>
        <item x="109"/>
        <item x="252"/>
        <item x="26"/>
        <item x="83"/>
        <item x="241"/>
        <item x="299"/>
        <item x="187"/>
        <item x="227"/>
        <item x="139"/>
        <item x="88"/>
        <item x="58"/>
        <item x="263"/>
        <item x="50"/>
        <item x="54"/>
        <item x="126"/>
        <item x="157"/>
        <item x="253"/>
        <item x="42"/>
        <item x="135"/>
        <item x="150"/>
        <item x="105"/>
        <item x="104"/>
        <item x="284"/>
        <item x="244"/>
        <item x="292"/>
        <item x="21"/>
        <item x="158"/>
        <item x="231"/>
        <item x="193"/>
        <item x="145"/>
        <item x="37"/>
        <item x="63"/>
        <item x="98"/>
        <item x="11"/>
        <item x="265"/>
        <item x="225"/>
        <item x="256"/>
        <item x="222"/>
        <item x="243"/>
        <item x="119"/>
        <item x="89"/>
        <item x="180"/>
        <item x="100"/>
        <item x="41"/>
        <item x="178"/>
        <item x="99"/>
        <item x="160"/>
        <item x="3"/>
        <item x="71"/>
        <item x="154"/>
        <item x="40"/>
        <item x="294"/>
        <item x="240"/>
        <item x="223"/>
        <item x="46"/>
        <item x="206"/>
        <item x="96"/>
        <item x="61"/>
        <item x="86"/>
        <item x="196"/>
        <item x="33"/>
        <item x="286"/>
        <item x="1"/>
        <item x="161"/>
        <item x="245"/>
        <item x="122"/>
        <item x="44"/>
        <item x="176"/>
        <item x="282"/>
        <item x="258"/>
        <item x="95"/>
        <item x="118"/>
        <item x="56"/>
        <item x="168"/>
        <item x="297"/>
        <item x="270"/>
        <item x="70"/>
        <item x="132"/>
        <item x="66"/>
        <item x="127"/>
        <item x="230"/>
        <item x="10"/>
        <item x="32"/>
        <item x="219"/>
        <item x="13"/>
        <item x="173"/>
        <item x="233"/>
        <item x="183"/>
        <item x="94"/>
        <item x="91"/>
        <item x="93"/>
        <item x="239"/>
        <item x="103"/>
        <item x="25"/>
        <item x="182"/>
        <item x="14"/>
        <item x="49"/>
        <item x="47"/>
        <item x="153"/>
        <item x="116"/>
        <item x="237"/>
        <item x="82"/>
        <item x="97"/>
        <item x="130"/>
        <item x="20"/>
        <item x="289"/>
        <item x="131"/>
        <item x="17"/>
        <item x="77"/>
        <item x="212"/>
        <item x="73"/>
        <item x="101"/>
        <item x="120"/>
        <item x="194"/>
        <item x="288"/>
        <item x="264"/>
        <item x="125"/>
        <item x="254"/>
        <item x="169"/>
        <item x="235"/>
        <item x="300"/>
        <item x="238"/>
        <item x="15"/>
        <item x="259"/>
        <item x="7"/>
        <item x="260"/>
        <item x="57"/>
        <item x="195"/>
        <item x="191"/>
        <item x="221"/>
        <item x="171"/>
        <item x="198"/>
        <item x="162"/>
        <item x="6"/>
        <item x="27"/>
        <item x="43"/>
        <item x="81"/>
        <item x="213"/>
        <item x="136"/>
        <item x="138"/>
        <item x="31"/>
        <item x="172"/>
        <item x="179"/>
        <item x="210"/>
        <item x="216"/>
        <item x="156"/>
        <item x="85"/>
        <item x="278"/>
        <item x="67"/>
        <item x="211"/>
        <item x="55"/>
        <item x="22"/>
        <item x="174"/>
        <item x="217"/>
        <item x="134"/>
        <item x="189"/>
        <item x="148"/>
        <item x="267"/>
        <item x="250"/>
        <item x="146"/>
        <item x="170"/>
        <item x="28"/>
        <item x="12"/>
        <item x="80"/>
        <item x="188"/>
        <item x="281"/>
        <item x="35"/>
        <item x="24"/>
        <item x="242"/>
        <item x="4"/>
        <item x="283"/>
        <item x="114"/>
        <item x="92"/>
        <item x="208"/>
        <item x="190"/>
        <item x="48"/>
        <item x="141"/>
        <item x="123"/>
        <item x="78"/>
        <item x="234"/>
        <item x="247"/>
        <item x="229"/>
        <item x="36"/>
        <item x="69"/>
        <item x="38"/>
        <item x="124"/>
        <item x="262"/>
        <item x="175"/>
        <item x="106"/>
        <item x="266"/>
        <item x="220"/>
        <item x="143"/>
        <item x="76"/>
        <item x="268"/>
        <item x="218"/>
        <item x="64"/>
        <item x="280"/>
        <item x="275"/>
        <item x="110"/>
        <item x="296"/>
        <item x="5"/>
        <item x="177"/>
        <item x="226"/>
        <item x="186"/>
        <item x="214"/>
        <item x="215"/>
        <item x="144"/>
        <item x="115"/>
        <item x="291"/>
        <item x="166"/>
        <item x="228"/>
        <item x="164"/>
        <item x="199"/>
        <item x="269"/>
        <item x="19"/>
        <item x="197"/>
        <item x="204"/>
        <item x="53"/>
        <item x="107"/>
        <item x="60"/>
        <item x="200"/>
        <item x="201"/>
        <item x="185"/>
        <item x="29"/>
        <item x="108"/>
        <item x="133"/>
        <item x="279"/>
        <item x="209"/>
        <item x="295"/>
        <item x="129"/>
        <item x="152"/>
        <item x="236"/>
        <item x="255"/>
        <item x="68"/>
        <item x="287"/>
        <item x="34"/>
        <item x="16"/>
        <item x="117"/>
        <item x="290"/>
        <item x="79"/>
        <item x="285"/>
        <item t="default"/>
      </items>
    </pivotField>
    <pivotField axis="axisRow" showAll="0">
      <items count="8">
        <item x="6"/>
        <item x="0"/>
        <item x="2"/>
        <item x="1"/>
        <item x="5"/>
        <item x="4"/>
        <item x="3"/>
        <item t="default"/>
      </items>
    </pivotField>
    <pivotField dataField="1"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8">
    <i>
      <x/>
    </i>
    <i>
      <x v="1"/>
    </i>
    <i>
      <x v="2"/>
    </i>
    <i>
      <x v="3"/>
    </i>
    <i>
      <x v="4"/>
    </i>
    <i>
      <x v="5"/>
    </i>
    <i>
      <x v="6"/>
    </i>
    <i t="grand">
      <x/>
    </i>
  </rowItems>
  <colItems count="1">
    <i/>
  </colItems>
  <dataFields count="1">
    <dataField name="Sum of Sales" fld="16" baseField="4" baseItem="0" numFmtId="164"/>
  </dataFields>
  <formats count="1">
    <format dxfId="5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count" evalOrder="-1" id="1" iMeasureFld="0">
      <autoFilter ref="A1">
        <filterColumn colId="0">
          <top10 val="5" filterVal="5"/>
        </filterColumn>
      </autoFilter>
    </filter>
    <filter fld="1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D63FB1-EC34-4C7C-8F0C-645C7C95979F}"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3:M14" firstHeaderRow="1" firstDataRow="1" firstDataCol="0"/>
  <pivotFields count="21">
    <pivotField showAll="0"/>
    <pivotField showAll="0"/>
    <pivotField showAll="0"/>
    <pivotField showAll="0"/>
    <pivotField showAll="0"/>
    <pivotField showAll="0"/>
    <pivotField numFmtId="164" showAll="0"/>
    <pivotField numFmtId="14" showAll="0"/>
    <pivotField showAll="0"/>
    <pivotField showAll="0"/>
    <pivotField numFmtId="21" showAll="0"/>
    <pivotField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showAll="0"/>
    <pivotField numFmtId="21" showAll="0"/>
    <pivotField showAll="0"/>
    <pivotField showAll="0">
      <items count="8">
        <item x="6"/>
        <item x="0"/>
        <item x="2"/>
        <item x="1"/>
        <item x="5"/>
        <item x="4"/>
        <item x="3"/>
        <item t="default"/>
      </items>
    </pivotField>
    <pivotField numFmtId="16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g_Del_Time" fld="17" subtotal="average" baseField="0" baseItem="0" numFmtId="2"/>
  </dataFields>
  <formats count="1">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E505399-2AD6-43D5-AB77-D5F9C736ABBF}"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M2" firstHeaderRow="1" firstDataRow="1" firstDataCol="0"/>
  <pivotFields count="21">
    <pivotField showAll="0"/>
    <pivotField showAll="0"/>
    <pivotField showAll="0"/>
    <pivotField showAll="0"/>
    <pivotField showAll="0"/>
    <pivotField showAll="0"/>
    <pivotField numFmtId="164" showAll="0"/>
    <pivotField numFmtId="14" showAll="0"/>
    <pivotField showAll="0"/>
    <pivotField showAll="0"/>
    <pivotField numFmtId="21" showAll="0"/>
    <pivotField numFmtId="14" showAll="0">
      <items count="287">
        <item x="195"/>
        <item x="239"/>
        <item x="58"/>
        <item x="127"/>
        <item x="215"/>
        <item x="64"/>
        <item x="277"/>
        <item x="201"/>
        <item x="24"/>
        <item x="194"/>
        <item x="228"/>
        <item x="103"/>
        <item x="92"/>
        <item x="187"/>
        <item x="275"/>
        <item x="249"/>
        <item x="202"/>
        <item x="258"/>
        <item x="234"/>
        <item x="138"/>
        <item x="85"/>
        <item x="62"/>
        <item x="90"/>
        <item x="145"/>
        <item x="68"/>
        <item x="17"/>
        <item x="43"/>
        <item x="16"/>
        <item x="28"/>
        <item x="33"/>
        <item x="197"/>
        <item x="3"/>
        <item x="223"/>
        <item x="14"/>
        <item x="80"/>
        <item x="180"/>
        <item x="133"/>
        <item x="110"/>
        <item x="51"/>
        <item x="37"/>
        <item x="81"/>
        <item x="149"/>
        <item x="9"/>
        <item x="11"/>
        <item x="0"/>
        <item x="44"/>
        <item x="32"/>
        <item x="8"/>
        <item x="170"/>
        <item x="101"/>
        <item x="57"/>
        <item x="21"/>
        <item x="82"/>
        <item x="27"/>
        <item x="137"/>
        <item x="116"/>
        <item x="171"/>
        <item x="99"/>
        <item x="40"/>
        <item x="242"/>
        <item x="73"/>
        <item x="274"/>
        <item x="94"/>
        <item x="125"/>
        <item x="113"/>
        <item x="144"/>
        <item x="193"/>
        <item x="143"/>
        <item x="220"/>
        <item x="257"/>
        <item x="211"/>
        <item x="271"/>
        <item x="270"/>
        <item x="222"/>
        <item x="59"/>
        <item x="272"/>
        <item x="165"/>
        <item x="130"/>
        <item x="172"/>
        <item x="255"/>
        <item x="124"/>
        <item x="156"/>
        <item x="279"/>
        <item x="153"/>
        <item x="251"/>
        <item x="174"/>
        <item x="36"/>
        <item x="25"/>
        <item x="262"/>
        <item x="96"/>
        <item x="35"/>
        <item x="235"/>
        <item x="283"/>
        <item x="71"/>
        <item x="253"/>
        <item x="86"/>
        <item x="18"/>
        <item x="264"/>
        <item x="191"/>
        <item x="22"/>
        <item x="118"/>
        <item x="5"/>
        <item x="231"/>
        <item x="189"/>
        <item x="100"/>
        <item x="76"/>
        <item x="186"/>
        <item x="284"/>
        <item x="176"/>
        <item x="245"/>
        <item x="134"/>
        <item x="70"/>
        <item x="244"/>
        <item x="205"/>
        <item x="243"/>
        <item x="158"/>
        <item x="164"/>
        <item x="72"/>
        <item x="183"/>
        <item x="218"/>
        <item x="236"/>
        <item x="252"/>
        <item x="31"/>
        <item x="63"/>
        <item x="188"/>
        <item x="190"/>
        <item x="49"/>
        <item x="136"/>
        <item x="233"/>
        <item x="77"/>
        <item x="131"/>
        <item x="159"/>
        <item x="83"/>
        <item x="48"/>
        <item x="206"/>
        <item x="45"/>
        <item x="155"/>
        <item x="265"/>
        <item x="217"/>
        <item x="221"/>
        <item x="261"/>
        <item x="114"/>
        <item x="129"/>
        <item x="226"/>
        <item x="227"/>
        <item x="185"/>
        <item x="52"/>
        <item x="150"/>
        <item x="204"/>
        <item x="240"/>
        <item x="2"/>
        <item x="10"/>
        <item x="178"/>
        <item x="93"/>
        <item x="20"/>
        <item x="169"/>
        <item x="34"/>
        <item x="214"/>
        <item x="128"/>
        <item x="19"/>
        <item x="209"/>
        <item x="65"/>
        <item x="232"/>
        <item x="285"/>
        <item x="230"/>
        <item x="111"/>
        <item x="269"/>
        <item x="198"/>
        <item x="61"/>
        <item x="184"/>
        <item x="163"/>
        <item x="268"/>
        <item x="250"/>
        <item x="123"/>
        <item x="122"/>
        <item x="88"/>
        <item x="142"/>
        <item x="152"/>
        <item x="175"/>
        <item x="4"/>
        <item x="42"/>
        <item x="56"/>
        <item x="7"/>
        <item x="13"/>
        <item x="53"/>
        <item x="141"/>
        <item x="66"/>
        <item x="104"/>
        <item x="126"/>
        <item x="109"/>
        <item x="117"/>
        <item x="41"/>
        <item x="54"/>
        <item x="98"/>
        <item x="224"/>
        <item x="50"/>
        <item x="139"/>
        <item x="259"/>
        <item x="147"/>
        <item x="213"/>
        <item x="260"/>
        <item x="67"/>
        <item x="179"/>
        <item x="119"/>
        <item x="173"/>
        <item x="241"/>
        <item x="177"/>
        <item x="207"/>
        <item x="23"/>
        <item x="55"/>
        <item x="26"/>
        <item x="135"/>
        <item x="106"/>
        <item x="266"/>
        <item x="208"/>
        <item x="247"/>
        <item x="91"/>
        <item x="248"/>
        <item x="146"/>
        <item x="121"/>
        <item x="281"/>
        <item x="115"/>
        <item x="256"/>
        <item x="282"/>
        <item x="167"/>
        <item x="154"/>
        <item x="102"/>
        <item x="238"/>
        <item x="132"/>
        <item x="196"/>
        <item x="75"/>
        <item x="216"/>
        <item x="95"/>
        <item x="29"/>
        <item x="30"/>
        <item x="78"/>
        <item x="112"/>
        <item x="74"/>
        <item x="148"/>
        <item x="47"/>
        <item x="108"/>
        <item x="60"/>
        <item x="1"/>
        <item x="6"/>
        <item x="12"/>
        <item x="38"/>
        <item x="166"/>
        <item x="39"/>
        <item x="161"/>
        <item x="87"/>
        <item x="280"/>
        <item x="120"/>
        <item x="84"/>
        <item x="157"/>
        <item x="107"/>
        <item x="160"/>
        <item x="278"/>
        <item x="168"/>
        <item x="162"/>
        <item x="246"/>
        <item x="267"/>
        <item x="225"/>
        <item x="182"/>
        <item x="105"/>
        <item x="212"/>
        <item x="263"/>
        <item x="15"/>
        <item x="199"/>
        <item x="97"/>
        <item x="46"/>
        <item x="219"/>
        <item x="276"/>
        <item x="200"/>
        <item x="254"/>
        <item x="229"/>
        <item x="203"/>
        <item x="273"/>
        <item x="237"/>
        <item x="140"/>
        <item x="210"/>
        <item x="89"/>
        <item x="69"/>
        <item x="181"/>
        <item x="79"/>
        <item x="151"/>
        <item x="192"/>
        <item t="default"/>
      </items>
    </pivotField>
    <pivotField showAll="0"/>
    <pivotField numFmtId="21" showAll="0"/>
    <pivotField showAll="0"/>
    <pivotField showAll="0">
      <items count="8">
        <item x="6"/>
        <item x="0"/>
        <item x="2"/>
        <item x="1"/>
        <item x="5"/>
        <item x="4"/>
        <item x="3"/>
        <item t="default"/>
      </items>
    </pivotField>
    <pivotField dataField="1"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Sales" fld="16" baseField="0" baseItem="0" numFmtId="164"/>
  </dataFields>
  <formats count="1">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75C7FAB-909B-43B6-8F04-9080C2E2A47D}" sourceName="Occasion">
  <pivotTables>
    <pivotTable tabId="2" name="PivotTable10"/>
    <pivotTable tabId="2" name="PivotTable11"/>
    <pivotTable tabId="2" name="PivotTable12"/>
    <pivotTable tabId="2" name="PivotTable16"/>
    <pivotTable tabId="2" name="PivotTable2"/>
    <pivotTable tabId="2" name="PivotTable3"/>
    <pivotTable tabId="2" name="PivotTable5"/>
    <pivotTable tabId="2" name="PivotTable6"/>
    <pivotTable tabId="2" name="PivotTable7"/>
    <pivotTable tabId="2" name="PivotTable8"/>
  </pivotTables>
  <data>
    <tabular pivotCacheId="1610691588">
      <items count="7">
        <i x="6" s="1"/>
        <i x="0" s="1"/>
        <i x="2" s="1"/>
        <i x="1" s="1"/>
        <i x="5"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9C83A62-E408-4F65-86A7-FD51C7C8F978}" cache="Slicer_Occasion" caption="Occasion" style="SlicerStyleLight6"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9C136D-5981-404C-9F11-D702F1684924}" name="Table2" displayName="Table2" ref="A1:T1001" totalsRowShown="0" headerRowDxfId="31" tableBorderDxfId="52">
  <autoFilter ref="A1:T1001" xr:uid="{5A9C136D-5981-404C-9F11-D702F1684924}"/>
  <tableColumns count="20">
    <tableColumn id="1" xr3:uid="{E4650FC1-89E9-48AF-93C4-D22A83A3C954}" name="Order_ID" dataDxfId="51"/>
    <tableColumn id="2" xr3:uid="{45FD85AC-252E-417C-BCD2-C5175E799E82}" name="Customer_ID" dataDxfId="50"/>
    <tableColumn id="3" xr3:uid="{DCFECE39-9328-4DAC-B04E-012594733E54}" name="Product_ID" dataDxfId="49"/>
    <tableColumn id="4" xr3:uid="{94244981-2609-4112-8FBB-A02702F455BC}" name="Product_name" dataDxfId="48"/>
    <tableColumn id="5" xr3:uid="{576421FF-21AA-4A26-BB84-BD17C79A1B3D}" name="Category" dataDxfId="47"/>
    <tableColumn id="6" xr3:uid="{C0CABACB-D206-46E5-A1BD-D4D4192E85BA}" name="Quantity" dataDxfId="46"/>
    <tableColumn id="7" xr3:uid="{920D4175-1162-4830-8E6E-0FC899232410}" name="Price" dataDxfId="45">
      <calculatedColumnFormula>_xlfn.XLOOKUP(C2,[1]products!$A$2:$A$71,[1]products!$D$2:$D$71)</calculatedColumnFormula>
    </tableColumn>
    <tableColumn id="8" xr3:uid="{6F19A6D2-E698-4885-A01D-DE333AAA8B26}" name="Order_Date" dataDxfId="44"/>
    <tableColumn id="9" xr3:uid="{91DC8988-8AB0-48AD-B702-70BC72CB3A50}" name="Order_Month" dataDxfId="43">
      <calculatedColumnFormula>TEXT(H2,"mmmm")</calculatedColumnFormula>
    </tableColumn>
    <tableColumn id="10" xr3:uid="{77BC488F-FB50-49D7-A585-CE0EC7933C1C}" name="Day" dataDxfId="42">
      <calculatedColumnFormula>TEXT(H2,"dddd")</calculatedColumnFormula>
    </tableColumn>
    <tableColumn id="11" xr3:uid="{CFA4C6F7-9DC0-4F80-8872-921D250FEC6D}" name="Order_Time" dataDxfId="41"/>
    <tableColumn id="12" xr3:uid="{FC307767-25CE-4F65-B393-8CD256CE2803}" name="Delivery_Date" dataDxfId="40"/>
    <tableColumn id="13" xr3:uid="{DADA50B8-4EF4-4049-BC5E-9649607529E6}" name="Hour" dataDxfId="39">
      <calculatedColumnFormula>HOUR(orders!$K2)</calculatedColumnFormula>
    </tableColumn>
    <tableColumn id="14" xr3:uid="{8A2FB358-FEE7-46BA-8B72-2C311B19734F}" name="Delivery_Month" dataDxfId="38">
      <calculatedColumnFormula>TEXT(L2,"mmmm")</calculatedColumnFormula>
    </tableColumn>
    <tableColumn id="15" xr3:uid="{A40D1D48-5992-40A1-B2DC-E7DE7A108768}" name="Delivery_Time" dataDxfId="37"/>
    <tableColumn id="16" xr3:uid="{BE1617C9-DFF0-4EB4-916E-251C5E7D4A38}" name="City" dataDxfId="36">
      <calculatedColumnFormula>_xlfn.XLOOKUP(B2,[2]customers!$A$2:$A$101,[2]customers!$C$2:$C$101)</calculatedColumnFormula>
    </tableColumn>
    <tableColumn id="17" xr3:uid="{9398B07E-D9EE-4C84-8C2A-F63E2035DA2D}" name="Location" dataDxfId="35"/>
    <tableColumn id="18" xr3:uid="{9AC91EF6-2B1F-44FD-A129-FF76C913A087}" name="Occasion" dataDxfId="34"/>
    <tableColumn id="19" xr3:uid="{4D3BD2E4-DE07-45CC-BD88-173274DDC39E}" name="Sales" dataDxfId="33">
      <calculatedColumnFormula>G2*F2</calculatedColumnFormula>
    </tableColumn>
    <tableColumn id="20" xr3:uid="{E97480D3-58D0-4E15-B55C-1E02B6FA8554}" name="Diff_Del_Time" dataDxfId="32">
      <calculatedColumnFormula>L2-H2</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C00EC9C-61D7-4AF2-BD08-8B9B5CBF0279}" sourceName="Order_Date">
  <pivotTables>
    <pivotTable tabId="2" name="PivotTable15"/>
    <pivotTable tabId="2" name="PivotTable9"/>
  </pivotTables>
  <state minimalRefreshVersion="6" lastRefreshVersion="6" pivotCacheId="101797429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elivery_Date" xr10:uid="{A183A3CD-26B3-4BB3-B236-4CEAB926071E}" sourceName="Delivery_Date">
  <pivotTables>
    <pivotTable tabId="2" name="PivotTable15"/>
    <pivotTable tabId="2" name="PivotTable9"/>
  </pivotTables>
  <state minimalRefreshVersion="6" lastRefreshVersion="6" pivotCacheId="101797429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DDFD052-8FA7-4586-8624-932627D71B62}" cache="NativeTimeline_Order_Date" caption="Order_Date" level="2" selectionLevel="2" scrollPosition="2023-01-01T00:00:00" style="TimeSlicerStyleLight6"/>
  <timeline name="Delivery_Date" xr10:uid="{2E45B25F-603B-4E46-BEAE-ECADC8E10F6A}" cache="NativeTimeline_Delivery_Date" caption="Delivery_Date" level="2" selectionLevel="2" scrollPosition="2024-06-06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E2BC3-E04C-4162-9A8E-ACE48DA418DA}">
  <dimension ref="A1"/>
  <sheetViews>
    <sheetView tabSelected="1" workbookViewId="0">
      <selection activeCell="U7" sqref="U7"/>
    </sheetView>
  </sheetViews>
  <sheetFormatPr defaultRowHeight="14.4" x14ac:dyDescent="0.3"/>
  <cols>
    <col min="1" max="16384" width="8.88671875" style="28"/>
  </cols>
  <sheetData/>
  <sheetProtection algorithmName="SHA-512" hashValue="f9s4nUgHFWwLW4HDLAaR8PQ8yeL6ClUsdChGhZo15CnHry5NWRwFwgZi8XhTdIiL8DV38gWBx15sOTeXVsFrVg==" saltValue="Ig+R2j7o0rXthdfvgWR2S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7CD56-3DD0-4907-B592-B4BFBB715D42}">
  <dimension ref="A1:M39"/>
  <sheetViews>
    <sheetView showGridLines="0" zoomScale="90" zoomScaleNormal="90" workbookViewId="0">
      <selection activeCell="G7" sqref="G7"/>
    </sheetView>
  </sheetViews>
  <sheetFormatPr defaultRowHeight="14.4" x14ac:dyDescent="0.3"/>
  <cols>
    <col min="1" max="1" width="15.33203125" bestFit="1" customWidth="1"/>
    <col min="2" max="2" width="15.44140625" bestFit="1" customWidth="1"/>
    <col min="3" max="3" width="6.5546875" customWidth="1"/>
    <col min="4" max="4" width="14.77734375" bestFit="1" customWidth="1"/>
    <col min="5" max="5" width="17.21875" bestFit="1" customWidth="1"/>
    <col min="6" max="6" width="6.109375" customWidth="1"/>
    <col min="7" max="7" width="13.44140625" bestFit="1" customWidth="1"/>
    <col min="8" max="8" width="15.44140625" bestFit="1" customWidth="1"/>
    <col min="9" max="9" width="6.88671875" customWidth="1"/>
    <col min="10" max="10" width="15.33203125" bestFit="1" customWidth="1"/>
    <col min="11" max="11" width="15.44140625" bestFit="1" customWidth="1"/>
    <col min="12" max="12" width="7.44140625" customWidth="1"/>
    <col min="13" max="13" width="15.5546875" bestFit="1" customWidth="1"/>
    <col min="14" max="14" width="17.21875" bestFit="1" customWidth="1"/>
  </cols>
  <sheetData>
    <row r="1" spans="1:13" x14ac:dyDescent="0.3">
      <c r="A1" s="2" t="s">
        <v>501</v>
      </c>
      <c r="B1" t="s">
        <v>500</v>
      </c>
      <c r="D1" s="2" t="s">
        <v>501</v>
      </c>
      <c r="E1" s="5" t="s">
        <v>526</v>
      </c>
      <c r="G1" s="2" t="s">
        <v>501</v>
      </c>
      <c r="H1" t="s">
        <v>500</v>
      </c>
      <c r="J1" s="2" t="s">
        <v>501</v>
      </c>
      <c r="K1" t="s">
        <v>500</v>
      </c>
      <c r="M1" t="s">
        <v>500</v>
      </c>
    </row>
    <row r="2" spans="1:13" x14ac:dyDescent="0.3">
      <c r="A2" s="4" t="s">
        <v>60</v>
      </c>
      <c r="B2" s="1">
        <v>586176</v>
      </c>
      <c r="D2" s="4" t="s">
        <v>265</v>
      </c>
      <c r="E2" s="5">
        <v>18</v>
      </c>
      <c r="G2" s="4" t="s">
        <v>428</v>
      </c>
      <c r="H2" s="1">
        <v>97665</v>
      </c>
      <c r="J2" s="4" t="s">
        <v>502</v>
      </c>
      <c r="K2" s="1">
        <v>95468</v>
      </c>
      <c r="M2" s="1">
        <v>3520984</v>
      </c>
    </row>
    <row r="3" spans="1:13" x14ac:dyDescent="0.3">
      <c r="A3" s="4" t="s">
        <v>12</v>
      </c>
      <c r="B3" s="1">
        <v>674634</v>
      </c>
      <c r="D3" s="4" t="s">
        <v>338</v>
      </c>
      <c r="E3" s="5">
        <v>21</v>
      </c>
      <c r="G3" s="4" t="s">
        <v>441</v>
      </c>
      <c r="H3" s="1">
        <v>90036</v>
      </c>
      <c r="J3" s="4" t="s">
        <v>503</v>
      </c>
      <c r="K3" s="1">
        <v>704509</v>
      </c>
      <c r="M3" s="29">
        <f>GETPIVOTDATA("Sales",$M$1)</f>
        <v>3520984</v>
      </c>
    </row>
    <row r="4" spans="1:13" x14ac:dyDescent="0.3">
      <c r="A4" s="4" t="s">
        <v>20</v>
      </c>
      <c r="B4" s="1">
        <v>408194</v>
      </c>
      <c r="D4" s="4" t="s">
        <v>17</v>
      </c>
      <c r="E4" s="5">
        <v>18</v>
      </c>
      <c r="G4" s="4" t="s">
        <v>491</v>
      </c>
      <c r="H4" s="1">
        <v>106624</v>
      </c>
      <c r="J4" s="4" t="s">
        <v>504</v>
      </c>
      <c r="K4" s="1">
        <v>511823</v>
      </c>
    </row>
    <row r="5" spans="1:13" x14ac:dyDescent="0.3">
      <c r="A5" s="4" t="s">
        <v>15</v>
      </c>
      <c r="B5" s="1">
        <v>313783</v>
      </c>
      <c r="D5" s="4" t="s">
        <v>193</v>
      </c>
      <c r="E5" s="5">
        <v>28</v>
      </c>
      <c r="G5" s="4" t="s">
        <v>466</v>
      </c>
      <c r="H5" s="1">
        <v>97012</v>
      </c>
      <c r="J5" s="4" t="s">
        <v>505</v>
      </c>
      <c r="K5" s="1">
        <v>140393</v>
      </c>
      <c r="M5" t="s">
        <v>515</v>
      </c>
    </row>
    <row r="6" spans="1:13" x14ac:dyDescent="0.3">
      <c r="A6" s="4" t="s">
        <v>36</v>
      </c>
      <c r="B6" s="1">
        <v>574682</v>
      </c>
      <c r="D6" s="4" t="s">
        <v>361</v>
      </c>
      <c r="E6" s="5">
        <v>21</v>
      </c>
      <c r="G6" s="4" t="s">
        <v>465</v>
      </c>
      <c r="H6" s="1">
        <v>96701</v>
      </c>
      <c r="J6" s="4" t="s">
        <v>506</v>
      </c>
      <c r="K6" s="1">
        <v>150346</v>
      </c>
      <c r="M6" s="1">
        <v>3520.9839999999999</v>
      </c>
    </row>
    <row r="7" spans="1:13" x14ac:dyDescent="0.3">
      <c r="A7" s="4" t="s">
        <v>26</v>
      </c>
      <c r="B7" s="1">
        <v>631585</v>
      </c>
      <c r="D7" s="4" t="s">
        <v>286</v>
      </c>
      <c r="E7" s="5">
        <v>20</v>
      </c>
      <c r="G7" s="4" t="s">
        <v>480</v>
      </c>
      <c r="H7" s="1">
        <v>101556</v>
      </c>
      <c r="J7" s="4" t="s">
        <v>507</v>
      </c>
      <c r="K7" s="1">
        <v>157913</v>
      </c>
      <c r="M7" s="1">
        <f>GETPIVOTDATA("Sales",$M$5)</f>
        <v>3520.9839999999999</v>
      </c>
    </row>
    <row r="8" spans="1:13" x14ac:dyDescent="0.3">
      <c r="A8" s="4" t="s">
        <v>23</v>
      </c>
      <c r="B8" s="1">
        <v>331930</v>
      </c>
      <c r="D8" s="4" t="s">
        <v>528</v>
      </c>
      <c r="E8" s="5">
        <v>24</v>
      </c>
      <c r="G8" s="4" t="s">
        <v>479</v>
      </c>
      <c r="H8" s="1">
        <v>121905</v>
      </c>
      <c r="J8" s="4" t="s">
        <v>508</v>
      </c>
      <c r="K8" s="1">
        <v>135826</v>
      </c>
    </row>
    <row r="9" spans="1:13" x14ac:dyDescent="0.3">
      <c r="A9" s="4" t="s">
        <v>514</v>
      </c>
      <c r="B9" s="1">
        <v>3520984</v>
      </c>
      <c r="D9" s="4" t="s">
        <v>307</v>
      </c>
      <c r="E9" s="5">
        <v>29</v>
      </c>
      <c r="G9" s="4" t="s">
        <v>462</v>
      </c>
      <c r="H9" s="1">
        <v>91385</v>
      </c>
      <c r="J9" s="4" t="s">
        <v>509</v>
      </c>
      <c r="K9" s="1">
        <v>737389</v>
      </c>
      <c r="M9" s="3" t="s">
        <v>526</v>
      </c>
    </row>
    <row r="10" spans="1:13" x14ac:dyDescent="0.3">
      <c r="D10" s="4" t="s">
        <v>333</v>
      </c>
      <c r="E10" s="5">
        <v>27</v>
      </c>
      <c r="G10" s="4" t="s">
        <v>492</v>
      </c>
      <c r="H10" s="1">
        <v>97656</v>
      </c>
      <c r="J10" s="4" t="s">
        <v>510</v>
      </c>
      <c r="K10" s="1">
        <v>136938</v>
      </c>
      <c r="M10" s="3">
        <v>1000</v>
      </c>
    </row>
    <row r="11" spans="1:13" x14ac:dyDescent="0.3">
      <c r="D11" s="4" t="s">
        <v>323</v>
      </c>
      <c r="E11" s="5">
        <v>19</v>
      </c>
      <c r="G11" s="4" t="s">
        <v>436</v>
      </c>
      <c r="H11" s="1">
        <v>114476</v>
      </c>
      <c r="J11" s="4" t="s">
        <v>511</v>
      </c>
      <c r="K11" s="1">
        <v>151619</v>
      </c>
      <c r="M11">
        <f>GETPIVOTDATA("Order_ID",$M$9)</f>
        <v>1000</v>
      </c>
    </row>
    <row r="12" spans="1:13" x14ac:dyDescent="0.3">
      <c r="A12" s="2" t="s">
        <v>501</v>
      </c>
      <c r="B12" t="s">
        <v>500</v>
      </c>
      <c r="D12" s="4" t="s">
        <v>514</v>
      </c>
      <c r="E12" s="5">
        <v>225</v>
      </c>
      <c r="G12" s="4" t="s">
        <v>514</v>
      </c>
      <c r="H12" s="1">
        <v>1015016</v>
      </c>
      <c r="J12" s="4" t="s">
        <v>512</v>
      </c>
      <c r="K12" s="1">
        <v>449169</v>
      </c>
    </row>
    <row r="13" spans="1:13" x14ac:dyDescent="0.3">
      <c r="A13" s="4" t="s">
        <v>516</v>
      </c>
      <c r="B13" s="1">
        <v>628138</v>
      </c>
      <c r="J13" s="4" t="s">
        <v>513</v>
      </c>
      <c r="K13" s="1">
        <v>149591</v>
      </c>
      <c r="M13" t="s">
        <v>525</v>
      </c>
    </row>
    <row r="14" spans="1:13" x14ac:dyDescent="0.3">
      <c r="A14" s="4" t="s">
        <v>517</v>
      </c>
      <c r="B14" s="1">
        <v>461670</v>
      </c>
      <c r="G14" s="2" t="s">
        <v>501</v>
      </c>
      <c r="H14" s="5" t="s">
        <v>500</v>
      </c>
      <c r="J14" s="4" t="s">
        <v>514</v>
      </c>
      <c r="K14" s="1">
        <v>3520984</v>
      </c>
      <c r="M14" s="3">
        <v>5.53</v>
      </c>
    </row>
    <row r="15" spans="1:13" x14ac:dyDescent="0.3">
      <c r="A15" s="4" t="s">
        <v>518</v>
      </c>
      <c r="B15" s="1">
        <v>677223</v>
      </c>
      <c r="D15" s="2" t="s">
        <v>501</v>
      </c>
      <c r="E15" t="s">
        <v>500</v>
      </c>
      <c r="G15" s="4">
        <v>0</v>
      </c>
      <c r="H15" s="1">
        <v>99400</v>
      </c>
      <c r="M15">
        <f>GETPIVOTDATA("Diff_Del_Time",$M$13)</f>
        <v>5.53</v>
      </c>
    </row>
    <row r="16" spans="1:13" ht="15" thickBot="1" x14ac:dyDescent="0.35">
      <c r="A16" s="4" t="s">
        <v>519</v>
      </c>
      <c r="B16" s="1">
        <v>415192</v>
      </c>
      <c r="D16" s="4" t="s">
        <v>60</v>
      </c>
      <c r="E16" s="1">
        <v>586176</v>
      </c>
      <c r="G16" s="4">
        <v>1</v>
      </c>
      <c r="H16" s="1">
        <v>129309</v>
      </c>
      <c r="J16" s="2" t="s">
        <v>501</v>
      </c>
      <c r="K16" t="s">
        <v>500</v>
      </c>
    </row>
    <row r="17" spans="1:13" ht="15" thickBot="1" x14ac:dyDescent="0.35">
      <c r="A17" s="4" t="s">
        <v>520</v>
      </c>
      <c r="B17" s="1">
        <v>418354</v>
      </c>
      <c r="D17" s="4" t="s">
        <v>12</v>
      </c>
      <c r="E17" s="1">
        <v>674634</v>
      </c>
      <c r="G17" s="4">
        <v>2</v>
      </c>
      <c r="H17" s="1">
        <v>152940</v>
      </c>
      <c r="J17" s="4" t="s">
        <v>431</v>
      </c>
      <c r="K17" s="1">
        <v>329862</v>
      </c>
      <c r="M17" s="6" t="s">
        <v>529</v>
      </c>
    </row>
    <row r="18" spans="1:13" ht="15" thickBot="1" x14ac:dyDescent="0.35">
      <c r="A18" s="4" t="s">
        <v>521</v>
      </c>
      <c r="B18" s="1">
        <v>475447</v>
      </c>
      <c r="D18" s="4" t="s">
        <v>20</v>
      </c>
      <c r="E18" s="1">
        <v>408194</v>
      </c>
      <c r="G18" s="4">
        <v>3</v>
      </c>
      <c r="H18" s="1">
        <v>146810</v>
      </c>
      <c r="J18" s="4" t="s">
        <v>429</v>
      </c>
      <c r="K18" s="1">
        <v>1005645</v>
      </c>
      <c r="M18" s="7">
        <f>CORREL(orders!$F$2:$F$1001,orders!$T$2:$T$1001)</f>
        <v>3.4781737193018314E-3</v>
      </c>
    </row>
    <row r="19" spans="1:13" x14ac:dyDescent="0.3">
      <c r="A19" s="4" t="s">
        <v>522</v>
      </c>
      <c r="B19" s="1">
        <v>444960</v>
      </c>
      <c r="D19" s="4" t="s">
        <v>15</v>
      </c>
      <c r="E19" s="1">
        <v>313783</v>
      </c>
      <c r="G19" s="4">
        <v>4</v>
      </c>
      <c r="H19" s="1">
        <v>114700</v>
      </c>
      <c r="J19" s="4" t="s">
        <v>458</v>
      </c>
      <c r="K19" s="1">
        <v>201151</v>
      </c>
    </row>
    <row r="20" spans="1:13" x14ac:dyDescent="0.3">
      <c r="A20" s="4" t="s">
        <v>514</v>
      </c>
      <c r="B20" s="1">
        <v>3520984</v>
      </c>
      <c r="D20" s="4" t="s">
        <v>36</v>
      </c>
      <c r="E20" s="1">
        <v>574682</v>
      </c>
      <c r="G20" s="4">
        <v>5</v>
      </c>
      <c r="H20" s="1">
        <v>156198</v>
      </c>
      <c r="J20" s="4" t="s">
        <v>447</v>
      </c>
      <c r="K20" s="1">
        <v>212281</v>
      </c>
    </row>
    <row r="21" spans="1:13" x14ac:dyDescent="0.3">
      <c r="D21" s="4" t="s">
        <v>26</v>
      </c>
      <c r="E21" s="1">
        <v>631585</v>
      </c>
      <c r="G21" s="4">
        <v>6</v>
      </c>
      <c r="H21" s="1">
        <v>177211</v>
      </c>
      <c r="J21" s="4" t="s">
        <v>26</v>
      </c>
      <c r="K21" s="1">
        <v>297372</v>
      </c>
    </row>
    <row r="22" spans="1:13" x14ac:dyDescent="0.3">
      <c r="A22" s="2" t="s">
        <v>501</v>
      </c>
      <c r="B22" t="s">
        <v>500</v>
      </c>
      <c r="D22" s="4" t="s">
        <v>23</v>
      </c>
      <c r="E22" s="1">
        <v>331930</v>
      </c>
      <c r="G22" s="4">
        <v>7</v>
      </c>
      <c r="H22" s="1">
        <v>147749</v>
      </c>
      <c r="J22" s="4" t="s">
        <v>445</v>
      </c>
      <c r="K22" s="1">
        <v>740831</v>
      </c>
    </row>
    <row r="23" spans="1:13" x14ac:dyDescent="0.3">
      <c r="A23" s="4" t="s">
        <v>523</v>
      </c>
      <c r="B23" s="1">
        <v>3502005</v>
      </c>
      <c r="D23" s="4" t="s">
        <v>514</v>
      </c>
      <c r="E23" s="1">
        <v>3520984</v>
      </c>
      <c r="G23" s="4">
        <v>8</v>
      </c>
      <c r="H23" s="1">
        <v>133617</v>
      </c>
      <c r="J23" s="4" t="s">
        <v>427</v>
      </c>
      <c r="K23" s="1">
        <v>733842</v>
      </c>
    </row>
    <row r="24" spans="1:13" x14ac:dyDescent="0.3">
      <c r="A24" s="4" t="s">
        <v>524</v>
      </c>
      <c r="B24" s="1">
        <v>18979</v>
      </c>
      <c r="G24" s="4">
        <v>9</v>
      </c>
      <c r="H24" s="1">
        <v>153678</v>
      </c>
      <c r="J24" s="4" t="s">
        <v>514</v>
      </c>
      <c r="K24" s="1">
        <v>3520984</v>
      </c>
    </row>
    <row r="25" spans="1:13" x14ac:dyDescent="0.3">
      <c r="A25" s="4" t="s">
        <v>514</v>
      </c>
      <c r="B25" s="1">
        <v>3520984</v>
      </c>
      <c r="G25" s="4">
        <v>10</v>
      </c>
      <c r="H25" s="1">
        <v>94985</v>
      </c>
    </row>
    <row r="26" spans="1:13" x14ac:dyDescent="0.3">
      <c r="G26" s="4">
        <v>11</v>
      </c>
      <c r="H26" s="1">
        <v>130287</v>
      </c>
    </row>
    <row r="27" spans="1:13" x14ac:dyDescent="0.3">
      <c r="G27" s="4">
        <v>12</v>
      </c>
      <c r="H27" s="1">
        <v>162394</v>
      </c>
    </row>
    <row r="28" spans="1:13" x14ac:dyDescent="0.3">
      <c r="G28" s="4">
        <v>13</v>
      </c>
      <c r="H28" s="1">
        <v>152340</v>
      </c>
    </row>
    <row r="29" spans="1:13" x14ac:dyDescent="0.3">
      <c r="G29" s="4">
        <v>14</v>
      </c>
      <c r="H29" s="1">
        <v>126406</v>
      </c>
    </row>
    <row r="30" spans="1:13" x14ac:dyDescent="0.3">
      <c r="G30" s="4">
        <v>15</v>
      </c>
      <c r="H30" s="1">
        <v>163586</v>
      </c>
    </row>
    <row r="31" spans="1:13" x14ac:dyDescent="0.3">
      <c r="G31" s="4">
        <v>16</v>
      </c>
      <c r="H31" s="1">
        <v>128797</v>
      </c>
    </row>
    <row r="32" spans="1:13" x14ac:dyDescent="0.3">
      <c r="G32" s="4">
        <v>17</v>
      </c>
      <c r="H32" s="1">
        <v>155373</v>
      </c>
    </row>
    <row r="33" spans="7:8" x14ac:dyDescent="0.3">
      <c r="G33" s="4">
        <v>18</v>
      </c>
      <c r="H33" s="1">
        <v>173118</v>
      </c>
    </row>
    <row r="34" spans="7:8" x14ac:dyDescent="0.3">
      <c r="G34" s="4">
        <v>19</v>
      </c>
      <c r="H34" s="1">
        <v>185771</v>
      </c>
    </row>
    <row r="35" spans="7:8" x14ac:dyDescent="0.3">
      <c r="G35" s="4">
        <v>20</v>
      </c>
      <c r="H35" s="1">
        <v>186426</v>
      </c>
    </row>
    <row r="36" spans="7:8" x14ac:dyDescent="0.3">
      <c r="G36" s="4">
        <v>21</v>
      </c>
      <c r="H36" s="1">
        <v>155466</v>
      </c>
    </row>
    <row r="37" spans="7:8" x14ac:dyDescent="0.3">
      <c r="G37" s="4">
        <v>22</v>
      </c>
      <c r="H37" s="1">
        <v>125912</v>
      </c>
    </row>
    <row r="38" spans="7:8" x14ac:dyDescent="0.3">
      <c r="G38" s="4">
        <v>23</v>
      </c>
      <c r="H38" s="1">
        <v>168511</v>
      </c>
    </row>
    <row r="39" spans="7:8" x14ac:dyDescent="0.3">
      <c r="G39" s="4" t="s">
        <v>514</v>
      </c>
      <c r="H39" s="1">
        <v>3520984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7B436-1468-425B-8460-BA109D945693}">
  <dimension ref="A1:T1001"/>
  <sheetViews>
    <sheetView workbookViewId="0">
      <selection sqref="A1:T1001"/>
    </sheetView>
  </sheetViews>
  <sheetFormatPr defaultRowHeight="14.4" x14ac:dyDescent="0.3"/>
  <cols>
    <col min="1" max="1" width="10.44140625" customWidth="1"/>
    <col min="2" max="2" width="13.77734375" customWidth="1"/>
    <col min="3" max="3" width="12.33203125" customWidth="1"/>
    <col min="4" max="4" width="17.77734375" bestFit="1" customWidth="1"/>
    <col min="5" max="5" width="14.44140625" bestFit="1" customWidth="1"/>
    <col min="6" max="6" width="10.21875" customWidth="1"/>
    <col min="7" max="7" width="10.33203125" bestFit="1" customWidth="1"/>
    <col min="8" max="8" width="12.5546875" customWidth="1"/>
    <col min="9" max="9" width="14.44140625" customWidth="1"/>
    <col min="10" max="10" width="10.44140625" bestFit="1" customWidth="1"/>
    <col min="11" max="11" width="12.77734375" customWidth="1"/>
    <col min="12" max="13" width="14.5546875" customWidth="1"/>
    <col min="14" max="14" width="16.44140625" customWidth="1"/>
    <col min="15" max="15" width="14.77734375" customWidth="1"/>
    <col min="16" max="16" width="12.88671875" customWidth="1"/>
    <col min="17" max="17" width="24.6640625" bestFit="1" customWidth="1"/>
    <col min="18" max="18" width="14.44140625" bestFit="1" customWidth="1"/>
    <col min="19" max="19" width="10.33203125" bestFit="1" customWidth="1"/>
    <col min="20" max="20" width="14.6640625" customWidth="1"/>
  </cols>
  <sheetData>
    <row r="1" spans="1:20" ht="15" thickBot="1" x14ac:dyDescent="0.35">
      <c r="A1" s="26" t="s">
        <v>0</v>
      </c>
      <c r="B1" s="26" t="s">
        <v>1</v>
      </c>
      <c r="C1" s="26" t="s">
        <v>2</v>
      </c>
      <c r="D1" s="26" t="s">
        <v>423</v>
      </c>
      <c r="E1" s="26" t="s">
        <v>424</v>
      </c>
      <c r="F1" s="26" t="s">
        <v>3</v>
      </c>
      <c r="G1" s="26" t="s">
        <v>418</v>
      </c>
      <c r="H1" s="26" t="s">
        <v>4</v>
      </c>
      <c r="I1" s="26" t="s">
        <v>421</v>
      </c>
      <c r="J1" s="26" t="s">
        <v>499</v>
      </c>
      <c r="K1" s="26" t="s">
        <v>5</v>
      </c>
      <c r="L1" s="26" t="s">
        <v>6</v>
      </c>
      <c r="M1" s="26" t="s">
        <v>530</v>
      </c>
      <c r="N1" s="26" t="s">
        <v>422</v>
      </c>
      <c r="O1" s="26" t="s">
        <v>7</v>
      </c>
      <c r="P1" s="26" t="s">
        <v>527</v>
      </c>
      <c r="Q1" s="26" t="s">
        <v>8</v>
      </c>
      <c r="R1" s="26" t="s">
        <v>9</v>
      </c>
      <c r="S1" s="26" t="s">
        <v>419</v>
      </c>
      <c r="T1" s="27" t="s">
        <v>420</v>
      </c>
    </row>
    <row r="2" spans="1:20" x14ac:dyDescent="0.3">
      <c r="A2" s="8">
        <v>1</v>
      </c>
      <c r="B2" s="8" t="s">
        <v>10</v>
      </c>
      <c r="C2" s="8">
        <v>67</v>
      </c>
      <c r="D2" s="8" t="s">
        <v>425</v>
      </c>
      <c r="E2" s="8" t="s">
        <v>26</v>
      </c>
      <c r="F2" s="8">
        <v>5</v>
      </c>
      <c r="G2" s="9">
        <f>_xlfn.XLOOKUP(C2,[1]products!$A$2:$A$71,[1]products!$D$2:$D$71)</f>
        <v>1374</v>
      </c>
      <c r="H2" s="10">
        <v>44981</v>
      </c>
      <c r="I2" s="10" t="str">
        <f>TEXT(H2,"mmmm")</f>
        <v>February</v>
      </c>
      <c r="J2" s="10" t="str">
        <f>TEXT(H2,"dddd")</f>
        <v>Friday</v>
      </c>
      <c r="K2" s="11">
        <v>0.99181712962962953</v>
      </c>
      <c r="L2" s="10">
        <v>44990</v>
      </c>
      <c r="M2" s="12">
        <f>HOUR(orders!$K2)</f>
        <v>23</v>
      </c>
      <c r="N2" s="10" t="str">
        <f>TEXT(L2,"mmmm")</f>
        <v>March</v>
      </c>
      <c r="O2" s="11">
        <v>0.3105324074074074</v>
      </c>
      <c r="P2" s="11" t="str">
        <f>_xlfn.XLOOKUP(B2,[2]customers!$A$2:$A$101,[2]customers!$C$2:$C$101)</f>
        <v>Davanagere</v>
      </c>
      <c r="Q2" s="8" t="s">
        <v>11</v>
      </c>
      <c r="R2" s="8" t="s">
        <v>12</v>
      </c>
      <c r="S2" s="9">
        <f>G2*F2</f>
        <v>6870</v>
      </c>
      <c r="T2" s="13">
        <f>L2-H2</f>
        <v>9</v>
      </c>
    </row>
    <row r="3" spans="1:20" x14ac:dyDescent="0.3">
      <c r="A3" s="14">
        <v>2</v>
      </c>
      <c r="B3" s="14" t="s">
        <v>13</v>
      </c>
      <c r="C3" s="14">
        <v>41</v>
      </c>
      <c r="D3" s="14" t="s">
        <v>426</v>
      </c>
      <c r="E3" s="14" t="s">
        <v>427</v>
      </c>
      <c r="F3" s="14">
        <v>2</v>
      </c>
      <c r="G3" s="15">
        <f>_xlfn.XLOOKUP(C3,[1]products!$A$2:$A$71,[1]products!$D$2:$D$71)</f>
        <v>1977</v>
      </c>
      <c r="H3" s="16">
        <v>45237</v>
      </c>
      <c r="I3" s="16" t="str">
        <f t="shared" ref="I3:I66" si="0">TEXT(H3,"mmmm")</f>
        <v>November</v>
      </c>
      <c r="J3" s="16" t="str">
        <f t="shared" ref="J3:J66" si="1">TEXT(H3,"dddd")</f>
        <v>Tuesday</v>
      </c>
      <c r="K3" s="17">
        <v>0.979375</v>
      </c>
      <c r="L3" s="16">
        <v>45243</v>
      </c>
      <c r="M3" s="18">
        <f>HOUR(orders!$K3)</f>
        <v>23</v>
      </c>
      <c r="N3" s="16" t="str">
        <f t="shared" ref="N3:N66" si="2">TEXT(L3,"mmmm")</f>
        <v>November</v>
      </c>
      <c r="O3" s="17">
        <v>0.30297453703703703</v>
      </c>
      <c r="P3" s="17" t="str">
        <f>_xlfn.XLOOKUP(B3,[2]customers!$A$2:$A$101,[2]customers!$C$2:$C$101)</f>
        <v>Danapur</v>
      </c>
      <c r="Q3" s="14" t="s">
        <v>14</v>
      </c>
      <c r="R3" s="14" t="s">
        <v>15</v>
      </c>
      <c r="S3" s="15">
        <f t="shared" ref="S3:S66" si="3">G3*F3</f>
        <v>3954</v>
      </c>
      <c r="T3" s="19">
        <f t="shared" ref="T3:T66" si="4">L3-H3</f>
        <v>6</v>
      </c>
    </row>
    <row r="4" spans="1:20" x14ac:dyDescent="0.3">
      <c r="A4" s="20">
        <v>3</v>
      </c>
      <c r="B4" s="20" t="s">
        <v>16</v>
      </c>
      <c r="C4" s="20">
        <v>67</v>
      </c>
      <c r="D4" s="20" t="s">
        <v>425</v>
      </c>
      <c r="E4" s="20" t="s">
        <v>26</v>
      </c>
      <c r="F4" s="20">
        <v>5</v>
      </c>
      <c r="G4" s="21">
        <f>_xlfn.XLOOKUP(C4,[1]products!$A$2:$A$71,[1]products!$D$2:$D$71)</f>
        <v>1374</v>
      </c>
      <c r="H4" s="22">
        <v>45121</v>
      </c>
      <c r="I4" s="22" t="str">
        <f t="shared" si="0"/>
        <v>July</v>
      </c>
      <c r="J4" s="22" t="str">
        <f t="shared" si="1"/>
        <v>Friday</v>
      </c>
      <c r="K4" s="23">
        <v>0.80003472222222216</v>
      </c>
      <c r="L4" s="22">
        <v>45126</v>
      </c>
      <c r="M4" s="24">
        <f>HOUR(orders!$K4)</f>
        <v>19</v>
      </c>
      <c r="N4" s="22" t="str">
        <f t="shared" si="2"/>
        <v>July</v>
      </c>
      <c r="O4" s="23">
        <v>0.73541666666666661</v>
      </c>
      <c r="P4" s="23" t="str">
        <f>_xlfn.XLOOKUP(B4,[2]customers!$A$2:$A$101,[2]customers!$C$2:$C$101)</f>
        <v>Haridwar</v>
      </c>
      <c r="Q4" s="20" t="s">
        <v>17</v>
      </c>
      <c r="R4" s="20" t="s">
        <v>12</v>
      </c>
      <c r="S4" s="21">
        <f t="shared" si="3"/>
        <v>6870</v>
      </c>
      <c r="T4" s="25">
        <f t="shared" si="4"/>
        <v>5</v>
      </c>
    </row>
    <row r="5" spans="1:20" x14ac:dyDescent="0.3">
      <c r="A5" s="14">
        <v>4</v>
      </c>
      <c r="B5" s="14" t="s">
        <v>18</v>
      </c>
      <c r="C5" s="14">
        <v>14</v>
      </c>
      <c r="D5" s="14" t="s">
        <v>428</v>
      </c>
      <c r="E5" s="14" t="s">
        <v>429</v>
      </c>
      <c r="F5" s="14">
        <v>5</v>
      </c>
      <c r="G5" s="15">
        <f>_xlfn.XLOOKUP(C5,[1]products!$A$2:$A$71,[1]products!$D$2:$D$71)</f>
        <v>1915</v>
      </c>
      <c r="H5" s="16">
        <v>45117</v>
      </c>
      <c r="I5" s="16" t="str">
        <f t="shared" si="0"/>
        <v>July</v>
      </c>
      <c r="J5" s="16" t="str">
        <f t="shared" si="1"/>
        <v>Monday</v>
      </c>
      <c r="K5" s="17">
        <v>0.19755787037037034</v>
      </c>
      <c r="L5" s="16">
        <v>45126</v>
      </c>
      <c r="M5" s="18">
        <f>HOUR(orders!$K5)</f>
        <v>4</v>
      </c>
      <c r="N5" s="16" t="str">
        <f t="shared" si="2"/>
        <v>July</v>
      </c>
      <c r="O5" s="17">
        <v>0.27318287037037037</v>
      </c>
      <c r="P5" s="17" t="str">
        <f>_xlfn.XLOOKUP(B5,[2]customers!$A$2:$A$101,[2]customers!$C$2:$C$101)</f>
        <v>Bilaspur</v>
      </c>
      <c r="Q5" s="14" t="s">
        <v>19</v>
      </c>
      <c r="R5" s="14" t="s">
        <v>20</v>
      </c>
      <c r="S5" s="15">
        <f t="shared" si="3"/>
        <v>9575</v>
      </c>
      <c r="T5" s="19">
        <f t="shared" si="4"/>
        <v>9</v>
      </c>
    </row>
    <row r="6" spans="1:20" x14ac:dyDescent="0.3">
      <c r="A6" s="20">
        <v>5</v>
      </c>
      <c r="B6" s="20" t="s">
        <v>21</v>
      </c>
      <c r="C6" s="20">
        <v>58</v>
      </c>
      <c r="D6" s="20" t="s">
        <v>430</v>
      </c>
      <c r="E6" s="20" t="s">
        <v>431</v>
      </c>
      <c r="F6" s="20">
        <v>2</v>
      </c>
      <c r="G6" s="21">
        <f>_xlfn.XLOOKUP(C6,[1]products!$A$2:$A$71,[1]products!$D$2:$D$71)</f>
        <v>1492</v>
      </c>
      <c r="H6" s="22">
        <v>44968</v>
      </c>
      <c r="I6" s="22" t="str">
        <f t="shared" si="0"/>
        <v>February</v>
      </c>
      <c r="J6" s="22" t="str">
        <f t="shared" si="1"/>
        <v>Saturday</v>
      </c>
      <c r="K6" s="23">
        <v>0.82277777777777772</v>
      </c>
      <c r="L6" s="22">
        <v>44975</v>
      </c>
      <c r="M6" s="24">
        <f>HOUR(orders!$K6)</f>
        <v>19</v>
      </c>
      <c r="N6" s="22" t="str">
        <f t="shared" si="2"/>
        <v>February</v>
      </c>
      <c r="O6" s="23">
        <v>0.46449074074074076</v>
      </c>
      <c r="P6" s="23" t="str">
        <f>_xlfn.XLOOKUP(B6,[2]customers!$A$2:$A$101,[2]customers!$C$2:$C$101)</f>
        <v>Bhubaneswar</v>
      </c>
      <c r="Q6" s="20" t="s">
        <v>22</v>
      </c>
      <c r="R6" s="20" t="s">
        <v>23</v>
      </c>
      <c r="S6" s="21">
        <f t="shared" si="3"/>
        <v>2984</v>
      </c>
      <c r="T6" s="25">
        <f t="shared" si="4"/>
        <v>7</v>
      </c>
    </row>
    <row r="7" spans="1:20" x14ac:dyDescent="0.3">
      <c r="A7" s="14">
        <v>6</v>
      </c>
      <c r="B7" s="14" t="s">
        <v>24</v>
      </c>
      <c r="C7" s="14">
        <v>28</v>
      </c>
      <c r="D7" s="14" t="s">
        <v>432</v>
      </c>
      <c r="E7" s="14" t="s">
        <v>427</v>
      </c>
      <c r="F7" s="14">
        <v>4</v>
      </c>
      <c r="G7" s="15">
        <f>_xlfn.XLOOKUP(C7,[1]products!$A$2:$A$71,[1]products!$D$2:$D$71)</f>
        <v>1778</v>
      </c>
      <c r="H7" s="16">
        <v>45158</v>
      </c>
      <c r="I7" s="16" t="str">
        <f t="shared" si="0"/>
        <v>August</v>
      </c>
      <c r="J7" s="16" t="str">
        <f t="shared" si="1"/>
        <v>Sunday</v>
      </c>
      <c r="K7" s="17">
        <v>0.92471064814814818</v>
      </c>
      <c r="L7" s="16">
        <v>45164</v>
      </c>
      <c r="M7" s="18">
        <f>HOUR(orders!$K7)</f>
        <v>22</v>
      </c>
      <c r="N7" s="16" t="str">
        <f t="shared" si="2"/>
        <v>August</v>
      </c>
      <c r="O7" s="17">
        <v>0.79636574074074085</v>
      </c>
      <c r="P7" s="17" t="str">
        <f>_xlfn.XLOOKUP(B7,[2]customers!$A$2:$A$101,[2]customers!$C$2:$C$101)</f>
        <v>Pallavaram</v>
      </c>
      <c r="Q7" s="14" t="s">
        <v>25</v>
      </c>
      <c r="R7" s="14" t="s">
        <v>26</v>
      </c>
      <c r="S7" s="15">
        <f t="shared" si="3"/>
        <v>7112</v>
      </c>
      <c r="T7" s="19">
        <f t="shared" si="4"/>
        <v>6</v>
      </c>
    </row>
    <row r="8" spans="1:20" x14ac:dyDescent="0.3">
      <c r="A8" s="20">
        <v>7</v>
      </c>
      <c r="B8" s="20" t="s">
        <v>27</v>
      </c>
      <c r="C8" s="20">
        <v>45</v>
      </c>
      <c r="D8" s="20" t="s">
        <v>433</v>
      </c>
      <c r="E8" s="20" t="s">
        <v>26</v>
      </c>
      <c r="F8" s="20">
        <v>2</v>
      </c>
      <c r="G8" s="21">
        <f>_xlfn.XLOOKUP(C8,[1]products!$A$2:$A$71,[1]products!$D$2:$D$71)</f>
        <v>722</v>
      </c>
      <c r="H8" s="22">
        <v>45054</v>
      </c>
      <c r="I8" s="22" t="str">
        <f t="shared" si="0"/>
        <v>May</v>
      </c>
      <c r="J8" s="22" t="str">
        <f t="shared" si="1"/>
        <v>Monday</v>
      </c>
      <c r="K8" s="23">
        <v>7.3067129629629635E-2</v>
      </c>
      <c r="L8" s="22">
        <v>45059</v>
      </c>
      <c r="M8" s="24">
        <f>HOUR(orders!$K8)</f>
        <v>1</v>
      </c>
      <c r="N8" s="22" t="str">
        <f t="shared" si="2"/>
        <v>May</v>
      </c>
      <c r="O8" s="23">
        <v>0.42172453703703705</v>
      </c>
      <c r="P8" s="23" t="str">
        <f>_xlfn.XLOOKUP(B8,[2]customers!$A$2:$A$101,[2]customers!$C$2:$C$101)</f>
        <v>Madurai</v>
      </c>
      <c r="Q8" s="20" t="s">
        <v>28</v>
      </c>
      <c r="R8" s="20" t="s">
        <v>20</v>
      </c>
      <c r="S8" s="21">
        <f t="shared" si="3"/>
        <v>1444</v>
      </c>
      <c r="T8" s="25">
        <f t="shared" si="4"/>
        <v>5</v>
      </c>
    </row>
    <row r="9" spans="1:20" x14ac:dyDescent="0.3">
      <c r="A9" s="14">
        <v>8</v>
      </c>
      <c r="B9" s="14" t="s">
        <v>29</v>
      </c>
      <c r="C9" s="14">
        <v>43</v>
      </c>
      <c r="D9" s="14" t="s">
        <v>434</v>
      </c>
      <c r="E9" s="14" t="s">
        <v>26</v>
      </c>
      <c r="F9" s="14">
        <v>3</v>
      </c>
      <c r="G9" s="15">
        <f>_xlfn.XLOOKUP(C9,[1]products!$A$2:$A$71,[1]products!$D$2:$D$71)</f>
        <v>750</v>
      </c>
      <c r="H9" s="16">
        <v>45238</v>
      </c>
      <c r="I9" s="16" t="str">
        <f t="shared" si="0"/>
        <v>November</v>
      </c>
      <c r="J9" s="16" t="str">
        <f t="shared" si="1"/>
        <v>Wednesday</v>
      </c>
      <c r="K9" s="17">
        <v>0.80557870370370377</v>
      </c>
      <c r="L9" s="16">
        <v>45244</v>
      </c>
      <c r="M9" s="18">
        <f>HOUR(orders!$K9)</f>
        <v>19</v>
      </c>
      <c r="N9" s="16" t="str">
        <f t="shared" si="2"/>
        <v>November</v>
      </c>
      <c r="O9" s="17">
        <v>0.36440972222222223</v>
      </c>
      <c r="P9" s="17" t="str">
        <f>_xlfn.XLOOKUP(B9,[2]customers!$A$2:$A$101,[2]customers!$C$2:$C$101)</f>
        <v>Sri Ganganagar</v>
      </c>
      <c r="Q9" s="14" t="s">
        <v>30</v>
      </c>
      <c r="R9" s="14" t="s">
        <v>15</v>
      </c>
      <c r="S9" s="15">
        <f t="shared" si="3"/>
        <v>2250</v>
      </c>
      <c r="T9" s="19">
        <f t="shared" si="4"/>
        <v>6</v>
      </c>
    </row>
    <row r="10" spans="1:20" x14ac:dyDescent="0.3">
      <c r="A10" s="20">
        <v>9</v>
      </c>
      <c r="B10" s="20" t="s">
        <v>31</v>
      </c>
      <c r="C10" s="20">
        <v>27</v>
      </c>
      <c r="D10" s="20" t="s">
        <v>435</v>
      </c>
      <c r="E10" s="20" t="s">
        <v>431</v>
      </c>
      <c r="F10" s="20">
        <v>4</v>
      </c>
      <c r="G10" s="21">
        <f>_xlfn.XLOOKUP(C10,[1]products!$A$2:$A$71,[1]products!$D$2:$D$71)</f>
        <v>548</v>
      </c>
      <c r="H10" s="22">
        <v>45158</v>
      </c>
      <c r="I10" s="22" t="str">
        <f t="shared" si="0"/>
        <v>August</v>
      </c>
      <c r="J10" s="22" t="str">
        <f t="shared" si="1"/>
        <v>Sunday</v>
      </c>
      <c r="K10" s="23">
        <v>0.98600694444444448</v>
      </c>
      <c r="L10" s="22">
        <v>45167</v>
      </c>
      <c r="M10" s="24">
        <f>HOUR(orders!$K10)</f>
        <v>23</v>
      </c>
      <c r="N10" s="22" t="str">
        <f t="shared" si="2"/>
        <v>August</v>
      </c>
      <c r="O10" s="23">
        <v>0.99993055555555566</v>
      </c>
      <c r="P10" s="23" t="str">
        <f>_xlfn.XLOOKUP(B10,[2]customers!$A$2:$A$101,[2]customers!$C$2:$C$101)</f>
        <v>Agra</v>
      </c>
      <c r="Q10" s="20" t="s">
        <v>22</v>
      </c>
      <c r="R10" s="20" t="s">
        <v>26</v>
      </c>
      <c r="S10" s="21">
        <f t="shared" si="3"/>
        <v>2192</v>
      </c>
      <c r="T10" s="25">
        <f t="shared" si="4"/>
        <v>9</v>
      </c>
    </row>
    <row r="11" spans="1:20" x14ac:dyDescent="0.3">
      <c r="A11" s="14">
        <v>10</v>
      </c>
      <c r="B11" s="14" t="s">
        <v>32</v>
      </c>
      <c r="C11" s="14">
        <v>56</v>
      </c>
      <c r="D11" s="14" t="s">
        <v>436</v>
      </c>
      <c r="E11" s="14" t="s">
        <v>26</v>
      </c>
      <c r="F11" s="14">
        <v>3</v>
      </c>
      <c r="G11" s="15">
        <f>_xlfn.XLOOKUP(C11,[1]products!$A$2:$A$71,[1]products!$D$2:$D$71)</f>
        <v>1272</v>
      </c>
      <c r="H11" s="16">
        <v>44983</v>
      </c>
      <c r="I11" s="16" t="str">
        <f t="shared" si="0"/>
        <v>February</v>
      </c>
      <c r="J11" s="16" t="str">
        <f t="shared" si="1"/>
        <v>Sunday</v>
      </c>
      <c r="K11" s="17">
        <v>1.2106481481481482E-2</v>
      </c>
      <c r="L11" s="16">
        <v>44993</v>
      </c>
      <c r="M11" s="18">
        <f>HOUR(orders!$K11)</f>
        <v>0</v>
      </c>
      <c r="N11" s="16" t="str">
        <f t="shared" si="2"/>
        <v>March</v>
      </c>
      <c r="O11" s="17">
        <v>0.86646990740740737</v>
      </c>
      <c r="P11" s="17" t="str">
        <f>_xlfn.XLOOKUP(B11,[2]customers!$A$2:$A$101,[2]customers!$C$2:$C$101)</f>
        <v>Dhanbad</v>
      </c>
      <c r="Q11" s="14" t="s">
        <v>33</v>
      </c>
      <c r="R11" s="14" t="s">
        <v>12</v>
      </c>
      <c r="S11" s="15">
        <f t="shared" si="3"/>
        <v>3816</v>
      </c>
      <c r="T11" s="19">
        <f t="shared" si="4"/>
        <v>10</v>
      </c>
    </row>
    <row r="12" spans="1:20" x14ac:dyDescent="0.3">
      <c r="A12" s="20">
        <v>11</v>
      </c>
      <c r="B12" s="20" t="s">
        <v>34</v>
      </c>
      <c r="C12" s="20">
        <v>16</v>
      </c>
      <c r="D12" s="20" t="s">
        <v>437</v>
      </c>
      <c r="E12" s="20" t="s">
        <v>427</v>
      </c>
      <c r="F12" s="20">
        <v>4</v>
      </c>
      <c r="G12" s="21">
        <f>_xlfn.XLOOKUP(C12,[1]products!$A$2:$A$71,[1]products!$D$2:$D$71)</f>
        <v>1721</v>
      </c>
      <c r="H12" s="22">
        <v>44987</v>
      </c>
      <c r="I12" s="22" t="str">
        <f t="shared" si="0"/>
        <v>March</v>
      </c>
      <c r="J12" s="22" t="str">
        <f t="shared" si="1"/>
        <v>Thursday</v>
      </c>
      <c r="K12" s="23">
        <v>0.84369212962962958</v>
      </c>
      <c r="L12" s="22">
        <v>44988</v>
      </c>
      <c r="M12" s="24">
        <f>HOUR(orders!$K12)</f>
        <v>20</v>
      </c>
      <c r="N12" s="22" t="str">
        <f t="shared" si="2"/>
        <v>March</v>
      </c>
      <c r="O12" s="23">
        <v>0.97207175925925926</v>
      </c>
      <c r="P12" s="23" t="str">
        <f>_xlfn.XLOOKUP(B12,[2]customers!$A$2:$A$101,[2]customers!$C$2:$C$101)</f>
        <v>North Dumdum</v>
      </c>
      <c r="Q12" s="20" t="s">
        <v>35</v>
      </c>
      <c r="R12" s="20" t="s">
        <v>36</v>
      </c>
      <c r="S12" s="21">
        <f t="shared" si="3"/>
        <v>6884</v>
      </c>
      <c r="T12" s="25">
        <f t="shared" si="4"/>
        <v>1</v>
      </c>
    </row>
    <row r="13" spans="1:20" x14ac:dyDescent="0.3">
      <c r="A13" s="14">
        <v>12</v>
      </c>
      <c r="B13" s="14" t="s">
        <v>29</v>
      </c>
      <c r="C13" s="14">
        <v>38</v>
      </c>
      <c r="D13" s="14" t="s">
        <v>438</v>
      </c>
      <c r="E13" s="14" t="s">
        <v>431</v>
      </c>
      <c r="F13" s="14">
        <v>3</v>
      </c>
      <c r="G13" s="15">
        <f>_xlfn.XLOOKUP(C13,[1]products!$A$2:$A$71,[1]products!$D$2:$D$71)</f>
        <v>562</v>
      </c>
      <c r="H13" s="16">
        <v>45119</v>
      </c>
      <c r="I13" s="16" t="str">
        <f t="shared" si="0"/>
        <v>July</v>
      </c>
      <c r="J13" s="16" t="str">
        <f t="shared" si="1"/>
        <v>Wednesday</v>
      </c>
      <c r="K13" s="17">
        <v>0.35342592592592598</v>
      </c>
      <c r="L13" s="16">
        <v>45127</v>
      </c>
      <c r="M13" s="18">
        <f>HOUR(orders!$K13)</f>
        <v>8</v>
      </c>
      <c r="N13" s="16" t="str">
        <f t="shared" si="2"/>
        <v>July</v>
      </c>
      <c r="O13" s="17">
        <v>0.98260416666666661</v>
      </c>
      <c r="P13" s="17" t="str">
        <f>_xlfn.XLOOKUP(B13,[2]customers!$A$2:$A$101,[2]customers!$C$2:$C$101)</f>
        <v>Sri Ganganagar</v>
      </c>
      <c r="Q13" s="14" t="s">
        <v>37</v>
      </c>
      <c r="R13" s="14" t="s">
        <v>20</v>
      </c>
      <c r="S13" s="15">
        <f t="shared" si="3"/>
        <v>1686</v>
      </c>
      <c r="T13" s="19">
        <f t="shared" si="4"/>
        <v>8</v>
      </c>
    </row>
    <row r="14" spans="1:20" x14ac:dyDescent="0.3">
      <c r="A14" s="20">
        <v>13</v>
      </c>
      <c r="B14" s="20" t="s">
        <v>38</v>
      </c>
      <c r="C14" s="20">
        <v>20</v>
      </c>
      <c r="D14" s="20" t="s">
        <v>439</v>
      </c>
      <c r="E14" s="20" t="s">
        <v>429</v>
      </c>
      <c r="F14" s="20">
        <v>3</v>
      </c>
      <c r="G14" s="21">
        <f>_xlfn.XLOOKUP(C14,[1]products!$A$2:$A$71,[1]products!$D$2:$D$71)</f>
        <v>697</v>
      </c>
      <c r="H14" s="22">
        <v>44981</v>
      </c>
      <c r="I14" s="22" t="str">
        <f t="shared" si="0"/>
        <v>February</v>
      </c>
      <c r="J14" s="22" t="str">
        <f t="shared" si="1"/>
        <v>Friday</v>
      </c>
      <c r="K14" s="23">
        <v>0.69949074074074069</v>
      </c>
      <c r="L14" s="22">
        <v>44989</v>
      </c>
      <c r="M14" s="24">
        <f>HOUR(orders!$K14)</f>
        <v>16</v>
      </c>
      <c r="N14" s="22" t="str">
        <f t="shared" si="2"/>
        <v>March</v>
      </c>
      <c r="O14" s="23">
        <v>0.10251157407407407</v>
      </c>
      <c r="P14" s="23" t="str">
        <f>_xlfn.XLOOKUP(B14,[2]customers!$A$2:$A$101,[2]customers!$C$2:$C$101)</f>
        <v>Kavali</v>
      </c>
      <c r="Q14" s="20" t="s">
        <v>39</v>
      </c>
      <c r="R14" s="20" t="s">
        <v>12</v>
      </c>
      <c r="S14" s="21">
        <f t="shared" si="3"/>
        <v>2091</v>
      </c>
      <c r="T14" s="25">
        <f t="shared" si="4"/>
        <v>8</v>
      </c>
    </row>
    <row r="15" spans="1:20" x14ac:dyDescent="0.3">
      <c r="A15" s="14">
        <v>14</v>
      </c>
      <c r="B15" s="14" t="s">
        <v>40</v>
      </c>
      <c r="C15" s="14">
        <v>60</v>
      </c>
      <c r="D15" s="14" t="s">
        <v>440</v>
      </c>
      <c r="E15" s="14" t="s">
        <v>427</v>
      </c>
      <c r="F15" s="14">
        <v>1</v>
      </c>
      <c r="G15" s="15">
        <f>_xlfn.XLOOKUP(C15,[1]products!$A$2:$A$71,[1]products!$D$2:$D$71)</f>
        <v>827</v>
      </c>
      <c r="H15" s="16">
        <v>45238</v>
      </c>
      <c r="I15" s="16" t="str">
        <f t="shared" si="0"/>
        <v>November</v>
      </c>
      <c r="J15" s="16" t="str">
        <f t="shared" si="1"/>
        <v>Wednesday</v>
      </c>
      <c r="K15" s="17">
        <v>0.1570138888888889</v>
      </c>
      <c r="L15" s="16">
        <v>45245</v>
      </c>
      <c r="M15" s="18">
        <f>HOUR(orders!$K15)</f>
        <v>3</v>
      </c>
      <c r="N15" s="16" t="str">
        <f t="shared" si="2"/>
        <v>November</v>
      </c>
      <c r="O15" s="17">
        <v>0.50557870370370372</v>
      </c>
      <c r="P15" s="17" t="str">
        <f>_xlfn.XLOOKUP(B15,[2]customers!$A$2:$A$101,[2]customers!$C$2:$C$101)</f>
        <v>Ajmer</v>
      </c>
      <c r="Q15" s="14" t="s">
        <v>17</v>
      </c>
      <c r="R15" s="14" t="s">
        <v>15</v>
      </c>
      <c r="S15" s="15">
        <f t="shared" si="3"/>
        <v>827</v>
      </c>
      <c r="T15" s="19">
        <f t="shared" si="4"/>
        <v>7</v>
      </c>
    </row>
    <row r="16" spans="1:20" x14ac:dyDescent="0.3">
      <c r="A16" s="20">
        <v>15</v>
      </c>
      <c r="B16" s="20" t="s">
        <v>41</v>
      </c>
      <c r="C16" s="20">
        <v>21</v>
      </c>
      <c r="D16" s="20" t="s">
        <v>436</v>
      </c>
      <c r="E16" s="20" t="s">
        <v>429</v>
      </c>
      <c r="F16" s="20">
        <v>5</v>
      </c>
      <c r="G16" s="21">
        <f>_xlfn.XLOOKUP(C16,[1]products!$A$2:$A$71,[1]products!$D$2:$D$71)</f>
        <v>1561</v>
      </c>
      <c r="H16" s="22">
        <v>45164</v>
      </c>
      <c r="I16" s="22" t="str">
        <f t="shared" si="0"/>
        <v>August</v>
      </c>
      <c r="J16" s="22" t="str">
        <f t="shared" si="1"/>
        <v>Saturday</v>
      </c>
      <c r="K16" s="23">
        <v>0.11989583333333333</v>
      </c>
      <c r="L16" s="22">
        <v>45168</v>
      </c>
      <c r="M16" s="24">
        <f>HOUR(orders!$K16)</f>
        <v>2</v>
      </c>
      <c r="N16" s="22" t="str">
        <f t="shared" si="2"/>
        <v>August</v>
      </c>
      <c r="O16" s="23">
        <v>0.56024305555555554</v>
      </c>
      <c r="P16" s="23" t="str">
        <f>_xlfn.XLOOKUP(B16,[2]customers!$A$2:$A$101,[2]customers!$C$2:$C$101)</f>
        <v>Madhyamgram</v>
      </c>
      <c r="Q16" s="20" t="s">
        <v>42</v>
      </c>
      <c r="R16" s="20" t="s">
        <v>26</v>
      </c>
      <c r="S16" s="21">
        <f t="shared" si="3"/>
        <v>7805</v>
      </c>
      <c r="T16" s="25">
        <f t="shared" si="4"/>
        <v>4</v>
      </c>
    </row>
    <row r="17" spans="1:20" x14ac:dyDescent="0.3">
      <c r="A17" s="14">
        <v>16</v>
      </c>
      <c r="B17" s="14" t="s">
        <v>43</v>
      </c>
      <c r="C17" s="14">
        <v>20</v>
      </c>
      <c r="D17" s="14" t="s">
        <v>439</v>
      </c>
      <c r="E17" s="14" t="s">
        <v>429</v>
      </c>
      <c r="F17" s="14">
        <v>3</v>
      </c>
      <c r="G17" s="15">
        <f>_xlfn.XLOOKUP(C17,[1]products!$A$2:$A$71,[1]products!$D$2:$D$71)</f>
        <v>697</v>
      </c>
      <c r="H17" s="16">
        <v>44973</v>
      </c>
      <c r="I17" s="16" t="str">
        <f t="shared" si="0"/>
        <v>February</v>
      </c>
      <c r="J17" s="16" t="str">
        <f t="shared" si="1"/>
        <v>Thursday</v>
      </c>
      <c r="K17" s="17">
        <v>0.62929398148148141</v>
      </c>
      <c r="L17" s="16">
        <v>44977</v>
      </c>
      <c r="M17" s="18">
        <f>HOUR(orders!$K17)</f>
        <v>15</v>
      </c>
      <c r="N17" s="16" t="str">
        <f t="shared" si="2"/>
        <v>February</v>
      </c>
      <c r="O17" s="17">
        <v>0.92663194444444441</v>
      </c>
      <c r="P17" s="17" t="str">
        <f>_xlfn.XLOOKUP(B17,[2]customers!$A$2:$A$101,[2]customers!$C$2:$C$101)</f>
        <v>Mangalore</v>
      </c>
      <c r="Q17" s="14" t="s">
        <v>44</v>
      </c>
      <c r="R17" s="14" t="s">
        <v>12</v>
      </c>
      <c r="S17" s="15">
        <f t="shared" si="3"/>
        <v>2091</v>
      </c>
      <c r="T17" s="19">
        <f t="shared" si="4"/>
        <v>4</v>
      </c>
    </row>
    <row r="18" spans="1:20" x14ac:dyDescent="0.3">
      <c r="A18" s="20">
        <v>17</v>
      </c>
      <c r="B18" s="20" t="s">
        <v>45</v>
      </c>
      <c r="C18" s="20">
        <v>60</v>
      </c>
      <c r="D18" s="20" t="s">
        <v>440</v>
      </c>
      <c r="E18" s="20" t="s">
        <v>427</v>
      </c>
      <c r="F18" s="20">
        <v>2</v>
      </c>
      <c r="G18" s="21">
        <f>_xlfn.XLOOKUP(C18,[1]products!$A$2:$A$71,[1]products!$D$2:$D$71)</f>
        <v>827</v>
      </c>
      <c r="H18" s="22">
        <v>45234</v>
      </c>
      <c r="I18" s="22" t="str">
        <f t="shared" si="0"/>
        <v>November</v>
      </c>
      <c r="J18" s="22" t="str">
        <f t="shared" si="1"/>
        <v>Saturday</v>
      </c>
      <c r="K18" s="23">
        <v>0.48024305555555552</v>
      </c>
      <c r="L18" s="22">
        <v>45243</v>
      </c>
      <c r="M18" s="24">
        <f>HOUR(orders!$K18)</f>
        <v>11</v>
      </c>
      <c r="N18" s="22" t="str">
        <f t="shared" si="2"/>
        <v>November</v>
      </c>
      <c r="O18" s="23">
        <v>0.77792824074074074</v>
      </c>
      <c r="P18" s="23" t="str">
        <f>_xlfn.XLOOKUP(B18,[2]customers!$A$2:$A$101,[2]customers!$C$2:$C$101)</f>
        <v>Haridwar</v>
      </c>
      <c r="Q18" s="20" t="s">
        <v>46</v>
      </c>
      <c r="R18" s="20" t="s">
        <v>15</v>
      </c>
      <c r="S18" s="21">
        <f t="shared" si="3"/>
        <v>1654</v>
      </c>
      <c r="T18" s="25">
        <f t="shared" si="4"/>
        <v>9</v>
      </c>
    </row>
    <row r="19" spans="1:20" x14ac:dyDescent="0.3">
      <c r="A19" s="14">
        <v>18</v>
      </c>
      <c r="B19" s="14" t="s">
        <v>47</v>
      </c>
      <c r="C19" s="14">
        <v>23</v>
      </c>
      <c r="D19" s="14" t="s">
        <v>441</v>
      </c>
      <c r="E19" s="14" t="s">
        <v>427</v>
      </c>
      <c r="F19" s="14">
        <v>4</v>
      </c>
      <c r="G19" s="15">
        <f>_xlfn.XLOOKUP(C19,[1]products!$A$2:$A$71,[1]products!$D$2:$D$71)</f>
        <v>1098</v>
      </c>
      <c r="H19" s="16">
        <v>45270</v>
      </c>
      <c r="I19" s="16" t="str">
        <f t="shared" si="0"/>
        <v>December</v>
      </c>
      <c r="J19" s="16" t="str">
        <f t="shared" si="1"/>
        <v>Sunday</v>
      </c>
      <c r="K19" s="17">
        <v>0.44878472222222227</v>
      </c>
      <c r="L19" s="16">
        <v>45271</v>
      </c>
      <c r="M19" s="18">
        <f>HOUR(orders!$K19)</f>
        <v>10</v>
      </c>
      <c r="N19" s="16" t="str">
        <f t="shared" si="2"/>
        <v>December</v>
      </c>
      <c r="O19" s="17">
        <v>1.4224537037037037E-2</v>
      </c>
      <c r="P19" s="17" t="str">
        <f>_xlfn.XLOOKUP(B19,[2]customers!$A$2:$A$101,[2]customers!$C$2:$C$101)</f>
        <v>Hyderabad</v>
      </c>
      <c r="Q19" s="14" t="s">
        <v>48</v>
      </c>
      <c r="R19" s="14" t="s">
        <v>12</v>
      </c>
      <c r="S19" s="15">
        <f t="shared" si="3"/>
        <v>4392</v>
      </c>
      <c r="T19" s="19">
        <f t="shared" si="4"/>
        <v>1</v>
      </c>
    </row>
    <row r="20" spans="1:20" x14ac:dyDescent="0.3">
      <c r="A20" s="20">
        <v>19</v>
      </c>
      <c r="B20" s="20" t="s">
        <v>47</v>
      </c>
      <c r="C20" s="20">
        <v>62</v>
      </c>
      <c r="D20" s="20" t="s">
        <v>442</v>
      </c>
      <c r="E20" s="20" t="s">
        <v>429</v>
      </c>
      <c r="F20" s="20">
        <v>4</v>
      </c>
      <c r="G20" s="21">
        <f>_xlfn.XLOOKUP(C20,[1]products!$A$2:$A$71,[1]products!$D$2:$D$71)</f>
        <v>1356</v>
      </c>
      <c r="H20" s="22">
        <v>44992</v>
      </c>
      <c r="I20" s="22" t="str">
        <f t="shared" si="0"/>
        <v>March</v>
      </c>
      <c r="J20" s="22" t="str">
        <f t="shared" si="1"/>
        <v>Tuesday</v>
      </c>
      <c r="K20" s="23">
        <v>0.3331944444444444</v>
      </c>
      <c r="L20" s="22">
        <v>44993</v>
      </c>
      <c r="M20" s="24">
        <f>HOUR(orders!$K20)</f>
        <v>7</v>
      </c>
      <c r="N20" s="22" t="str">
        <f t="shared" si="2"/>
        <v>March</v>
      </c>
      <c r="O20" s="23">
        <v>0.12817129629629628</v>
      </c>
      <c r="P20" s="23" t="str">
        <f>_xlfn.XLOOKUP(B20,[2]customers!$A$2:$A$101,[2]customers!$C$2:$C$101)</f>
        <v>Hyderabad</v>
      </c>
      <c r="Q20" s="20" t="s">
        <v>49</v>
      </c>
      <c r="R20" s="20" t="s">
        <v>36</v>
      </c>
      <c r="S20" s="21">
        <f t="shared" si="3"/>
        <v>5424</v>
      </c>
      <c r="T20" s="25">
        <f t="shared" si="4"/>
        <v>1</v>
      </c>
    </row>
    <row r="21" spans="1:20" x14ac:dyDescent="0.3">
      <c r="A21" s="14">
        <v>20</v>
      </c>
      <c r="B21" s="14" t="s">
        <v>50</v>
      </c>
      <c r="C21" s="14">
        <v>52</v>
      </c>
      <c r="D21" s="14" t="s">
        <v>443</v>
      </c>
      <c r="E21" s="14" t="s">
        <v>26</v>
      </c>
      <c r="F21" s="14">
        <v>1</v>
      </c>
      <c r="G21" s="15">
        <f>_xlfn.XLOOKUP(C21,[1]products!$A$2:$A$71,[1]products!$D$2:$D$71)</f>
        <v>236</v>
      </c>
      <c r="H21" s="16">
        <v>44968</v>
      </c>
      <c r="I21" s="16" t="str">
        <f t="shared" si="0"/>
        <v>February</v>
      </c>
      <c r="J21" s="16" t="str">
        <f t="shared" si="1"/>
        <v>Saturday</v>
      </c>
      <c r="K21" s="17">
        <v>0.6089930555555555</v>
      </c>
      <c r="L21" s="16">
        <v>44971</v>
      </c>
      <c r="M21" s="18">
        <f>HOUR(orders!$K21)</f>
        <v>14</v>
      </c>
      <c r="N21" s="16" t="str">
        <f t="shared" si="2"/>
        <v>February</v>
      </c>
      <c r="O21" s="17">
        <v>6.5462962962962959E-2</v>
      </c>
      <c r="P21" s="17" t="str">
        <f>_xlfn.XLOOKUP(B21,[2]customers!$A$2:$A$101,[2]customers!$C$2:$C$101)</f>
        <v>Orai</v>
      </c>
      <c r="Q21" s="14" t="s">
        <v>51</v>
      </c>
      <c r="R21" s="14" t="s">
        <v>23</v>
      </c>
      <c r="S21" s="15">
        <f t="shared" si="3"/>
        <v>236</v>
      </c>
      <c r="T21" s="19">
        <f t="shared" si="4"/>
        <v>3</v>
      </c>
    </row>
    <row r="22" spans="1:20" x14ac:dyDescent="0.3">
      <c r="A22" s="20">
        <v>21</v>
      </c>
      <c r="B22" s="20" t="s">
        <v>52</v>
      </c>
      <c r="C22" s="20">
        <v>32</v>
      </c>
      <c r="D22" s="20" t="s">
        <v>444</v>
      </c>
      <c r="E22" s="20" t="s">
        <v>445</v>
      </c>
      <c r="F22" s="20">
        <v>1</v>
      </c>
      <c r="G22" s="21">
        <f>_xlfn.XLOOKUP(C22,[1]products!$A$2:$A$71,[1]products!$D$2:$D$71)</f>
        <v>1792</v>
      </c>
      <c r="H22" s="22">
        <v>44966</v>
      </c>
      <c r="I22" s="22" t="str">
        <f t="shared" si="0"/>
        <v>February</v>
      </c>
      <c r="J22" s="22" t="str">
        <f t="shared" si="1"/>
        <v>Thursday</v>
      </c>
      <c r="K22" s="23">
        <v>0.47282407407407406</v>
      </c>
      <c r="L22" s="22">
        <v>44969</v>
      </c>
      <c r="M22" s="24">
        <f>HOUR(orders!$K22)</f>
        <v>11</v>
      </c>
      <c r="N22" s="22" t="str">
        <f t="shared" si="2"/>
        <v>February</v>
      </c>
      <c r="O22" s="23">
        <v>0.48363425925925929</v>
      </c>
      <c r="P22" s="23" t="str">
        <f>_xlfn.XLOOKUP(B22,[2]customers!$A$2:$A$101,[2]customers!$C$2:$C$101)</f>
        <v>Anantapuram</v>
      </c>
      <c r="Q22" s="20" t="s">
        <v>53</v>
      </c>
      <c r="R22" s="20" t="s">
        <v>20</v>
      </c>
      <c r="S22" s="21">
        <f t="shared" si="3"/>
        <v>1792</v>
      </c>
      <c r="T22" s="25">
        <f t="shared" si="4"/>
        <v>3</v>
      </c>
    </row>
    <row r="23" spans="1:20" x14ac:dyDescent="0.3">
      <c r="A23" s="14">
        <v>22</v>
      </c>
      <c r="B23" s="14" t="s">
        <v>54</v>
      </c>
      <c r="C23" s="14">
        <v>43</v>
      </c>
      <c r="D23" s="14" t="s">
        <v>434</v>
      </c>
      <c r="E23" s="14" t="s">
        <v>26</v>
      </c>
      <c r="F23" s="14">
        <v>1</v>
      </c>
      <c r="G23" s="15">
        <f>_xlfn.XLOOKUP(C23,[1]products!$A$2:$A$71,[1]products!$D$2:$D$71)</f>
        <v>750</v>
      </c>
      <c r="H23" s="16">
        <v>45239</v>
      </c>
      <c r="I23" s="16" t="str">
        <f t="shared" si="0"/>
        <v>November</v>
      </c>
      <c r="J23" s="16" t="str">
        <f t="shared" si="1"/>
        <v>Thursday</v>
      </c>
      <c r="K23" s="17">
        <v>4.5462962962962962E-2</v>
      </c>
      <c r="L23" s="16">
        <v>45244</v>
      </c>
      <c r="M23" s="18">
        <f>HOUR(orders!$K23)</f>
        <v>1</v>
      </c>
      <c r="N23" s="16" t="str">
        <f t="shared" si="2"/>
        <v>November</v>
      </c>
      <c r="O23" s="17">
        <v>0.4095717592592592</v>
      </c>
      <c r="P23" s="17" t="str">
        <f>_xlfn.XLOOKUP(B23,[2]customers!$A$2:$A$101,[2]customers!$C$2:$C$101)</f>
        <v>Bidhannagar</v>
      </c>
      <c r="Q23" s="14" t="s">
        <v>55</v>
      </c>
      <c r="R23" s="14" t="s">
        <v>15</v>
      </c>
      <c r="S23" s="15">
        <f t="shared" si="3"/>
        <v>750</v>
      </c>
      <c r="T23" s="19">
        <f t="shared" si="4"/>
        <v>5</v>
      </c>
    </row>
    <row r="24" spans="1:20" x14ac:dyDescent="0.3">
      <c r="A24" s="20">
        <v>23</v>
      </c>
      <c r="B24" s="20" t="s">
        <v>56</v>
      </c>
      <c r="C24" s="20">
        <v>12</v>
      </c>
      <c r="D24" s="20" t="s">
        <v>446</v>
      </c>
      <c r="E24" s="20" t="s">
        <v>447</v>
      </c>
      <c r="F24" s="20">
        <v>3</v>
      </c>
      <c r="G24" s="21">
        <f>_xlfn.XLOOKUP(C24,[1]products!$A$2:$A$71,[1]products!$D$2:$D$71)</f>
        <v>672</v>
      </c>
      <c r="H24" s="22">
        <v>45051</v>
      </c>
      <c r="I24" s="22" t="str">
        <f t="shared" si="0"/>
        <v>May</v>
      </c>
      <c r="J24" s="22" t="str">
        <f t="shared" si="1"/>
        <v>Friday</v>
      </c>
      <c r="K24" s="23">
        <v>0.22815972222222222</v>
      </c>
      <c r="L24" s="22">
        <v>45052</v>
      </c>
      <c r="M24" s="24">
        <f>HOUR(orders!$K24)</f>
        <v>5</v>
      </c>
      <c r="N24" s="22" t="str">
        <f t="shared" si="2"/>
        <v>May</v>
      </c>
      <c r="O24" s="23">
        <v>0.50861111111111112</v>
      </c>
      <c r="P24" s="23" t="str">
        <f>_xlfn.XLOOKUP(B24,[2]customers!$A$2:$A$101,[2]customers!$C$2:$C$101)</f>
        <v>Karaikudi</v>
      </c>
      <c r="Q24" s="20" t="s">
        <v>57</v>
      </c>
      <c r="R24" s="20" t="s">
        <v>12</v>
      </c>
      <c r="S24" s="21">
        <f t="shared" si="3"/>
        <v>2016</v>
      </c>
      <c r="T24" s="25">
        <f t="shared" si="4"/>
        <v>1</v>
      </c>
    </row>
    <row r="25" spans="1:20" x14ac:dyDescent="0.3">
      <c r="A25" s="14">
        <v>24</v>
      </c>
      <c r="B25" s="14" t="s">
        <v>58</v>
      </c>
      <c r="C25" s="14">
        <v>42</v>
      </c>
      <c r="D25" s="14" t="s">
        <v>448</v>
      </c>
      <c r="E25" s="14" t="s">
        <v>427</v>
      </c>
      <c r="F25" s="14">
        <v>3</v>
      </c>
      <c r="G25" s="15">
        <f>_xlfn.XLOOKUP(C25,[1]products!$A$2:$A$71,[1]products!$D$2:$D$71)</f>
        <v>1744</v>
      </c>
      <c r="H25" s="16">
        <v>45132</v>
      </c>
      <c r="I25" s="16" t="str">
        <f t="shared" si="0"/>
        <v>July</v>
      </c>
      <c r="J25" s="16" t="str">
        <f t="shared" si="1"/>
        <v>Tuesday</v>
      </c>
      <c r="K25" s="17">
        <v>0.21576388888888889</v>
      </c>
      <c r="L25" s="16">
        <v>45141</v>
      </c>
      <c r="M25" s="18">
        <f>HOUR(orders!$K25)</f>
        <v>5</v>
      </c>
      <c r="N25" s="16" t="str">
        <f t="shared" si="2"/>
        <v>August</v>
      </c>
      <c r="O25" s="17">
        <v>0.33165509259259257</v>
      </c>
      <c r="P25" s="17" t="str">
        <f>_xlfn.XLOOKUP(B25,[2]customers!$A$2:$A$101,[2]customers!$C$2:$C$101)</f>
        <v>Nizamabad</v>
      </c>
      <c r="Q25" s="14" t="s">
        <v>59</v>
      </c>
      <c r="R25" s="14" t="s">
        <v>60</v>
      </c>
      <c r="S25" s="15">
        <f t="shared" si="3"/>
        <v>5232</v>
      </c>
      <c r="T25" s="19">
        <f t="shared" si="4"/>
        <v>9</v>
      </c>
    </row>
    <row r="26" spans="1:20" x14ac:dyDescent="0.3">
      <c r="A26" s="20">
        <v>25</v>
      </c>
      <c r="B26" s="20" t="s">
        <v>61</v>
      </c>
      <c r="C26" s="20">
        <v>30</v>
      </c>
      <c r="D26" s="20" t="s">
        <v>449</v>
      </c>
      <c r="E26" s="20" t="s">
        <v>429</v>
      </c>
      <c r="F26" s="20">
        <v>3</v>
      </c>
      <c r="G26" s="21">
        <f>_xlfn.XLOOKUP(C26,[1]products!$A$2:$A$71,[1]products!$D$2:$D$71)</f>
        <v>751</v>
      </c>
      <c r="H26" s="22">
        <v>45128</v>
      </c>
      <c r="I26" s="22" t="str">
        <f t="shared" si="0"/>
        <v>July</v>
      </c>
      <c r="J26" s="22" t="str">
        <f t="shared" si="1"/>
        <v>Friday</v>
      </c>
      <c r="K26" s="23">
        <v>0.44927083333333334</v>
      </c>
      <c r="L26" s="22">
        <v>45131</v>
      </c>
      <c r="M26" s="24">
        <f>HOUR(orders!$K26)</f>
        <v>10</v>
      </c>
      <c r="N26" s="22" t="str">
        <f t="shared" si="2"/>
        <v>July</v>
      </c>
      <c r="O26" s="23">
        <v>0.60326388888888893</v>
      </c>
      <c r="P26" s="23" t="str">
        <f>_xlfn.XLOOKUP(B26,[2]customers!$A$2:$A$101,[2]customers!$C$2:$C$101)</f>
        <v>New Delhi</v>
      </c>
      <c r="Q26" s="20" t="s">
        <v>62</v>
      </c>
      <c r="R26" s="20" t="s">
        <v>12</v>
      </c>
      <c r="S26" s="21">
        <f t="shared" si="3"/>
        <v>2253</v>
      </c>
      <c r="T26" s="25">
        <f t="shared" si="4"/>
        <v>3</v>
      </c>
    </row>
    <row r="27" spans="1:20" x14ac:dyDescent="0.3">
      <c r="A27" s="14">
        <v>26</v>
      </c>
      <c r="B27" s="14" t="s">
        <v>24</v>
      </c>
      <c r="C27" s="14">
        <v>6</v>
      </c>
      <c r="D27" s="14" t="s">
        <v>450</v>
      </c>
      <c r="E27" s="14" t="s">
        <v>431</v>
      </c>
      <c r="F27" s="14">
        <v>3</v>
      </c>
      <c r="G27" s="15">
        <f>_xlfn.XLOOKUP(C27,[1]products!$A$2:$A$71,[1]products!$D$2:$D$71)</f>
        <v>1112</v>
      </c>
      <c r="H27" s="16">
        <v>44991</v>
      </c>
      <c r="I27" s="16" t="str">
        <f t="shared" si="0"/>
        <v>March</v>
      </c>
      <c r="J27" s="16" t="str">
        <f t="shared" si="1"/>
        <v>Monday</v>
      </c>
      <c r="K27" s="17">
        <v>0.21048611111111112</v>
      </c>
      <c r="L27" s="16">
        <v>44997</v>
      </c>
      <c r="M27" s="18">
        <f>HOUR(orders!$K27)</f>
        <v>5</v>
      </c>
      <c r="N27" s="16" t="str">
        <f t="shared" si="2"/>
        <v>March</v>
      </c>
      <c r="O27" s="17">
        <v>0.25429398148148147</v>
      </c>
      <c r="P27" s="17" t="str">
        <f>_xlfn.XLOOKUP(B27,[2]customers!$A$2:$A$101,[2]customers!$C$2:$C$101)</f>
        <v>Pallavaram</v>
      </c>
      <c r="Q27" s="14" t="s">
        <v>63</v>
      </c>
      <c r="R27" s="14" t="s">
        <v>36</v>
      </c>
      <c r="S27" s="15">
        <f t="shared" si="3"/>
        <v>3336</v>
      </c>
      <c r="T27" s="19">
        <f t="shared" si="4"/>
        <v>6</v>
      </c>
    </row>
    <row r="28" spans="1:20" x14ac:dyDescent="0.3">
      <c r="A28" s="20">
        <v>27</v>
      </c>
      <c r="B28" s="20" t="s">
        <v>64</v>
      </c>
      <c r="C28" s="20">
        <v>9</v>
      </c>
      <c r="D28" s="20" t="s">
        <v>451</v>
      </c>
      <c r="E28" s="20" t="s">
        <v>429</v>
      </c>
      <c r="F28" s="20">
        <v>2</v>
      </c>
      <c r="G28" s="21">
        <f>_xlfn.XLOOKUP(C28,[1]products!$A$2:$A$71,[1]products!$D$2:$D$71)</f>
        <v>1605</v>
      </c>
      <c r="H28" s="22">
        <v>45160</v>
      </c>
      <c r="I28" s="22" t="str">
        <f t="shared" si="0"/>
        <v>August</v>
      </c>
      <c r="J28" s="22" t="str">
        <f t="shared" si="1"/>
        <v>Tuesday</v>
      </c>
      <c r="K28" s="23">
        <v>0.46976851851851853</v>
      </c>
      <c r="L28" s="22">
        <v>45168</v>
      </c>
      <c r="M28" s="24">
        <f>HOUR(orders!$K28)</f>
        <v>11</v>
      </c>
      <c r="N28" s="22" t="str">
        <f t="shared" si="2"/>
        <v>August</v>
      </c>
      <c r="O28" s="23">
        <v>0.33277777777777778</v>
      </c>
      <c r="P28" s="23" t="str">
        <f>_xlfn.XLOOKUP(B28,[2]customers!$A$2:$A$101,[2]customers!$C$2:$C$101)</f>
        <v>Jamnagar</v>
      </c>
      <c r="Q28" s="20" t="s">
        <v>65</v>
      </c>
      <c r="R28" s="20" t="s">
        <v>26</v>
      </c>
      <c r="S28" s="21">
        <f t="shared" si="3"/>
        <v>3210</v>
      </c>
      <c r="T28" s="25">
        <f t="shared" si="4"/>
        <v>8</v>
      </c>
    </row>
    <row r="29" spans="1:20" x14ac:dyDescent="0.3">
      <c r="A29" s="14">
        <v>28</v>
      </c>
      <c r="B29" s="14" t="s">
        <v>66</v>
      </c>
      <c r="C29" s="14">
        <v>42</v>
      </c>
      <c r="D29" s="14" t="s">
        <v>448</v>
      </c>
      <c r="E29" s="14" t="s">
        <v>427</v>
      </c>
      <c r="F29" s="14">
        <v>3</v>
      </c>
      <c r="G29" s="15">
        <f>_xlfn.XLOOKUP(C29,[1]products!$A$2:$A$71,[1]products!$D$2:$D$71)</f>
        <v>1744</v>
      </c>
      <c r="H29" s="16">
        <v>45051</v>
      </c>
      <c r="I29" s="16" t="str">
        <f t="shared" si="0"/>
        <v>May</v>
      </c>
      <c r="J29" s="16" t="str">
        <f t="shared" si="1"/>
        <v>Friday</v>
      </c>
      <c r="K29" s="17">
        <v>0.14265046296296297</v>
      </c>
      <c r="L29" s="16">
        <v>45056</v>
      </c>
      <c r="M29" s="18">
        <f>HOUR(orders!$K29)</f>
        <v>3</v>
      </c>
      <c r="N29" s="16" t="str">
        <f t="shared" si="2"/>
        <v>May</v>
      </c>
      <c r="O29" s="17">
        <v>0.32990740740740737</v>
      </c>
      <c r="P29" s="17" t="str">
        <f>_xlfn.XLOOKUP(B29,[2]customers!$A$2:$A$101,[2]customers!$C$2:$C$101)</f>
        <v xml:space="preserve">Khora </v>
      </c>
      <c r="Q29" s="14" t="s">
        <v>19</v>
      </c>
      <c r="R29" s="14" t="s">
        <v>60</v>
      </c>
      <c r="S29" s="15">
        <f t="shared" si="3"/>
        <v>5232</v>
      </c>
      <c r="T29" s="19">
        <f t="shared" si="4"/>
        <v>5</v>
      </c>
    </row>
    <row r="30" spans="1:20" x14ac:dyDescent="0.3">
      <c r="A30" s="20">
        <v>29</v>
      </c>
      <c r="B30" s="20" t="s">
        <v>67</v>
      </c>
      <c r="C30" s="20">
        <v>10</v>
      </c>
      <c r="D30" s="20" t="s">
        <v>452</v>
      </c>
      <c r="E30" s="20" t="s">
        <v>431</v>
      </c>
      <c r="F30" s="20">
        <v>5</v>
      </c>
      <c r="G30" s="21">
        <f>_xlfn.XLOOKUP(C30,[1]products!$A$2:$A$71,[1]products!$D$2:$D$71)</f>
        <v>259</v>
      </c>
      <c r="H30" s="22">
        <v>45191</v>
      </c>
      <c r="I30" s="22" t="str">
        <f t="shared" si="0"/>
        <v>September</v>
      </c>
      <c r="J30" s="22" t="str">
        <f t="shared" si="1"/>
        <v>Friday</v>
      </c>
      <c r="K30" s="23">
        <v>4.6087962962962963E-2</v>
      </c>
      <c r="L30" s="22">
        <v>45200</v>
      </c>
      <c r="M30" s="24">
        <f>HOUR(orders!$K30)</f>
        <v>1</v>
      </c>
      <c r="N30" s="22" t="str">
        <f t="shared" si="2"/>
        <v>October</v>
      </c>
      <c r="O30" s="23">
        <v>0.60365740740740736</v>
      </c>
      <c r="P30" s="23" t="str">
        <f>_xlfn.XLOOKUP(B30,[2]customers!$A$2:$A$101,[2]customers!$C$2:$C$101)</f>
        <v>Srikakulam</v>
      </c>
      <c r="Q30" s="20" t="s">
        <v>68</v>
      </c>
      <c r="R30" s="20" t="s">
        <v>20</v>
      </c>
      <c r="S30" s="21">
        <f t="shared" si="3"/>
        <v>1295</v>
      </c>
      <c r="T30" s="25">
        <f t="shared" si="4"/>
        <v>9</v>
      </c>
    </row>
    <row r="31" spans="1:20" x14ac:dyDescent="0.3">
      <c r="A31" s="14">
        <v>30</v>
      </c>
      <c r="B31" s="14" t="s">
        <v>31</v>
      </c>
      <c r="C31" s="14">
        <v>23</v>
      </c>
      <c r="D31" s="14" t="s">
        <v>441</v>
      </c>
      <c r="E31" s="14" t="s">
        <v>427</v>
      </c>
      <c r="F31" s="14">
        <v>4</v>
      </c>
      <c r="G31" s="15">
        <f>_xlfn.XLOOKUP(C31,[1]products!$A$2:$A$71,[1]products!$D$2:$D$71)</f>
        <v>1098</v>
      </c>
      <c r="H31" s="16">
        <v>44939</v>
      </c>
      <c r="I31" s="16" t="str">
        <f t="shared" si="0"/>
        <v>January</v>
      </c>
      <c r="J31" s="16" t="str">
        <f t="shared" si="1"/>
        <v>Friday</v>
      </c>
      <c r="K31" s="17">
        <v>0.39135416666666667</v>
      </c>
      <c r="L31" s="16">
        <v>44941</v>
      </c>
      <c r="M31" s="18">
        <f>HOUR(orders!$K31)</f>
        <v>9</v>
      </c>
      <c r="N31" s="16" t="str">
        <f t="shared" si="2"/>
        <v>January</v>
      </c>
      <c r="O31" s="17">
        <v>0.56733796296296302</v>
      </c>
      <c r="P31" s="17" t="str">
        <f>_xlfn.XLOOKUP(B31,[2]customers!$A$2:$A$101,[2]customers!$C$2:$C$101)</f>
        <v>Agra</v>
      </c>
      <c r="Q31" s="14" t="s">
        <v>69</v>
      </c>
      <c r="R31" s="14" t="s">
        <v>12</v>
      </c>
      <c r="S31" s="15">
        <f t="shared" si="3"/>
        <v>4392</v>
      </c>
      <c r="T31" s="19">
        <f t="shared" si="4"/>
        <v>2</v>
      </c>
    </row>
    <row r="32" spans="1:20" x14ac:dyDescent="0.3">
      <c r="A32" s="20">
        <v>31</v>
      </c>
      <c r="B32" s="20" t="s">
        <v>16</v>
      </c>
      <c r="C32" s="20">
        <v>7</v>
      </c>
      <c r="D32" s="20" t="s">
        <v>453</v>
      </c>
      <c r="E32" s="20" t="s">
        <v>445</v>
      </c>
      <c r="F32" s="20">
        <v>5</v>
      </c>
      <c r="G32" s="21">
        <f>_xlfn.XLOOKUP(C32,[1]products!$A$2:$A$71,[1]products!$D$2:$D$71)</f>
        <v>409</v>
      </c>
      <c r="H32" s="22">
        <v>44985</v>
      </c>
      <c r="I32" s="22" t="str">
        <f t="shared" si="0"/>
        <v>February</v>
      </c>
      <c r="J32" s="22" t="str">
        <f t="shared" si="1"/>
        <v>Tuesday</v>
      </c>
      <c r="K32" s="23">
        <v>0.55094907407407401</v>
      </c>
      <c r="L32" s="22">
        <v>44988</v>
      </c>
      <c r="M32" s="24">
        <f>HOUR(orders!$K32)</f>
        <v>13</v>
      </c>
      <c r="N32" s="22" t="str">
        <f t="shared" si="2"/>
        <v>March</v>
      </c>
      <c r="O32" s="23">
        <v>0.98320601851851863</v>
      </c>
      <c r="P32" s="23" t="str">
        <f>_xlfn.XLOOKUP(B32,[2]customers!$A$2:$A$101,[2]customers!$C$2:$C$101)</f>
        <v>Haridwar</v>
      </c>
      <c r="Q32" s="20" t="s">
        <v>70</v>
      </c>
      <c r="R32" s="20" t="s">
        <v>36</v>
      </c>
      <c r="S32" s="21">
        <f t="shared" si="3"/>
        <v>2045</v>
      </c>
      <c r="T32" s="25">
        <f t="shared" si="4"/>
        <v>3</v>
      </c>
    </row>
    <row r="33" spans="1:20" x14ac:dyDescent="0.3">
      <c r="A33" s="14">
        <v>32</v>
      </c>
      <c r="B33" s="14" t="s">
        <v>34</v>
      </c>
      <c r="C33" s="14">
        <v>7</v>
      </c>
      <c r="D33" s="14" t="s">
        <v>453</v>
      </c>
      <c r="E33" s="14" t="s">
        <v>445</v>
      </c>
      <c r="F33" s="14">
        <v>5</v>
      </c>
      <c r="G33" s="15">
        <f>_xlfn.XLOOKUP(C33,[1]products!$A$2:$A$71,[1]products!$D$2:$D$71)</f>
        <v>409</v>
      </c>
      <c r="H33" s="16">
        <v>44989</v>
      </c>
      <c r="I33" s="16" t="str">
        <f t="shared" si="0"/>
        <v>March</v>
      </c>
      <c r="J33" s="16" t="str">
        <f t="shared" si="1"/>
        <v>Saturday</v>
      </c>
      <c r="K33" s="17">
        <v>0.65047453703703706</v>
      </c>
      <c r="L33" s="16">
        <v>44990</v>
      </c>
      <c r="M33" s="18">
        <f>HOUR(orders!$K33)</f>
        <v>15</v>
      </c>
      <c r="N33" s="16" t="str">
        <f t="shared" si="2"/>
        <v>March</v>
      </c>
      <c r="O33" s="17">
        <v>0.66261574074074081</v>
      </c>
      <c r="P33" s="17" t="str">
        <f>_xlfn.XLOOKUP(B33,[2]customers!$A$2:$A$101,[2]customers!$C$2:$C$101)</f>
        <v>North Dumdum</v>
      </c>
      <c r="Q33" s="14" t="s">
        <v>71</v>
      </c>
      <c r="R33" s="14" t="s">
        <v>36</v>
      </c>
      <c r="S33" s="15">
        <f t="shared" si="3"/>
        <v>2045</v>
      </c>
      <c r="T33" s="19">
        <f t="shared" si="4"/>
        <v>1</v>
      </c>
    </row>
    <row r="34" spans="1:20" x14ac:dyDescent="0.3">
      <c r="A34" s="20">
        <v>33</v>
      </c>
      <c r="B34" s="20" t="s">
        <v>72</v>
      </c>
      <c r="C34" s="20">
        <v>8</v>
      </c>
      <c r="D34" s="20" t="s">
        <v>454</v>
      </c>
      <c r="E34" s="20" t="s">
        <v>427</v>
      </c>
      <c r="F34" s="20">
        <v>3</v>
      </c>
      <c r="G34" s="21">
        <f>_xlfn.XLOOKUP(C34,[1]products!$A$2:$A$71,[1]products!$D$2:$D$71)</f>
        <v>252</v>
      </c>
      <c r="H34" s="22">
        <v>45031</v>
      </c>
      <c r="I34" s="22" t="str">
        <f t="shared" si="0"/>
        <v>April</v>
      </c>
      <c r="J34" s="22" t="str">
        <f t="shared" si="1"/>
        <v>Saturday</v>
      </c>
      <c r="K34" s="23">
        <v>6.7673611111111115E-2</v>
      </c>
      <c r="L34" s="22">
        <v>45041</v>
      </c>
      <c r="M34" s="24">
        <f>HOUR(orders!$K34)</f>
        <v>1</v>
      </c>
      <c r="N34" s="22" t="str">
        <f t="shared" si="2"/>
        <v>April</v>
      </c>
      <c r="O34" s="23">
        <v>9.2673611111111109E-2</v>
      </c>
      <c r="P34" s="23" t="str">
        <f>_xlfn.XLOOKUP(B34,[2]customers!$A$2:$A$101,[2]customers!$C$2:$C$101)</f>
        <v>Jorhat</v>
      </c>
      <c r="Q34" s="20" t="s">
        <v>63</v>
      </c>
      <c r="R34" s="20" t="s">
        <v>12</v>
      </c>
      <c r="S34" s="21">
        <f t="shared" si="3"/>
        <v>756</v>
      </c>
      <c r="T34" s="25">
        <f t="shared" si="4"/>
        <v>10</v>
      </c>
    </row>
    <row r="35" spans="1:20" x14ac:dyDescent="0.3">
      <c r="A35" s="14">
        <v>34</v>
      </c>
      <c r="B35" s="14" t="s">
        <v>73</v>
      </c>
      <c r="C35" s="14">
        <v>17</v>
      </c>
      <c r="D35" s="14" t="s">
        <v>455</v>
      </c>
      <c r="E35" s="14" t="s">
        <v>445</v>
      </c>
      <c r="F35" s="14">
        <v>2</v>
      </c>
      <c r="G35" s="15">
        <f>_xlfn.XLOOKUP(C35,[1]products!$A$2:$A$71,[1]products!$D$2:$D$71)</f>
        <v>1899</v>
      </c>
      <c r="H35" s="16">
        <v>45200</v>
      </c>
      <c r="I35" s="16" t="str">
        <f t="shared" si="0"/>
        <v>October</v>
      </c>
      <c r="J35" s="16" t="str">
        <f t="shared" si="1"/>
        <v>Sunday</v>
      </c>
      <c r="K35" s="17">
        <v>0.95711805555555562</v>
      </c>
      <c r="L35" s="16">
        <v>45204</v>
      </c>
      <c r="M35" s="18">
        <f>HOUR(orders!$K35)</f>
        <v>22</v>
      </c>
      <c r="N35" s="16" t="str">
        <f t="shared" si="2"/>
        <v>October</v>
      </c>
      <c r="O35" s="17">
        <v>0.23386574074074074</v>
      </c>
      <c r="P35" s="17" t="str">
        <f>_xlfn.XLOOKUP(B35,[2]customers!$A$2:$A$101,[2]customers!$C$2:$C$101)</f>
        <v>Tiruppur</v>
      </c>
      <c r="Q35" s="14" t="s">
        <v>74</v>
      </c>
      <c r="R35" s="14" t="s">
        <v>12</v>
      </c>
      <c r="S35" s="15">
        <f t="shared" si="3"/>
        <v>3798</v>
      </c>
      <c r="T35" s="19">
        <f t="shared" si="4"/>
        <v>4</v>
      </c>
    </row>
    <row r="36" spans="1:20" x14ac:dyDescent="0.3">
      <c r="A36" s="20">
        <v>35</v>
      </c>
      <c r="B36" s="20" t="s">
        <v>75</v>
      </c>
      <c r="C36" s="20">
        <v>7</v>
      </c>
      <c r="D36" s="20" t="s">
        <v>453</v>
      </c>
      <c r="E36" s="20" t="s">
        <v>445</v>
      </c>
      <c r="F36" s="20">
        <v>5</v>
      </c>
      <c r="G36" s="21">
        <f>_xlfn.XLOOKUP(C36,[1]products!$A$2:$A$71,[1]products!$D$2:$D$71)</f>
        <v>409</v>
      </c>
      <c r="H36" s="22">
        <v>44987</v>
      </c>
      <c r="I36" s="22" t="str">
        <f t="shared" si="0"/>
        <v>March</v>
      </c>
      <c r="J36" s="22" t="str">
        <f t="shared" si="1"/>
        <v>Thursday</v>
      </c>
      <c r="K36" s="23">
        <v>0.67391203703703706</v>
      </c>
      <c r="L36" s="22">
        <v>44990</v>
      </c>
      <c r="M36" s="24">
        <f>HOUR(orders!$K36)</f>
        <v>16</v>
      </c>
      <c r="N36" s="22" t="str">
        <f t="shared" si="2"/>
        <v>March</v>
      </c>
      <c r="O36" s="23">
        <v>0.625462962962963</v>
      </c>
      <c r="P36" s="23" t="str">
        <f>_xlfn.XLOOKUP(B36,[2]customers!$A$2:$A$101,[2]customers!$C$2:$C$101)</f>
        <v>Imphal</v>
      </c>
      <c r="Q36" s="20" t="s">
        <v>76</v>
      </c>
      <c r="R36" s="20" t="s">
        <v>36</v>
      </c>
      <c r="S36" s="21">
        <f t="shared" si="3"/>
        <v>2045</v>
      </c>
      <c r="T36" s="25">
        <f t="shared" si="4"/>
        <v>3</v>
      </c>
    </row>
    <row r="37" spans="1:20" x14ac:dyDescent="0.3">
      <c r="A37" s="14">
        <v>36</v>
      </c>
      <c r="B37" s="14" t="s">
        <v>16</v>
      </c>
      <c r="C37" s="14">
        <v>66</v>
      </c>
      <c r="D37" s="14" t="s">
        <v>456</v>
      </c>
      <c r="E37" s="14" t="s">
        <v>429</v>
      </c>
      <c r="F37" s="14">
        <v>1</v>
      </c>
      <c r="G37" s="15">
        <f>_xlfn.XLOOKUP(C37,[1]products!$A$2:$A$71,[1]products!$D$2:$D$71)</f>
        <v>610</v>
      </c>
      <c r="H37" s="16">
        <v>44989</v>
      </c>
      <c r="I37" s="16" t="str">
        <f t="shared" si="0"/>
        <v>March</v>
      </c>
      <c r="J37" s="16" t="str">
        <f t="shared" si="1"/>
        <v>Saturday</v>
      </c>
      <c r="K37" s="17">
        <v>0.43672453703703701</v>
      </c>
      <c r="L37" s="16">
        <v>44999</v>
      </c>
      <c r="M37" s="18">
        <f>HOUR(orders!$K37)</f>
        <v>10</v>
      </c>
      <c r="N37" s="16" t="str">
        <f t="shared" si="2"/>
        <v>March</v>
      </c>
      <c r="O37" s="17">
        <v>0.34362268518518518</v>
      </c>
      <c r="P37" s="17" t="str">
        <f>_xlfn.XLOOKUP(B37,[2]customers!$A$2:$A$101,[2]customers!$C$2:$C$101)</f>
        <v>Haridwar</v>
      </c>
      <c r="Q37" s="14" t="s">
        <v>77</v>
      </c>
      <c r="R37" s="14" t="s">
        <v>36</v>
      </c>
      <c r="S37" s="15">
        <f t="shared" si="3"/>
        <v>610</v>
      </c>
      <c r="T37" s="19">
        <f t="shared" si="4"/>
        <v>10</v>
      </c>
    </row>
    <row r="38" spans="1:20" x14ac:dyDescent="0.3">
      <c r="A38" s="20">
        <v>37</v>
      </c>
      <c r="B38" s="20" t="s">
        <v>78</v>
      </c>
      <c r="C38" s="20">
        <v>19</v>
      </c>
      <c r="D38" s="20" t="s">
        <v>457</v>
      </c>
      <c r="E38" s="20" t="s">
        <v>458</v>
      </c>
      <c r="F38" s="20">
        <v>5</v>
      </c>
      <c r="G38" s="21">
        <f>_xlfn.XLOOKUP(C38,[1]products!$A$2:$A$71,[1]products!$D$2:$D$71)</f>
        <v>1234</v>
      </c>
      <c r="H38" s="22">
        <v>44967</v>
      </c>
      <c r="I38" s="22" t="str">
        <f t="shared" si="0"/>
        <v>February</v>
      </c>
      <c r="J38" s="22" t="str">
        <f t="shared" si="1"/>
        <v>Friday</v>
      </c>
      <c r="K38" s="23">
        <v>0.45907407407407402</v>
      </c>
      <c r="L38" s="22">
        <v>44972</v>
      </c>
      <c r="M38" s="24">
        <f>HOUR(orders!$K38)</f>
        <v>11</v>
      </c>
      <c r="N38" s="22" t="str">
        <f t="shared" si="2"/>
        <v>February</v>
      </c>
      <c r="O38" s="23">
        <v>0.88861111111111113</v>
      </c>
      <c r="P38" s="23" t="str">
        <f>_xlfn.XLOOKUP(B38,[2]customers!$A$2:$A$101,[2]customers!$C$2:$C$101)</f>
        <v>Medininagar</v>
      </c>
      <c r="Q38" s="20" t="s">
        <v>79</v>
      </c>
      <c r="R38" s="20" t="s">
        <v>23</v>
      </c>
      <c r="S38" s="21">
        <f t="shared" si="3"/>
        <v>6170</v>
      </c>
      <c r="T38" s="25">
        <f t="shared" si="4"/>
        <v>5</v>
      </c>
    </row>
    <row r="39" spans="1:20" x14ac:dyDescent="0.3">
      <c r="A39" s="14">
        <v>38</v>
      </c>
      <c r="B39" s="14" t="s">
        <v>80</v>
      </c>
      <c r="C39" s="14">
        <v>37</v>
      </c>
      <c r="D39" s="14" t="s">
        <v>459</v>
      </c>
      <c r="E39" s="14" t="s">
        <v>429</v>
      </c>
      <c r="F39" s="14">
        <v>3</v>
      </c>
      <c r="G39" s="15">
        <f>_xlfn.XLOOKUP(C39,[1]products!$A$2:$A$71,[1]products!$D$2:$D$71)</f>
        <v>1428</v>
      </c>
      <c r="H39" s="16">
        <v>45241</v>
      </c>
      <c r="I39" s="16" t="str">
        <f t="shared" si="0"/>
        <v>November</v>
      </c>
      <c r="J39" s="16" t="str">
        <f t="shared" si="1"/>
        <v>Saturday</v>
      </c>
      <c r="K39" s="17">
        <v>0.52115740740740735</v>
      </c>
      <c r="L39" s="16">
        <v>45244</v>
      </c>
      <c r="M39" s="18">
        <f>HOUR(orders!$K39)</f>
        <v>12</v>
      </c>
      <c r="N39" s="16" t="str">
        <f t="shared" si="2"/>
        <v>November</v>
      </c>
      <c r="O39" s="17">
        <v>0.51725694444444448</v>
      </c>
      <c r="P39" s="17" t="str">
        <f>_xlfn.XLOOKUP(B39,[2]customers!$A$2:$A$101,[2]customers!$C$2:$C$101)</f>
        <v>Anand</v>
      </c>
      <c r="Q39" s="14" t="s">
        <v>81</v>
      </c>
      <c r="R39" s="14" t="s">
        <v>15</v>
      </c>
      <c r="S39" s="15">
        <f t="shared" si="3"/>
        <v>4284</v>
      </c>
      <c r="T39" s="19">
        <f t="shared" si="4"/>
        <v>3</v>
      </c>
    </row>
    <row r="40" spans="1:20" x14ac:dyDescent="0.3">
      <c r="A40" s="20">
        <v>39</v>
      </c>
      <c r="B40" s="20" t="s">
        <v>54</v>
      </c>
      <c r="C40" s="20">
        <v>43</v>
      </c>
      <c r="D40" s="20" t="s">
        <v>434</v>
      </c>
      <c r="E40" s="20" t="s">
        <v>26</v>
      </c>
      <c r="F40" s="20">
        <v>2</v>
      </c>
      <c r="G40" s="21">
        <f>_xlfn.XLOOKUP(C40,[1]products!$A$2:$A$71,[1]products!$D$2:$D$71)</f>
        <v>750</v>
      </c>
      <c r="H40" s="22">
        <v>45232</v>
      </c>
      <c r="I40" s="22" t="str">
        <f t="shared" si="0"/>
        <v>November</v>
      </c>
      <c r="J40" s="22" t="str">
        <f t="shared" si="1"/>
        <v>Thursday</v>
      </c>
      <c r="K40" s="23">
        <v>0.80969907407407404</v>
      </c>
      <c r="L40" s="22">
        <v>45234</v>
      </c>
      <c r="M40" s="24">
        <f>HOUR(orders!$K40)</f>
        <v>19</v>
      </c>
      <c r="N40" s="22" t="str">
        <f t="shared" si="2"/>
        <v>November</v>
      </c>
      <c r="O40" s="23">
        <v>0.56159722222222219</v>
      </c>
      <c r="P40" s="23" t="str">
        <f>_xlfn.XLOOKUP(B40,[2]customers!$A$2:$A$101,[2]customers!$C$2:$C$101)</f>
        <v>Bidhannagar</v>
      </c>
      <c r="Q40" s="20" t="s">
        <v>82</v>
      </c>
      <c r="R40" s="20" t="s">
        <v>15</v>
      </c>
      <c r="S40" s="21">
        <f t="shared" si="3"/>
        <v>1500</v>
      </c>
      <c r="T40" s="25">
        <f t="shared" si="4"/>
        <v>2</v>
      </c>
    </row>
    <row r="41" spans="1:20" x14ac:dyDescent="0.3">
      <c r="A41" s="14">
        <v>40</v>
      </c>
      <c r="B41" s="14" t="s">
        <v>83</v>
      </c>
      <c r="C41" s="14">
        <v>48</v>
      </c>
      <c r="D41" s="14" t="s">
        <v>460</v>
      </c>
      <c r="E41" s="14" t="s">
        <v>429</v>
      </c>
      <c r="F41" s="14">
        <v>4</v>
      </c>
      <c r="G41" s="15">
        <f>_xlfn.XLOOKUP(C41,[1]products!$A$2:$A$71,[1]products!$D$2:$D$71)</f>
        <v>433</v>
      </c>
      <c r="H41" s="16">
        <v>45232</v>
      </c>
      <c r="I41" s="16" t="str">
        <f t="shared" si="0"/>
        <v>November</v>
      </c>
      <c r="J41" s="16" t="str">
        <f t="shared" si="1"/>
        <v>Thursday</v>
      </c>
      <c r="K41" s="17">
        <v>0.59386574074074072</v>
      </c>
      <c r="L41" s="16">
        <v>45235</v>
      </c>
      <c r="M41" s="18">
        <f>HOUR(orders!$K41)</f>
        <v>14</v>
      </c>
      <c r="N41" s="16" t="str">
        <f t="shared" si="2"/>
        <v>November</v>
      </c>
      <c r="O41" s="17">
        <v>0.18743055555555554</v>
      </c>
      <c r="P41" s="17" t="str">
        <f>_xlfn.XLOOKUP(B41,[2]customers!$A$2:$A$101,[2]customers!$C$2:$C$101)</f>
        <v>Malegaon</v>
      </c>
      <c r="Q41" s="14" t="s">
        <v>84</v>
      </c>
      <c r="R41" s="14" t="s">
        <v>15</v>
      </c>
      <c r="S41" s="15">
        <f t="shared" si="3"/>
        <v>1732</v>
      </c>
      <c r="T41" s="19">
        <f t="shared" si="4"/>
        <v>3</v>
      </c>
    </row>
    <row r="42" spans="1:20" x14ac:dyDescent="0.3">
      <c r="A42" s="20">
        <v>41</v>
      </c>
      <c r="B42" s="20" t="s">
        <v>72</v>
      </c>
      <c r="C42" s="20">
        <v>54</v>
      </c>
      <c r="D42" s="20" t="s">
        <v>461</v>
      </c>
      <c r="E42" s="20" t="s">
        <v>431</v>
      </c>
      <c r="F42" s="20">
        <v>4</v>
      </c>
      <c r="G42" s="21">
        <f>_xlfn.XLOOKUP(C42,[1]products!$A$2:$A$71,[1]products!$D$2:$D$71)</f>
        <v>1236</v>
      </c>
      <c r="H42" s="22">
        <v>45085</v>
      </c>
      <c r="I42" s="22" t="str">
        <f t="shared" si="0"/>
        <v>June</v>
      </c>
      <c r="J42" s="22" t="str">
        <f t="shared" si="1"/>
        <v>Thursday</v>
      </c>
      <c r="K42" s="23">
        <v>0.80543981481481486</v>
      </c>
      <c r="L42" s="22">
        <v>45087</v>
      </c>
      <c r="M42" s="24">
        <f>HOUR(orders!$K42)</f>
        <v>19</v>
      </c>
      <c r="N42" s="22" t="str">
        <f t="shared" si="2"/>
        <v>June</v>
      </c>
      <c r="O42" s="23">
        <v>0.60395833333333326</v>
      </c>
      <c r="P42" s="23" t="str">
        <f>_xlfn.XLOOKUP(B42,[2]customers!$A$2:$A$101,[2]customers!$C$2:$C$101)</f>
        <v>Jorhat</v>
      </c>
      <c r="Q42" s="20" t="s">
        <v>85</v>
      </c>
      <c r="R42" s="20" t="s">
        <v>12</v>
      </c>
      <c r="S42" s="21">
        <f t="shared" si="3"/>
        <v>4944</v>
      </c>
      <c r="T42" s="25">
        <f t="shared" si="4"/>
        <v>2</v>
      </c>
    </row>
    <row r="43" spans="1:20" x14ac:dyDescent="0.3">
      <c r="A43" s="14">
        <v>42</v>
      </c>
      <c r="B43" s="14" t="s">
        <v>86</v>
      </c>
      <c r="C43" s="14">
        <v>35</v>
      </c>
      <c r="D43" s="14" t="s">
        <v>462</v>
      </c>
      <c r="E43" s="14" t="s">
        <v>429</v>
      </c>
      <c r="F43" s="14">
        <v>1</v>
      </c>
      <c r="G43" s="15">
        <f>_xlfn.XLOOKUP(C43,[1]products!$A$2:$A$71,[1]products!$D$2:$D$71)</f>
        <v>1865</v>
      </c>
      <c r="H43" s="16">
        <v>44983</v>
      </c>
      <c r="I43" s="16" t="str">
        <f t="shared" si="0"/>
        <v>February</v>
      </c>
      <c r="J43" s="16" t="str">
        <f t="shared" si="1"/>
        <v>Sunday</v>
      </c>
      <c r="K43" s="17">
        <v>5.9953703703703697E-3</v>
      </c>
      <c r="L43" s="16">
        <v>44992</v>
      </c>
      <c r="M43" s="18">
        <f>HOUR(orders!$K43)</f>
        <v>0</v>
      </c>
      <c r="N43" s="16" t="str">
        <f t="shared" si="2"/>
        <v>March</v>
      </c>
      <c r="O43" s="17">
        <v>0.7211574074074073</v>
      </c>
      <c r="P43" s="17" t="str">
        <f>_xlfn.XLOOKUP(B43,[2]customers!$A$2:$A$101,[2]customers!$C$2:$C$101)</f>
        <v>Bhopal</v>
      </c>
      <c r="Q43" s="14" t="s">
        <v>87</v>
      </c>
      <c r="R43" s="14" t="s">
        <v>36</v>
      </c>
      <c r="S43" s="15">
        <f t="shared" si="3"/>
        <v>1865</v>
      </c>
      <c r="T43" s="19">
        <f t="shared" si="4"/>
        <v>9</v>
      </c>
    </row>
    <row r="44" spans="1:20" x14ac:dyDescent="0.3">
      <c r="A44" s="20">
        <v>43</v>
      </c>
      <c r="B44" s="20" t="s">
        <v>88</v>
      </c>
      <c r="C44" s="20">
        <v>49</v>
      </c>
      <c r="D44" s="20" t="s">
        <v>463</v>
      </c>
      <c r="E44" s="20" t="s">
        <v>429</v>
      </c>
      <c r="F44" s="20">
        <v>3</v>
      </c>
      <c r="G44" s="21">
        <f>_xlfn.XLOOKUP(C44,[1]products!$A$2:$A$71,[1]products!$D$2:$D$71)</f>
        <v>903</v>
      </c>
      <c r="H44" s="22">
        <v>44969</v>
      </c>
      <c r="I44" s="22" t="str">
        <f t="shared" si="0"/>
        <v>February</v>
      </c>
      <c r="J44" s="22" t="str">
        <f t="shared" si="1"/>
        <v>Sunday</v>
      </c>
      <c r="K44" s="23">
        <v>0.93837962962962962</v>
      </c>
      <c r="L44" s="22">
        <v>44973</v>
      </c>
      <c r="M44" s="24">
        <f>HOUR(orders!$K44)</f>
        <v>22</v>
      </c>
      <c r="N44" s="22" t="str">
        <f t="shared" si="2"/>
        <v>February</v>
      </c>
      <c r="O44" s="23">
        <v>0.11651620370370371</v>
      </c>
      <c r="P44" s="23" t="str">
        <f>_xlfn.XLOOKUP(B44,[2]customers!$A$2:$A$101,[2]customers!$C$2:$C$101)</f>
        <v>Guna</v>
      </c>
      <c r="Q44" s="20" t="s">
        <v>89</v>
      </c>
      <c r="R44" s="20" t="s">
        <v>23</v>
      </c>
      <c r="S44" s="21">
        <f t="shared" si="3"/>
        <v>2709</v>
      </c>
      <c r="T44" s="25">
        <f t="shared" si="4"/>
        <v>4</v>
      </c>
    </row>
    <row r="45" spans="1:20" x14ac:dyDescent="0.3">
      <c r="A45" s="14">
        <v>44</v>
      </c>
      <c r="B45" s="14" t="s">
        <v>90</v>
      </c>
      <c r="C45" s="14">
        <v>14</v>
      </c>
      <c r="D45" s="14" t="s">
        <v>428</v>
      </c>
      <c r="E45" s="14" t="s">
        <v>429</v>
      </c>
      <c r="F45" s="14">
        <v>1</v>
      </c>
      <c r="G45" s="15">
        <f>_xlfn.XLOOKUP(C45,[1]products!$A$2:$A$71,[1]products!$D$2:$D$71)</f>
        <v>1915</v>
      </c>
      <c r="H45" s="16">
        <v>45124</v>
      </c>
      <c r="I45" s="16" t="str">
        <f t="shared" si="0"/>
        <v>July</v>
      </c>
      <c r="J45" s="16" t="str">
        <f t="shared" si="1"/>
        <v>Monday</v>
      </c>
      <c r="K45" s="17">
        <v>0.91523148148148137</v>
      </c>
      <c r="L45" s="16">
        <v>45134</v>
      </c>
      <c r="M45" s="18">
        <f>HOUR(orders!$K45)</f>
        <v>21</v>
      </c>
      <c r="N45" s="16" t="str">
        <f t="shared" si="2"/>
        <v>July</v>
      </c>
      <c r="O45" s="17">
        <v>0.45010416666666669</v>
      </c>
      <c r="P45" s="17" t="str">
        <f>_xlfn.XLOOKUP(B45,[2]customers!$A$2:$A$101,[2]customers!$C$2:$C$101)</f>
        <v>Karimnagar</v>
      </c>
      <c r="Q45" s="14" t="s">
        <v>91</v>
      </c>
      <c r="R45" s="14" t="s">
        <v>20</v>
      </c>
      <c r="S45" s="15">
        <f t="shared" si="3"/>
        <v>1915</v>
      </c>
      <c r="T45" s="19">
        <f t="shared" si="4"/>
        <v>10</v>
      </c>
    </row>
    <row r="46" spans="1:20" x14ac:dyDescent="0.3">
      <c r="A46" s="20">
        <v>45</v>
      </c>
      <c r="B46" s="20" t="s">
        <v>29</v>
      </c>
      <c r="C46" s="20">
        <v>61</v>
      </c>
      <c r="D46" s="20" t="s">
        <v>464</v>
      </c>
      <c r="E46" s="20" t="s">
        <v>447</v>
      </c>
      <c r="F46" s="20">
        <v>5</v>
      </c>
      <c r="G46" s="21">
        <f>_xlfn.XLOOKUP(C46,[1]products!$A$2:$A$71,[1]products!$D$2:$D$71)</f>
        <v>810</v>
      </c>
      <c r="H46" s="22">
        <v>45044</v>
      </c>
      <c r="I46" s="22" t="str">
        <f t="shared" si="0"/>
        <v>April</v>
      </c>
      <c r="J46" s="22" t="str">
        <f t="shared" si="1"/>
        <v>Friday</v>
      </c>
      <c r="K46" s="23">
        <v>0.60168981481481476</v>
      </c>
      <c r="L46" s="22">
        <v>45045</v>
      </c>
      <c r="M46" s="24">
        <f>HOUR(orders!$K46)</f>
        <v>14</v>
      </c>
      <c r="N46" s="22" t="str">
        <f t="shared" si="2"/>
        <v>April</v>
      </c>
      <c r="O46" s="23">
        <v>0.26152777777777775</v>
      </c>
      <c r="P46" s="23" t="str">
        <f>_xlfn.XLOOKUP(B46,[2]customers!$A$2:$A$101,[2]customers!$C$2:$C$101)</f>
        <v>Sri Ganganagar</v>
      </c>
      <c r="Q46" s="20" t="s">
        <v>92</v>
      </c>
      <c r="R46" s="20" t="s">
        <v>12</v>
      </c>
      <c r="S46" s="21">
        <f t="shared" si="3"/>
        <v>4050</v>
      </c>
      <c r="T46" s="25">
        <f t="shared" si="4"/>
        <v>1</v>
      </c>
    </row>
    <row r="47" spans="1:20" x14ac:dyDescent="0.3">
      <c r="A47" s="14">
        <v>46</v>
      </c>
      <c r="B47" s="14" t="s">
        <v>93</v>
      </c>
      <c r="C47" s="14">
        <v>22</v>
      </c>
      <c r="D47" s="14" t="s">
        <v>465</v>
      </c>
      <c r="E47" s="14" t="s">
        <v>445</v>
      </c>
      <c r="F47" s="14">
        <v>4</v>
      </c>
      <c r="G47" s="15">
        <f>_xlfn.XLOOKUP(C47,[1]products!$A$2:$A$71,[1]products!$D$2:$D$71)</f>
        <v>1639</v>
      </c>
      <c r="H47" s="16">
        <v>45034</v>
      </c>
      <c r="I47" s="16" t="str">
        <f t="shared" si="0"/>
        <v>April</v>
      </c>
      <c r="J47" s="16" t="str">
        <f t="shared" si="1"/>
        <v>Tuesday</v>
      </c>
      <c r="K47" s="17">
        <v>0.13971064814814815</v>
      </c>
      <c r="L47" s="16">
        <v>45039</v>
      </c>
      <c r="M47" s="18">
        <f>HOUR(orders!$K47)</f>
        <v>3</v>
      </c>
      <c r="N47" s="16" t="str">
        <f t="shared" si="2"/>
        <v>April</v>
      </c>
      <c r="O47" s="17">
        <v>0.3352430555555555</v>
      </c>
      <c r="P47" s="17" t="str">
        <f>_xlfn.XLOOKUP(B47,[2]customers!$A$2:$A$101,[2]customers!$C$2:$C$101)</f>
        <v>Kalyan-Dombivli</v>
      </c>
      <c r="Q47" s="14" t="s">
        <v>94</v>
      </c>
      <c r="R47" s="14" t="s">
        <v>60</v>
      </c>
      <c r="S47" s="15">
        <f t="shared" si="3"/>
        <v>6556</v>
      </c>
      <c r="T47" s="19">
        <f t="shared" si="4"/>
        <v>5</v>
      </c>
    </row>
    <row r="48" spans="1:20" x14ac:dyDescent="0.3">
      <c r="A48" s="20">
        <v>47</v>
      </c>
      <c r="B48" s="20" t="s">
        <v>43</v>
      </c>
      <c r="C48" s="20">
        <v>7</v>
      </c>
      <c r="D48" s="20" t="s">
        <v>453</v>
      </c>
      <c r="E48" s="20" t="s">
        <v>445</v>
      </c>
      <c r="F48" s="20">
        <v>5</v>
      </c>
      <c r="G48" s="21">
        <f>_xlfn.XLOOKUP(C48,[1]products!$A$2:$A$71,[1]products!$D$2:$D$71)</f>
        <v>409</v>
      </c>
      <c r="H48" s="22">
        <v>44983</v>
      </c>
      <c r="I48" s="22" t="str">
        <f t="shared" si="0"/>
        <v>February</v>
      </c>
      <c r="J48" s="22" t="str">
        <f t="shared" si="1"/>
        <v>Sunday</v>
      </c>
      <c r="K48" s="23">
        <v>0.54476851851851849</v>
      </c>
      <c r="L48" s="22">
        <v>44985</v>
      </c>
      <c r="M48" s="24">
        <f>HOUR(orders!$K48)</f>
        <v>13</v>
      </c>
      <c r="N48" s="22" t="str">
        <f t="shared" si="2"/>
        <v>February</v>
      </c>
      <c r="O48" s="23">
        <v>0.2502314814814815</v>
      </c>
      <c r="P48" s="23" t="str">
        <f>_xlfn.XLOOKUP(B48,[2]customers!$A$2:$A$101,[2]customers!$C$2:$C$101)</f>
        <v>Mangalore</v>
      </c>
      <c r="Q48" s="20" t="s">
        <v>14</v>
      </c>
      <c r="R48" s="20" t="s">
        <v>36</v>
      </c>
      <c r="S48" s="21">
        <f t="shared" si="3"/>
        <v>2045</v>
      </c>
      <c r="T48" s="25">
        <f t="shared" si="4"/>
        <v>2</v>
      </c>
    </row>
    <row r="49" spans="1:20" x14ac:dyDescent="0.3">
      <c r="A49" s="14">
        <v>48</v>
      </c>
      <c r="B49" s="14" t="s">
        <v>95</v>
      </c>
      <c r="C49" s="14">
        <v>65</v>
      </c>
      <c r="D49" s="14" t="s">
        <v>466</v>
      </c>
      <c r="E49" s="14" t="s">
        <v>26</v>
      </c>
      <c r="F49" s="14">
        <v>4</v>
      </c>
      <c r="G49" s="15">
        <f>_xlfn.XLOOKUP(C49,[1]products!$A$2:$A$71,[1]products!$D$2:$D$71)</f>
        <v>1895</v>
      </c>
      <c r="H49" s="16">
        <v>45242</v>
      </c>
      <c r="I49" s="16" t="str">
        <f t="shared" si="0"/>
        <v>November</v>
      </c>
      <c r="J49" s="16" t="str">
        <f t="shared" si="1"/>
        <v>Sunday</v>
      </c>
      <c r="K49" s="17">
        <v>0.83368055555555554</v>
      </c>
      <c r="L49" s="16">
        <v>45246</v>
      </c>
      <c r="M49" s="18">
        <f>HOUR(orders!$K49)</f>
        <v>20</v>
      </c>
      <c r="N49" s="16" t="str">
        <f t="shared" si="2"/>
        <v>November</v>
      </c>
      <c r="O49" s="17">
        <v>0.23034722222222223</v>
      </c>
      <c r="P49" s="17" t="str">
        <f>_xlfn.XLOOKUP(B49,[2]customers!$A$2:$A$101,[2]customers!$C$2:$C$101)</f>
        <v>Sasaram</v>
      </c>
      <c r="Q49" s="14" t="s">
        <v>96</v>
      </c>
      <c r="R49" s="14" t="s">
        <v>60</v>
      </c>
      <c r="S49" s="15">
        <f t="shared" si="3"/>
        <v>7580</v>
      </c>
      <c r="T49" s="19">
        <f t="shared" si="4"/>
        <v>4</v>
      </c>
    </row>
    <row r="50" spans="1:20" x14ac:dyDescent="0.3">
      <c r="A50" s="20">
        <v>49</v>
      </c>
      <c r="B50" s="20" t="s">
        <v>97</v>
      </c>
      <c r="C50" s="20">
        <v>43</v>
      </c>
      <c r="D50" s="20" t="s">
        <v>434</v>
      </c>
      <c r="E50" s="20" t="s">
        <v>26</v>
      </c>
      <c r="F50" s="20">
        <v>1</v>
      </c>
      <c r="G50" s="21">
        <f>_xlfn.XLOOKUP(C50,[1]products!$A$2:$A$71,[1]products!$D$2:$D$71)</f>
        <v>750</v>
      </c>
      <c r="H50" s="22">
        <v>45241</v>
      </c>
      <c r="I50" s="22" t="str">
        <f t="shared" si="0"/>
        <v>November</v>
      </c>
      <c r="J50" s="22" t="str">
        <f t="shared" si="1"/>
        <v>Saturday</v>
      </c>
      <c r="K50" s="23">
        <v>0.73923611111111109</v>
      </c>
      <c r="L50" s="22">
        <v>45248</v>
      </c>
      <c r="M50" s="24">
        <f>HOUR(orders!$K50)</f>
        <v>17</v>
      </c>
      <c r="N50" s="22" t="str">
        <f t="shared" si="2"/>
        <v>November</v>
      </c>
      <c r="O50" s="23">
        <v>0.57629629629629631</v>
      </c>
      <c r="P50" s="23" t="str">
        <f>_xlfn.XLOOKUP(B50,[2]customers!$A$2:$A$101,[2]customers!$C$2:$C$101)</f>
        <v>Machilipatnam</v>
      </c>
      <c r="Q50" s="20" t="s">
        <v>98</v>
      </c>
      <c r="R50" s="20" t="s">
        <v>15</v>
      </c>
      <c r="S50" s="21">
        <f t="shared" si="3"/>
        <v>750</v>
      </c>
      <c r="T50" s="25">
        <f t="shared" si="4"/>
        <v>7</v>
      </c>
    </row>
    <row r="51" spans="1:20" x14ac:dyDescent="0.3">
      <c r="A51" s="14">
        <v>50</v>
      </c>
      <c r="B51" s="14" t="s">
        <v>99</v>
      </c>
      <c r="C51" s="14">
        <v>41</v>
      </c>
      <c r="D51" s="14" t="s">
        <v>426</v>
      </c>
      <c r="E51" s="14" t="s">
        <v>427</v>
      </c>
      <c r="F51" s="14">
        <v>4</v>
      </c>
      <c r="G51" s="15">
        <f>_xlfn.XLOOKUP(C51,[1]products!$A$2:$A$71,[1]products!$D$2:$D$71)</f>
        <v>1977</v>
      </c>
      <c r="H51" s="16">
        <v>45239</v>
      </c>
      <c r="I51" s="16" t="str">
        <f t="shared" si="0"/>
        <v>November</v>
      </c>
      <c r="J51" s="16" t="str">
        <f t="shared" si="1"/>
        <v>Thursday</v>
      </c>
      <c r="K51" s="17">
        <v>0.28927083333333331</v>
      </c>
      <c r="L51" s="16">
        <v>45246</v>
      </c>
      <c r="M51" s="18">
        <f>HOUR(orders!$K51)</f>
        <v>6</v>
      </c>
      <c r="N51" s="16" t="str">
        <f t="shared" si="2"/>
        <v>November</v>
      </c>
      <c r="O51" s="17">
        <v>0.43011574074074077</v>
      </c>
      <c r="P51" s="17" t="str">
        <f>_xlfn.XLOOKUP(B51,[2]customers!$A$2:$A$101,[2]customers!$C$2:$C$101)</f>
        <v>Panvel</v>
      </c>
      <c r="Q51" s="14" t="s">
        <v>100</v>
      </c>
      <c r="R51" s="14" t="s">
        <v>15</v>
      </c>
      <c r="S51" s="15">
        <f t="shared" si="3"/>
        <v>7908</v>
      </c>
      <c r="T51" s="19">
        <f t="shared" si="4"/>
        <v>7</v>
      </c>
    </row>
    <row r="52" spans="1:20" x14ac:dyDescent="0.3">
      <c r="A52" s="20">
        <v>51</v>
      </c>
      <c r="B52" s="20" t="s">
        <v>101</v>
      </c>
      <c r="C52" s="20">
        <v>10</v>
      </c>
      <c r="D52" s="20" t="s">
        <v>452</v>
      </c>
      <c r="E52" s="20" t="s">
        <v>431</v>
      </c>
      <c r="F52" s="20">
        <v>1</v>
      </c>
      <c r="G52" s="21">
        <f>_xlfn.XLOOKUP(C52,[1]products!$A$2:$A$71,[1]products!$D$2:$D$71)</f>
        <v>259</v>
      </c>
      <c r="H52" s="22">
        <v>45000</v>
      </c>
      <c r="I52" s="22" t="str">
        <f t="shared" si="0"/>
        <v>March</v>
      </c>
      <c r="J52" s="22" t="str">
        <f t="shared" si="1"/>
        <v>Wednesday</v>
      </c>
      <c r="K52" s="23">
        <v>0.3915393518518519</v>
      </c>
      <c r="L52" s="22">
        <v>45004</v>
      </c>
      <c r="M52" s="24">
        <f>HOUR(orders!$K52)</f>
        <v>9</v>
      </c>
      <c r="N52" s="22" t="str">
        <f t="shared" si="2"/>
        <v>March</v>
      </c>
      <c r="O52" s="23">
        <v>0.69907407407407407</v>
      </c>
      <c r="P52" s="23" t="str">
        <f>_xlfn.XLOOKUP(B52,[2]customers!$A$2:$A$101,[2]customers!$C$2:$C$101)</f>
        <v>Dibrugarh</v>
      </c>
      <c r="Q52" s="20" t="s">
        <v>102</v>
      </c>
      <c r="R52" s="20" t="s">
        <v>20</v>
      </c>
      <c r="S52" s="21">
        <f t="shared" si="3"/>
        <v>259</v>
      </c>
      <c r="T52" s="25">
        <f t="shared" si="4"/>
        <v>4</v>
      </c>
    </row>
    <row r="53" spans="1:20" x14ac:dyDescent="0.3">
      <c r="A53" s="14">
        <v>52</v>
      </c>
      <c r="B53" s="14" t="s">
        <v>103</v>
      </c>
      <c r="C53" s="14">
        <v>9</v>
      </c>
      <c r="D53" s="14" t="s">
        <v>451</v>
      </c>
      <c r="E53" s="14" t="s">
        <v>429</v>
      </c>
      <c r="F53" s="14">
        <v>1</v>
      </c>
      <c r="G53" s="15">
        <f>_xlfn.XLOOKUP(C53,[1]products!$A$2:$A$71,[1]products!$D$2:$D$71)</f>
        <v>1605</v>
      </c>
      <c r="H53" s="16">
        <v>45167</v>
      </c>
      <c r="I53" s="16" t="str">
        <f t="shared" si="0"/>
        <v>August</v>
      </c>
      <c r="J53" s="16" t="str">
        <f t="shared" si="1"/>
        <v>Tuesday</v>
      </c>
      <c r="K53" s="17">
        <v>0.83011574074074079</v>
      </c>
      <c r="L53" s="16">
        <v>45176</v>
      </c>
      <c r="M53" s="18">
        <f>HOUR(orders!$K53)</f>
        <v>19</v>
      </c>
      <c r="N53" s="16" t="str">
        <f t="shared" si="2"/>
        <v>September</v>
      </c>
      <c r="O53" s="17">
        <v>0.18196759259259257</v>
      </c>
      <c r="P53" s="17" t="str">
        <f>_xlfn.XLOOKUP(B53,[2]customers!$A$2:$A$101,[2]customers!$C$2:$C$101)</f>
        <v>Bidhannagar</v>
      </c>
      <c r="Q53" s="14" t="s">
        <v>104</v>
      </c>
      <c r="R53" s="14" t="s">
        <v>26</v>
      </c>
      <c r="S53" s="15">
        <f t="shared" si="3"/>
        <v>1605</v>
      </c>
      <c r="T53" s="19">
        <f t="shared" si="4"/>
        <v>9</v>
      </c>
    </row>
    <row r="54" spans="1:20" x14ac:dyDescent="0.3">
      <c r="A54" s="20">
        <v>53</v>
      </c>
      <c r="B54" s="20" t="s">
        <v>105</v>
      </c>
      <c r="C54" s="20">
        <v>9</v>
      </c>
      <c r="D54" s="20" t="s">
        <v>451</v>
      </c>
      <c r="E54" s="20" t="s">
        <v>429</v>
      </c>
      <c r="F54" s="20">
        <v>5</v>
      </c>
      <c r="G54" s="21">
        <f>_xlfn.XLOOKUP(C54,[1]products!$A$2:$A$71,[1]products!$D$2:$D$71)</f>
        <v>1605</v>
      </c>
      <c r="H54" s="22">
        <v>45158</v>
      </c>
      <c r="I54" s="22" t="str">
        <f t="shared" si="0"/>
        <v>August</v>
      </c>
      <c r="J54" s="22" t="str">
        <f t="shared" si="1"/>
        <v>Sunday</v>
      </c>
      <c r="K54" s="23">
        <v>0.35121527777777778</v>
      </c>
      <c r="L54" s="22">
        <v>45165</v>
      </c>
      <c r="M54" s="24">
        <f>HOUR(orders!$K54)</f>
        <v>8</v>
      </c>
      <c r="N54" s="22" t="str">
        <f t="shared" si="2"/>
        <v>August</v>
      </c>
      <c r="O54" s="23">
        <v>0.24966435185185185</v>
      </c>
      <c r="P54" s="23" t="str">
        <f>_xlfn.XLOOKUP(B54,[2]customers!$A$2:$A$101,[2]customers!$C$2:$C$101)</f>
        <v>Maheshtala</v>
      </c>
      <c r="Q54" s="20" t="s">
        <v>106</v>
      </c>
      <c r="R54" s="20" t="s">
        <v>26</v>
      </c>
      <c r="S54" s="21">
        <f t="shared" si="3"/>
        <v>8025</v>
      </c>
      <c r="T54" s="25">
        <f t="shared" si="4"/>
        <v>7</v>
      </c>
    </row>
    <row r="55" spans="1:20" x14ac:dyDescent="0.3">
      <c r="A55" s="14">
        <v>54</v>
      </c>
      <c r="B55" s="14" t="s">
        <v>93</v>
      </c>
      <c r="C55" s="14">
        <v>30</v>
      </c>
      <c r="D55" s="14" t="s">
        <v>449</v>
      </c>
      <c r="E55" s="14" t="s">
        <v>429</v>
      </c>
      <c r="F55" s="14">
        <v>1</v>
      </c>
      <c r="G55" s="15">
        <f>_xlfn.XLOOKUP(C55,[1]products!$A$2:$A$71,[1]products!$D$2:$D$71)</f>
        <v>751</v>
      </c>
      <c r="H55" s="16">
        <v>45029</v>
      </c>
      <c r="I55" s="16" t="str">
        <f t="shared" si="0"/>
        <v>April</v>
      </c>
      <c r="J55" s="16" t="str">
        <f t="shared" si="1"/>
        <v>Thursday</v>
      </c>
      <c r="K55" s="17">
        <v>0.41320601851851851</v>
      </c>
      <c r="L55" s="16">
        <v>45039</v>
      </c>
      <c r="M55" s="18">
        <f>HOUR(orders!$K55)</f>
        <v>9</v>
      </c>
      <c r="N55" s="16" t="str">
        <f t="shared" si="2"/>
        <v>April</v>
      </c>
      <c r="O55" s="17">
        <v>0.60484953703703703</v>
      </c>
      <c r="P55" s="17" t="str">
        <f>_xlfn.XLOOKUP(B55,[2]customers!$A$2:$A$101,[2]customers!$C$2:$C$101)</f>
        <v>Kalyan-Dombivli</v>
      </c>
      <c r="Q55" s="14" t="s">
        <v>107</v>
      </c>
      <c r="R55" s="14" t="s">
        <v>12</v>
      </c>
      <c r="S55" s="15">
        <f t="shared" si="3"/>
        <v>751</v>
      </c>
      <c r="T55" s="19">
        <f t="shared" si="4"/>
        <v>10</v>
      </c>
    </row>
    <row r="56" spans="1:20" x14ac:dyDescent="0.3">
      <c r="A56" s="20">
        <v>55</v>
      </c>
      <c r="B56" s="20" t="s">
        <v>24</v>
      </c>
      <c r="C56" s="20">
        <v>5</v>
      </c>
      <c r="D56" s="20" t="s">
        <v>467</v>
      </c>
      <c r="E56" s="20" t="s">
        <v>429</v>
      </c>
      <c r="F56" s="20">
        <v>1</v>
      </c>
      <c r="G56" s="21">
        <f>_xlfn.XLOOKUP(C56,[1]products!$A$2:$A$71,[1]products!$D$2:$D$71)</f>
        <v>1444</v>
      </c>
      <c r="H56" s="22">
        <v>44965</v>
      </c>
      <c r="I56" s="22" t="str">
        <f t="shared" si="0"/>
        <v>February</v>
      </c>
      <c r="J56" s="22" t="str">
        <f t="shared" si="1"/>
        <v>Wednesday</v>
      </c>
      <c r="K56" s="23">
        <v>0.33410879629629631</v>
      </c>
      <c r="L56" s="22">
        <v>44970</v>
      </c>
      <c r="M56" s="24">
        <f>HOUR(orders!$K56)</f>
        <v>8</v>
      </c>
      <c r="N56" s="22" t="str">
        <f t="shared" si="2"/>
        <v>February</v>
      </c>
      <c r="O56" s="23">
        <v>0.32150462962962961</v>
      </c>
      <c r="P56" s="23" t="str">
        <f>_xlfn.XLOOKUP(B56,[2]customers!$A$2:$A$101,[2]customers!$C$2:$C$101)</f>
        <v>Pallavaram</v>
      </c>
      <c r="Q56" s="20" t="s">
        <v>108</v>
      </c>
      <c r="R56" s="20" t="s">
        <v>60</v>
      </c>
      <c r="S56" s="21">
        <f t="shared" si="3"/>
        <v>1444</v>
      </c>
      <c r="T56" s="25">
        <f t="shared" si="4"/>
        <v>5</v>
      </c>
    </row>
    <row r="57" spans="1:20" x14ac:dyDescent="0.3">
      <c r="A57" s="14">
        <v>56</v>
      </c>
      <c r="B57" s="14" t="s">
        <v>109</v>
      </c>
      <c r="C57" s="14">
        <v>58</v>
      </c>
      <c r="D57" s="14" t="s">
        <v>430</v>
      </c>
      <c r="E57" s="14" t="s">
        <v>431</v>
      </c>
      <c r="F57" s="14">
        <v>5</v>
      </c>
      <c r="G57" s="15">
        <f>_xlfn.XLOOKUP(C57,[1]products!$A$2:$A$71,[1]products!$D$2:$D$71)</f>
        <v>1492</v>
      </c>
      <c r="H57" s="16">
        <v>44965</v>
      </c>
      <c r="I57" s="16" t="str">
        <f t="shared" si="0"/>
        <v>February</v>
      </c>
      <c r="J57" s="16" t="str">
        <f t="shared" si="1"/>
        <v>Wednesday</v>
      </c>
      <c r="K57" s="17">
        <v>0.5081944444444445</v>
      </c>
      <c r="L57" s="16">
        <v>44970</v>
      </c>
      <c r="M57" s="18">
        <f>HOUR(orders!$K57)</f>
        <v>12</v>
      </c>
      <c r="N57" s="16" t="str">
        <f t="shared" si="2"/>
        <v>February</v>
      </c>
      <c r="O57" s="17">
        <v>0.78609953703703705</v>
      </c>
      <c r="P57" s="17" t="str">
        <f>_xlfn.XLOOKUP(B57,[2]customers!$A$2:$A$101,[2]customers!$C$2:$C$101)</f>
        <v>Warangal</v>
      </c>
      <c r="Q57" s="14" t="s">
        <v>110</v>
      </c>
      <c r="R57" s="14" t="s">
        <v>23</v>
      </c>
      <c r="S57" s="15">
        <f t="shared" si="3"/>
        <v>7460</v>
      </c>
      <c r="T57" s="19">
        <f t="shared" si="4"/>
        <v>5</v>
      </c>
    </row>
    <row r="58" spans="1:20" x14ac:dyDescent="0.3">
      <c r="A58" s="20">
        <v>57</v>
      </c>
      <c r="B58" s="20" t="s">
        <v>52</v>
      </c>
      <c r="C58" s="20">
        <v>35</v>
      </c>
      <c r="D58" s="20" t="s">
        <v>462</v>
      </c>
      <c r="E58" s="20" t="s">
        <v>429</v>
      </c>
      <c r="F58" s="20">
        <v>5</v>
      </c>
      <c r="G58" s="21">
        <f>_xlfn.XLOOKUP(C58,[1]products!$A$2:$A$71,[1]products!$D$2:$D$71)</f>
        <v>1865</v>
      </c>
      <c r="H58" s="22">
        <v>44983</v>
      </c>
      <c r="I58" s="22" t="str">
        <f t="shared" si="0"/>
        <v>February</v>
      </c>
      <c r="J58" s="22" t="str">
        <f t="shared" si="1"/>
        <v>Sunday</v>
      </c>
      <c r="K58" s="23">
        <v>0.33350694444444445</v>
      </c>
      <c r="L58" s="22">
        <v>44991</v>
      </c>
      <c r="M58" s="24">
        <f>HOUR(orders!$K58)</f>
        <v>8</v>
      </c>
      <c r="N58" s="22" t="str">
        <f t="shared" si="2"/>
        <v>March</v>
      </c>
      <c r="O58" s="23">
        <v>0.5191203703703704</v>
      </c>
      <c r="P58" s="23" t="str">
        <f>_xlfn.XLOOKUP(B58,[2]customers!$A$2:$A$101,[2]customers!$C$2:$C$101)</f>
        <v>Anantapuram</v>
      </c>
      <c r="Q58" s="20" t="s">
        <v>111</v>
      </c>
      <c r="R58" s="20" t="s">
        <v>36</v>
      </c>
      <c r="S58" s="21">
        <f t="shared" si="3"/>
        <v>9325</v>
      </c>
      <c r="T58" s="25">
        <f t="shared" si="4"/>
        <v>8</v>
      </c>
    </row>
    <row r="59" spans="1:20" x14ac:dyDescent="0.3">
      <c r="A59" s="14">
        <v>58</v>
      </c>
      <c r="B59" s="14" t="s">
        <v>112</v>
      </c>
      <c r="C59" s="14">
        <v>36</v>
      </c>
      <c r="D59" s="14" t="s">
        <v>468</v>
      </c>
      <c r="E59" s="14" t="s">
        <v>447</v>
      </c>
      <c r="F59" s="14">
        <v>1</v>
      </c>
      <c r="G59" s="15">
        <f>_xlfn.XLOOKUP(C59,[1]products!$A$2:$A$71,[1]products!$D$2:$D$71)</f>
        <v>203</v>
      </c>
      <c r="H59" s="16">
        <v>44932</v>
      </c>
      <c r="I59" s="16" t="str">
        <f t="shared" si="0"/>
        <v>January</v>
      </c>
      <c r="J59" s="16" t="str">
        <f t="shared" si="1"/>
        <v>Friday</v>
      </c>
      <c r="K59" s="17">
        <v>0.11909722222222223</v>
      </c>
      <c r="L59" s="16">
        <v>44941</v>
      </c>
      <c r="M59" s="18">
        <f>HOUR(orders!$K59)</f>
        <v>2</v>
      </c>
      <c r="N59" s="16" t="str">
        <f t="shared" si="2"/>
        <v>January</v>
      </c>
      <c r="O59" s="17">
        <v>0.35159722222222217</v>
      </c>
      <c r="P59" s="17" t="str">
        <f>_xlfn.XLOOKUP(B59,[2]customers!$A$2:$A$101,[2]customers!$C$2:$C$101)</f>
        <v>Panchkula</v>
      </c>
      <c r="Q59" s="14" t="s">
        <v>113</v>
      </c>
      <c r="R59" s="14" t="s">
        <v>20</v>
      </c>
      <c r="S59" s="15">
        <f t="shared" si="3"/>
        <v>203</v>
      </c>
      <c r="T59" s="19">
        <f t="shared" si="4"/>
        <v>9</v>
      </c>
    </row>
    <row r="60" spans="1:20" x14ac:dyDescent="0.3">
      <c r="A60" s="20">
        <v>59</v>
      </c>
      <c r="B60" s="20" t="s">
        <v>56</v>
      </c>
      <c r="C60" s="20">
        <v>51</v>
      </c>
      <c r="D60" s="20" t="s">
        <v>469</v>
      </c>
      <c r="E60" s="20" t="s">
        <v>445</v>
      </c>
      <c r="F60" s="20">
        <v>5</v>
      </c>
      <c r="G60" s="21">
        <f>_xlfn.XLOOKUP(C60,[1]products!$A$2:$A$71,[1]products!$D$2:$D$71)</f>
        <v>1084</v>
      </c>
      <c r="H60" s="22">
        <v>45103</v>
      </c>
      <c r="I60" s="22" t="str">
        <f t="shared" si="0"/>
        <v>June</v>
      </c>
      <c r="J60" s="22" t="str">
        <f t="shared" si="1"/>
        <v>Monday</v>
      </c>
      <c r="K60" s="23">
        <v>0.1640625</v>
      </c>
      <c r="L60" s="22">
        <v>45105</v>
      </c>
      <c r="M60" s="24">
        <f>HOUR(orders!$K60)</f>
        <v>3</v>
      </c>
      <c r="N60" s="22" t="str">
        <f t="shared" si="2"/>
        <v>June</v>
      </c>
      <c r="O60" s="23">
        <v>0.84032407407407417</v>
      </c>
      <c r="P60" s="23" t="str">
        <f>_xlfn.XLOOKUP(B60,[2]customers!$A$2:$A$101,[2]customers!$C$2:$C$101)</f>
        <v>Karaikudi</v>
      </c>
      <c r="Q60" s="20" t="s">
        <v>114</v>
      </c>
      <c r="R60" s="20" t="s">
        <v>60</v>
      </c>
      <c r="S60" s="21">
        <f t="shared" si="3"/>
        <v>5420</v>
      </c>
      <c r="T60" s="25">
        <f t="shared" si="4"/>
        <v>2</v>
      </c>
    </row>
    <row r="61" spans="1:20" x14ac:dyDescent="0.3">
      <c r="A61" s="14">
        <v>60</v>
      </c>
      <c r="B61" s="14" t="s">
        <v>103</v>
      </c>
      <c r="C61" s="14">
        <v>5</v>
      </c>
      <c r="D61" s="14" t="s">
        <v>467</v>
      </c>
      <c r="E61" s="14" t="s">
        <v>429</v>
      </c>
      <c r="F61" s="14">
        <v>2</v>
      </c>
      <c r="G61" s="15">
        <f>_xlfn.XLOOKUP(C61,[1]products!$A$2:$A$71,[1]products!$D$2:$D$71)</f>
        <v>1444</v>
      </c>
      <c r="H61" s="16">
        <v>45273</v>
      </c>
      <c r="I61" s="16" t="str">
        <f t="shared" si="0"/>
        <v>December</v>
      </c>
      <c r="J61" s="16" t="str">
        <f t="shared" si="1"/>
        <v>Wednesday</v>
      </c>
      <c r="K61" s="17">
        <v>0.2824652777777778</v>
      </c>
      <c r="L61" s="16">
        <v>45275</v>
      </c>
      <c r="M61" s="18">
        <f>HOUR(orders!$K61)</f>
        <v>6</v>
      </c>
      <c r="N61" s="16" t="str">
        <f t="shared" si="2"/>
        <v>December</v>
      </c>
      <c r="O61" s="17">
        <v>0.54439814814814813</v>
      </c>
      <c r="P61" s="17" t="str">
        <f>_xlfn.XLOOKUP(B61,[2]customers!$A$2:$A$101,[2]customers!$C$2:$C$101)</f>
        <v>Bidhannagar</v>
      </c>
      <c r="Q61" s="14" t="s">
        <v>115</v>
      </c>
      <c r="R61" s="14" t="s">
        <v>60</v>
      </c>
      <c r="S61" s="15">
        <f t="shared" si="3"/>
        <v>2888</v>
      </c>
      <c r="T61" s="19">
        <f t="shared" si="4"/>
        <v>2</v>
      </c>
    </row>
    <row r="62" spans="1:20" x14ac:dyDescent="0.3">
      <c r="A62" s="20">
        <v>61</v>
      </c>
      <c r="B62" s="20" t="s">
        <v>116</v>
      </c>
      <c r="C62" s="20">
        <v>44</v>
      </c>
      <c r="D62" s="20" t="s">
        <v>470</v>
      </c>
      <c r="E62" s="20" t="s">
        <v>447</v>
      </c>
      <c r="F62" s="20">
        <v>2</v>
      </c>
      <c r="G62" s="21">
        <f>_xlfn.XLOOKUP(C62,[1]products!$A$2:$A$71,[1]products!$D$2:$D$71)</f>
        <v>794</v>
      </c>
      <c r="H62" s="22">
        <v>45238</v>
      </c>
      <c r="I62" s="22" t="str">
        <f t="shared" si="0"/>
        <v>November</v>
      </c>
      <c r="J62" s="22" t="str">
        <f t="shared" si="1"/>
        <v>Wednesday</v>
      </c>
      <c r="K62" s="23">
        <v>0.93501157407407398</v>
      </c>
      <c r="L62" s="22">
        <v>45240</v>
      </c>
      <c r="M62" s="24">
        <f>HOUR(orders!$K62)</f>
        <v>22</v>
      </c>
      <c r="N62" s="22" t="str">
        <f t="shared" si="2"/>
        <v>November</v>
      </c>
      <c r="O62" s="23">
        <v>0.33924768518518517</v>
      </c>
      <c r="P62" s="23" t="str">
        <f>_xlfn.XLOOKUP(B62,[2]customers!$A$2:$A$101,[2]customers!$C$2:$C$101)</f>
        <v>Guntakal</v>
      </c>
      <c r="Q62" s="20" t="s">
        <v>117</v>
      </c>
      <c r="R62" s="20" t="s">
        <v>15</v>
      </c>
      <c r="S62" s="21">
        <f t="shared" si="3"/>
        <v>1588</v>
      </c>
      <c r="T62" s="25">
        <f t="shared" si="4"/>
        <v>2</v>
      </c>
    </row>
    <row r="63" spans="1:20" x14ac:dyDescent="0.3">
      <c r="A63" s="14">
        <v>62</v>
      </c>
      <c r="B63" s="14" t="s">
        <v>118</v>
      </c>
      <c r="C63" s="14">
        <v>6</v>
      </c>
      <c r="D63" s="14" t="s">
        <v>450</v>
      </c>
      <c r="E63" s="14" t="s">
        <v>431</v>
      </c>
      <c r="F63" s="14">
        <v>4</v>
      </c>
      <c r="G63" s="15">
        <f>_xlfn.XLOOKUP(C63,[1]products!$A$2:$A$71,[1]products!$D$2:$D$71)</f>
        <v>1112</v>
      </c>
      <c r="H63" s="16">
        <v>44987</v>
      </c>
      <c r="I63" s="16" t="str">
        <f t="shared" si="0"/>
        <v>March</v>
      </c>
      <c r="J63" s="16" t="str">
        <f t="shared" si="1"/>
        <v>Thursday</v>
      </c>
      <c r="K63" s="17">
        <v>0.64642361111111113</v>
      </c>
      <c r="L63" s="16">
        <v>44991</v>
      </c>
      <c r="M63" s="18">
        <f>HOUR(orders!$K63)</f>
        <v>15</v>
      </c>
      <c r="N63" s="16" t="str">
        <f t="shared" si="2"/>
        <v>March</v>
      </c>
      <c r="O63" s="17">
        <v>0.99421296296296291</v>
      </c>
      <c r="P63" s="17" t="str">
        <f>_xlfn.XLOOKUP(B63,[2]customers!$A$2:$A$101,[2]customers!$C$2:$C$101)</f>
        <v>Sultan Pur Majra</v>
      </c>
      <c r="Q63" s="14" t="s">
        <v>119</v>
      </c>
      <c r="R63" s="14" t="s">
        <v>36</v>
      </c>
      <c r="S63" s="15">
        <f t="shared" si="3"/>
        <v>4448</v>
      </c>
      <c r="T63" s="19">
        <f t="shared" si="4"/>
        <v>4</v>
      </c>
    </row>
    <row r="64" spans="1:20" x14ac:dyDescent="0.3">
      <c r="A64" s="20">
        <v>63</v>
      </c>
      <c r="B64" s="20" t="s">
        <v>45</v>
      </c>
      <c r="C64" s="20">
        <v>42</v>
      </c>
      <c r="D64" s="20" t="s">
        <v>448</v>
      </c>
      <c r="E64" s="20" t="s">
        <v>427</v>
      </c>
      <c r="F64" s="20">
        <v>3</v>
      </c>
      <c r="G64" s="21">
        <f>_xlfn.XLOOKUP(C64,[1]products!$A$2:$A$71,[1]products!$D$2:$D$71)</f>
        <v>1744</v>
      </c>
      <c r="H64" s="22">
        <v>45102</v>
      </c>
      <c r="I64" s="22" t="str">
        <f t="shared" si="0"/>
        <v>June</v>
      </c>
      <c r="J64" s="22" t="str">
        <f t="shared" si="1"/>
        <v>Sunday</v>
      </c>
      <c r="K64" s="23">
        <v>0.26571759259259259</v>
      </c>
      <c r="L64" s="22">
        <v>45103</v>
      </c>
      <c r="M64" s="24">
        <f>HOUR(orders!$K64)</f>
        <v>6</v>
      </c>
      <c r="N64" s="22" t="str">
        <f t="shared" si="2"/>
        <v>June</v>
      </c>
      <c r="O64" s="23">
        <v>0.65282407407407406</v>
      </c>
      <c r="P64" s="23" t="str">
        <f>_xlfn.XLOOKUP(B64,[2]customers!$A$2:$A$101,[2]customers!$C$2:$C$101)</f>
        <v>Haridwar</v>
      </c>
      <c r="Q64" s="20" t="s">
        <v>120</v>
      </c>
      <c r="R64" s="20" t="s">
        <v>60</v>
      </c>
      <c r="S64" s="21">
        <f t="shared" si="3"/>
        <v>5232</v>
      </c>
      <c r="T64" s="25">
        <f t="shared" si="4"/>
        <v>1</v>
      </c>
    </row>
    <row r="65" spans="1:20" x14ac:dyDescent="0.3">
      <c r="A65" s="14">
        <v>64</v>
      </c>
      <c r="B65" s="14" t="s">
        <v>121</v>
      </c>
      <c r="C65" s="14">
        <v>25</v>
      </c>
      <c r="D65" s="14" t="s">
        <v>471</v>
      </c>
      <c r="E65" s="14" t="s">
        <v>447</v>
      </c>
      <c r="F65" s="14">
        <v>1</v>
      </c>
      <c r="G65" s="15">
        <f>_xlfn.XLOOKUP(C65,[1]products!$A$2:$A$71,[1]products!$D$2:$D$71)</f>
        <v>1202</v>
      </c>
      <c r="H65" s="16">
        <v>45089</v>
      </c>
      <c r="I65" s="16" t="str">
        <f t="shared" si="0"/>
        <v>June</v>
      </c>
      <c r="J65" s="16" t="str">
        <f t="shared" si="1"/>
        <v>Monday</v>
      </c>
      <c r="K65" s="17">
        <v>0.11711805555555554</v>
      </c>
      <c r="L65" s="16">
        <v>45092</v>
      </c>
      <c r="M65" s="18">
        <f>HOUR(orders!$K65)</f>
        <v>2</v>
      </c>
      <c r="N65" s="16" t="str">
        <f t="shared" si="2"/>
        <v>June</v>
      </c>
      <c r="O65" s="17">
        <v>0.92061342592592599</v>
      </c>
      <c r="P65" s="17" t="str">
        <f>_xlfn.XLOOKUP(B65,[2]customers!$A$2:$A$101,[2]customers!$C$2:$C$101)</f>
        <v>Kolkata</v>
      </c>
      <c r="Q65" s="14" t="s">
        <v>122</v>
      </c>
      <c r="R65" s="14" t="s">
        <v>12</v>
      </c>
      <c r="S65" s="15">
        <f t="shared" si="3"/>
        <v>1202</v>
      </c>
      <c r="T65" s="19">
        <f t="shared" si="4"/>
        <v>3</v>
      </c>
    </row>
    <row r="66" spans="1:20" x14ac:dyDescent="0.3">
      <c r="A66" s="20">
        <v>65</v>
      </c>
      <c r="B66" s="20" t="s">
        <v>123</v>
      </c>
      <c r="C66" s="20">
        <v>54</v>
      </c>
      <c r="D66" s="20" t="s">
        <v>461</v>
      </c>
      <c r="E66" s="20" t="s">
        <v>431</v>
      </c>
      <c r="F66" s="20">
        <v>2</v>
      </c>
      <c r="G66" s="21">
        <f>_xlfn.XLOOKUP(C66,[1]products!$A$2:$A$71,[1]products!$D$2:$D$71)</f>
        <v>1236</v>
      </c>
      <c r="H66" s="22">
        <v>45170</v>
      </c>
      <c r="I66" s="22" t="str">
        <f t="shared" si="0"/>
        <v>September</v>
      </c>
      <c r="J66" s="22" t="str">
        <f t="shared" si="1"/>
        <v>Friday</v>
      </c>
      <c r="K66" s="23">
        <v>0.5433796296296296</v>
      </c>
      <c r="L66" s="22">
        <v>45180</v>
      </c>
      <c r="M66" s="24">
        <f>HOUR(orders!$K66)</f>
        <v>13</v>
      </c>
      <c r="N66" s="22" t="str">
        <f t="shared" si="2"/>
        <v>September</v>
      </c>
      <c r="O66" s="23">
        <v>0.27351851851851855</v>
      </c>
      <c r="P66" s="23" t="str">
        <f>_xlfn.XLOOKUP(B66,[2]customers!$A$2:$A$101,[2]customers!$C$2:$C$101)</f>
        <v>Indore</v>
      </c>
      <c r="Q66" s="20" t="s">
        <v>124</v>
      </c>
      <c r="R66" s="20" t="s">
        <v>12</v>
      </c>
      <c r="S66" s="21">
        <f t="shared" si="3"/>
        <v>2472</v>
      </c>
      <c r="T66" s="25">
        <f t="shared" si="4"/>
        <v>10</v>
      </c>
    </row>
    <row r="67" spans="1:20" x14ac:dyDescent="0.3">
      <c r="A67" s="14">
        <v>66</v>
      </c>
      <c r="B67" s="14" t="s">
        <v>125</v>
      </c>
      <c r="C67" s="14">
        <v>35</v>
      </c>
      <c r="D67" s="14" t="s">
        <v>462</v>
      </c>
      <c r="E67" s="14" t="s">
        <v>429</v>
      </c>
      <c r="F67" s="14">
        <v>5</v>
      </c>
      <c r="G67" s="15">
        <f>_xlfn.XLOOKUP(C67,[1]products!$A$2:$A$71,[1]products!$D$2:$D$71)</f>
        <v>1865</v>
      </c>
      <c r="H67" s="16">
        <v>44983</v>
      </c>
      <c r="I67" s="16" t="str">
        <f t="shared" ref="I67:I130" si="5">TEXT(H67,"mmmm")</f>
        <v>February</v>
      </c>
      <c r="J67" s="16" t="str">
        <f t="shared" ref="J67:J130" si="6">TEXT(H67,"dddd")</f>
        <v>Sunday</v>
      </c>
      <c r="K67" s="17">
        <v>0.87550925925925915</v>
      </c>
      <c r="L67" s="16">
        <v>44984</v>
      </c>
      <c r="M67" s="18">
        <f>HOUR(orders!$K67)</f>
        <v>21</v>
      </c>
      <c r="N67" s="16" t="str">
        <f t="shared" ref="N67:N130" si="7">TEXT(L67,"mmmm")</f>
        <v>February</v>
      </c>
      <c r="O67" s="17">
        <v>0.26803240740740741</v>
      </c>
      <c r="P67" s="17" t="str">
        <f>_xlfn.XLOOKUP(B67,[2]customers!$A$2:$A$101,[2]customers!$C$2:$C$101)</f>
        <v>Gangtok</v>
      </c>
      <c r="Q67" s="14" t="s">
        <v>120</v>
      </c>
      <c r="R67" s="14" t="s">
        <v>36</v>
      </c>
      <c r="S67" s="15">
        <f t="shared" ref="S67:S130" si="8">G67*F67</f>
        <v>9325</v>
      </c>
      <c r="T67" s="19">
        <f t="shared" ref="T67:T130" si="9">L67-H67</f>
        <v>1</v>
      </c>
    </row>
    <row r="68" spans="1:20" x14ac:dyDescent="0.3">
      <c r="A68" s="20">
        <v>67</v>
      </c>
      <c r="B68" s="20" t="s">
        <v>72</v>
      </c>
      <c r="C68" s="20">
        <v>10</v>
      </c>
      <c r="D68" s="20" t="s">
        <v>452</v>
      </c>
      <c r="E68" s="20" t="s">
        <v>431</v>
      </c>
      <c r="F68" s="20">
        <v>2</v>
      </c>
      <c r="G68" s="21">
        <f>_xlfn.XLOOKUP(C68,[1]products!$A$2:$A$71,[1]products!$D$2:$D$71)</f>
        <v>259</v>
      </c>
      <c r="H68" s="22">
        <v>45113</v>
      </c>
      <c r="I68" s="22" t="str">
        <f t="shared" si="5"/>
        <v>July</v>
      </c>
      <c r="J68" s="22" t="str">
        <f t="shared" si="6"/>
        <v>Thursday</v>
      </c>
      <c r="K68" s="23">
        <v>0.72802083333333334</v>
      </c>
      <c r="L68" s="22">
        <v>45121</v>
      </c>
      <c r="M68" s="24">
        <f>HOUR(orders!$K68)</f>
        <v>17</v>
      </c>
      <c r="N68" s="22" t="str">
        <f t="shared" si="7"/>
        <v>July</v>
      </c>
      <c r="O68" s="23">
        <v>0.88265046296296301</v>
      </c>
      <c r="P68" s="23" t="str">
        <f>_xlfn.XLOOKUP(B68,[2]customers!$A$2:$A$101,[2]customers!$C$2:$C$101)</f>
        <v>Jorhat</v>
      </c>
      <c r="Q68" s="20" t="s">
        <v>126</v>
      </c>
      <c r="R68" s="20" t="s">
        <v>20</v>
      </c>
      <c r="S68" s="21">
        <f t="shared" si="8"/>
        <v>518</v>
      </c>
      <c r="T68" s="25">
        <f t="shared" si="9"/>
        <v>8</v>
      </c>
    </row>
    <row r="69" spans="1:20" x14ac:dyDescent="0.3">
      <c r="A69" s="14">
        <v>68</v>
      </c>
      <c r="B69" s="14" t="s">
        <v>127</v>
      </c>
      <c r="C69" s="14">
        <v>34</v>
      </c>
      <c r="D69" s="14" t="s">
        <v>472</v>
      </c>
      <c r="E69" s="14" t="s">
        <v>445</v>
      </c>
      <c r="F69" s="14">
        <v>4</v>
      </c>
      <c r="G69" s="15">
        <f>_xlfn.XLOOKUP(C69,[1]products!$A$2:$A$71,[1]products!$D$2:$D$71)</f>
        <v>1335</v>
      </c>
      <c r="H69" s="16">
        <v>45163</v>
      </c>
      <c r="I69" s="16" t="str">
        <f t="shared" si="5"/>
        <v>August</v>
      </c>
      <c r="J69" s="16" t="str">
        <f t="shared" si="6"/>
        <v>Friday</v>
      </c>
      <c r="K69" s="17">
        <v>0.947199074074074</v>
      </c>
      <c r="L69" s="16">
        <v>45169</v>
      </c>
      <c r="M69" s="18">
        <f>HOUR(orders!$K69)</f>
        <v>22</v>
      </c>
      <c r="N69" s="16" t="str">
        <f t="shared" si="7"/>
        <v>August</v>
      </c>
      <c r="O69" s="17">
        <v>0.89668981481481491</v>
      </c>
      <c r="P69" s="17" t="str">
        <f>_xlfn.XLOOKUP(B69,[2]customers!$A$2:$A$101,[2]customers!$C$2:$C$101)</f>
        <v>Imphal</v>
      </c>
      <c r="Q69" s="14" t="s">
        <v>111</v>
      </c>
      <c r="R69" s="14" t="s">
        <v>26</v>
      </c>
      <c r="S69" s="15">
        <f t="shared" si="8"/>
        <v>5340</v>
      </c>
      <c r="T69" s="19">
        <f t="shared" si="9"/>
        <v>6</v>
      </c>
    </row>
    <row r="70" spans="1:20" x14ac:dyDescent="0.3">
      <c r="A70" s="20">
        <v>69</v>
      </c>
      <c r="B70" s="20" t="s">
        <v>61</v>
      </c>
      <c r="C70" s="20">
        <v>12</v>
      </c>
      <c r="D70" s="20" t="s">
        <v>446</v>
      </c>
      <c r="E70" s="20" t="s">
        <v>447</v>
      </c>
      <c r="F70" s="20">
        <v>4</v>
      </c>
      <c r="G70" s="21">
        <f>_xlfn.XLOOKUP(C70,[1]products!$A$2:$A$71,[1]products!$D$2:$D$71)</f>
        <v>672</v>
      </c>
      <c r="H70" s="22">
        <v>45171</v>
      </c>
      <c r="I70" s="22" t="str">
        <f t="shared" si="5"/>
        <v>September</v>
      </c>
      <c r="J70" s="22" t="str">
        <f t="shared" si="6"/>
        <v>Saturday</v>
      </c>
      <c r="K70" s="23">
        <v>0.80672453703703706</v>
      </c>
      <c r="L70" s="22">
        <v>45177</v>
      </c>
      <c r="M70" s="24">
        <f>HOUR(orders!$K70)</f>
        <v>19</v>
      </c>
      <c r="N70" s="22" t="str">
        <f t="shared" si="7"/>
        <v>September</v>
      </c>
      <c r="O70" s="23">
        <v>0.3958564814814815</v>
      </c>
      <c r="P70" s="23" t="str">
        <f>_xlfn.XLOOKUP(B70,[2]customers!$A$2:$A$101,[2]customers!$C$2:$C$101)</f>
        <v>New Delhi</v>
      </c>
      <c r="Q70" s="20" t="s">
        <v>128</v>
      </c>
      <c r="R70" s="20" t="s">
        <v>12</v>
      </c>
      <c r="S70" s="21">
        <f t="shared" si="8"/>
        <v>2688</v>
      </c>
      <c r="T70" s="25">
        <f t="shared" si="9"/>
        <v>6</v>
      </c>
    </row>
    <row r="71" spans="1:20" x14ac:dyDescent="0.3">
      <c r="A71" s="14">
        <v>70</v>
      </c>
      <c r="B71" s="14" t="s">
        <v>10</v>
      </c>
      <c r="C71" s="14">
        <v>17</v>
      </c>
      <c r="D71" s="14" t="s">
        <v>455</v>
      </c>
      <c r="E71" s="14" t="s">
        <v>445</v>
      </c>
      <c r="F71" s="14">
        <v>1</v>
      </c>
      <c r="G71" s="15">
        <f>_xlfn.XLOOKUP(C71,[1]products!$A$2:$A$71,[1]products!$D$2:$D$71)</f>
        <v>1899</v>
      </c>
      <c r="H71" s="16">
        <v>45197</v>
      </c>
      <c r="I71" s="16" t="str">
        <f t="shared" si="5"/>
        <v>September</v>
      </c>
      <c r="J71" s="16" t="str">
        <f t="shared" si="6"/>
        <v>Thursday</v>
      </c>
      <c r="K71" s="17">
        <v>0.18135416666666668</v>
      </c>
      <c r="L71" s="16">
        <v>45202</v>
      </c>
      <c r="M71" s="18">
        <f>HOUR(orders!$K71)</f>
        <v>4</v>
      </c>
      <c r="N71" s="16" t="str">
        <f t="shared" si="7"/>
        <v>October</v>
      </c>
      <c r="O71" s="17">
        <v>0.48927083333333332</v>
      </c>
      <c r="P71" s="17" t="str">
        <f>_xlfn.XLOOKUP(B71,[2]customers!$A$2:$A$101,[2]customers!$C$2:$C$101)</f>
        <v>Davanagere</v>
      </c>
      <c r="Q71" s="14" t="s">
        <v>49</v>
      </c>
      <c r="R71" s="14" t="s">
        <v>12</v>
      </c>
      <c r="S71" s="15">
        <f t="shared" si="8"/>
        <v>1899</v>
      </c>
      <c r="T71" s="19">
        <f t="shared" si="9"/>
        <v>5</v>
      </c>
    </row>
    <row r="72" spans="1:20" x14ac:dyDescent="0.3">
      <c r="A72" s="20">
        <v>71</v>
      </c>
      <c r="B72" s="20" t="s">
        <v>43</v>
      </c>
      <c r="C72" s="20">
        <v>9</v>
      </c>
      <c r="D72" s="20" t="s">
        <v>451</v>
      </c>
      <c r="E72" s="20" t="s">
        <v>429</v>
      </c>
      <c r="F72" s="20">
        <v>5</v>
      </c>
      <c r="G72" s="21">
        <f>_xlfn.XLOOKUP(C72,[1]products!$A$2:$A$71,[1]products!$D$2:$D$71)</f>
        <v>1605</v>
      </c>
      <c r="H72" s="22">
        <v>45158</v>
      </c>
      <c r="I72" s="22" t="str">
        <f t="shared" si="5"/>
        <v>August</v>
      </c>
      <c r="J72" s="22" t="str">
        <f t="shared" si="6"/>
        <v>Sunday</v>
      </c>
      <c r="K72" s="23">
        <v>0.68895833333333334</v>
      </c>
      <c r="L72" s="22">
        <v>45166</v>
      </c>
      <c r="M72" s="24">
        <f>HOUR(orders!$K72)</f>
        <v>16</v>
      </c>
      <c r="N72" s="22" t="str">
        <f t="shared" si="7"/>
        <v>August</v>
      </c>
      <c r="O72" s="23">
        <v>0.5635648148148148</v>
      </c>
      <c r="P72" s="23" t="str">
        <f>_xlfn.XLOOKUP(B72,[2]customers!$A$2:$A$101,[2]customers!$C$2:$C$101)</f>
        <v>Mangalore</v>
      </c>
      <c r="Q72" s="20" t="s">
        <v>37</v>
      </c>
      <c r="R72" s="20" t="s">
        <v>26</v>
      </c>
      <c r="S72" s="21">
        <f t="shared" si="8"/>
        <v>8025</v>
      </c>
      <c r="T72" s="25">
        <f t="shared" si="9"/>
        <v>8</v>
      </c>
    </row>
    <row r="73" spans="1:20" x14ac:dyDescent="0.3">
      <c r="A73" s="14">
        <v>72</v>
      </c>
      <c r="B73" s="14" t="s">
        <v>116</v>
      </c>
      <c r="C73" s="14">
        <v>26</v>
      </c>
      <c r="D73" s="14" t="s">
        <v>473</v>
      </c>
      <c r="E73" s="14" t="s">
        <v>429</v>
      </c>
      <c r="F73" s="14">
        <v>3</v>
      </c>
      <c r="G73" s="15">
        <f>_xlfn.XLOOKUP(C73,[1]products!$A$2:$A$71,[1]products!$D$2:$D$71)</f>
        <v>289</v>
      </c>
      <c r="H73" s="16">
        <v>44988</v>
      </c>
      <c r="I73" s="16" t="str">
        <f t="shared" si="5"/>
        <v>March</v>
      </c>
      <c r="J73" s="16" t="str">
        <f t="shared" si="6"/>
        <v>Friday</v>
      </c>
      <c r="K73" s="17">
        <v>0.65932870370370367</v>
      </c>
      <c r="L73" s="16">
        <v>44997</v>
      </c>
      <c r="M73" s="18">
        <f>HOUR(orders!$K73)</f>
        <v>15</v>
      </c>
      <c r="N73" s="16" t="str">
        <f t="shared" si="7"/>
        <v>March</v>
      </c>
      <c r="O73" s="17">
        <v>0.73206018518518512</v>
      </c>
      <c r="P73" s="17" t="str">
        <f>_xlfn.XLOOKUP(B73,[2]customers!$A$2:$A$101,[2]customers!$C$2:$C$101)</f>
        <v>Guntakal</v>
      </c>
      <c r="Q73" s="14" t="s">
        <v>129</v>
      </c>
      <c r="R73" s="14" t="s">
        <v>36</v>
      </c>
      <c r="S73" s="15">
        <f t="shared" si="8"/>
        <v>867</v>
      </c>
      <c r="T73" s="19">
        <f t="shared" si="9"/>
        <v>9</v>
      </c>
    </row>
    <row r="74" spans="1:20" x14ac:dyDescent="0.3">
      <c r="A74" s="20">
        <v>73</v>
      </c>
      <c r="B74" s="20" t="s">
        <v>130</v>
      </c>
      <c r="C74" s="20">
        <v>26</v>
      </c>
      <c r="D74" s="20" t="s">
        <v>473</v>
      </c>
      <c r="E74" s="20" t="s">
        <v>429</v>
      </c>
      <c r="F74" s="20">
        <v>1</v>
      </c>
      <c r="G74" s="21">
        <f>_xlfn.XLOOKUP(C74,[1]products!$A$2:$A$71,[1]products!$D$2:$D$71)</f>
        <v>289</v>
      </c>
      <c r="H74" s="22">
        <v>44988</v>
      </c>
      <c r="I74" s="22" t="str">
        <f t="shared" si="5"/>
        <v>March</v>
      </c>
      <c r="J74" s="22" t="str">
        <f t="shared" si="6"/>
        <v>Friday</v>
      </c>
      <c r="K74" s="23">
        <v>0.53652777777777783</v>
      </c>
      <c r="L74" s="22">
        <v>44996</v>
      </c>
      <c r="M74" s="24">
        <f>HOUR(orders!$K74)</f>
        <v>12</v>
      </c>
      <c r="N74" s="22" t="str">
        <f t="shared" si="7"/>
        <v>March</v>
      </c>
      <c r="O74" s="23">
        <v>6.1527777777777772E-2</v>
      </c>
      <c r="P74" s="23" t="str">
        <f>_xlfn.XLOOKUP(B74,[2]customers!$A$2:$A$101,[2]customers!$C$2:$C$101)</f>
        <v>Delhi</v>
      </c>
      <c r="Q74" s="20" t="s">
        <v>131</v>
      </c>
      <c r="R74" s="20" t="s">
        <v>36</v>
      </c>
      <c r="S74" s="21">
        <f t="shared" si="8"/>
        <v>289</v>
      </c>
      <c r="T74" s="25">
        <f t="shared" si="9"/>
        <v>8</v>
      </c>
    </row>
    <row r="75" spans="1:20" x14ac:dyDescent="0.3">
      <c r="A75" s="14">
        <v>74</v>
      </c>
      <c r="B75" s="14" t="s">
        <v>38</v>
      </c>
      <c r="C75" s="14">
        <v>31</v>
      </c>
      <c r="D75" s="14" t="s">
        <v>474</v>
      </c>
      <c r="E75" s="14" t="s">
        <v>429</v>
      </c>
      <c r="F75" s="14">
        <v>3</v>
      </c>
      <c r="G75" s="15">
        <f>_xlfn.XLOOKUP(C75,[1]products!$A$2:$A$71,[1]products!$D$2:$D$71)</f>
        <v>1804</v>
      </c>
      <c r="H75" s="16">
        <v>44927</v>
      </c>
      <c r="I75" s="16" t="str">
        <f t="shared" si="5"/>
        <v>January</v>
      </c>
      <c r="J75" s="16" t="str">
        <f t="shared" si="6"/>
        <v>Sunday</v>
      </c>
      <c r="K75" s="17">
        <v>0.87178240740740742</v>
      </c>
      <c r="L75" s="16">
        <v>44933</v>
      </c>
      <c r="M75" s="18">
        <f>HOUR(orders!$K75)</f>
        <v>20</v>
      </c>
      <c r="N75" s="16" t="str">
        <f t="shared" si="7"/>
        <v>January</v>
      </c>
      <c r="O75" s="17">
        <v>0.37642361111111106</v>
      </c>
      <c r="P75" s="17" t="str">
        <f>_xlfn.XLOOKUP(B75,[2]customers!$A$2:$A$101,[2]customers!$C$2:$C$101)</f>
        <v>Kavali</v>
      </c>
      <c r="Q75" s="14" t="s">
        <v>132</v>
      </c>
      <c r="R75" s="14" t="s">
        <v>60</v>
      </c>
      <c r="S75" s="15">
        <f t="shared" si="8"/>
        <v>5412</v>
      </c>
      <c r="T75" s="19">
        <f t="shared" si="9"/>
        <v>6</v>
      </c>
    </row>
    <row r="76" spans="1:20" x14ac:dyDescent="0.3">
      <c r="A76" s="20">
        <v>75</v>
      </c>
      <c r="B76" s="20" t="s">
        <v>27</v>
      </c>
      <c r="C76" s="20">
        <v>65</v>
      </c>
      <c r="D76" s="20" t="s">
        <v>466</v>
      </c>
      <c r="E76" s="20" t="s">
        <v>26</v>
      </c>
      <c r="F76" s="20">
        <v>2</v>
      </c>
      <c r="G76" s="21">
        <f>_xlfn.XLOOKUP(C76,[1]products!$A$2:$A$71,[1]products!$D$2:$D$71)</f>
        <v>1895</v>
      </c>
      <c r="H76" s="22">
        <v>45022</v>
      </c>
      <c r="I76" s="22" t="str">
        <f t="shared" si="5"/>
        <v>April</v>
      </c>
      <c r="J76" s="22" t="str">
        <f t="shared" si="6"/>
        <v>Thursday</v>
      </c>
      <c r="K76" s="23">
        <v>0.46555555555555556</v>
      </c>
      <c r="L76" s="22">
        <v>45025</v>
      </c>
      <c r="M76" s="24">
        <f>HOUR(orders!$K76)</f>
        <v>11</v>
      </c>
      <c r="N76" s="22" t="str">
        <f t="shared" si="7"/>
        <v>April</v>
      </c>
      <c r="O76" s="23">
        <v>0.9587268518518518</v>
      </c>
      <c r="P76" s="23" t="str">
        <f>_xlfn.XLOOKUP(B76,[2]customers!$A$2:$A$101,[2]customers!$C$2:$C$101)</f>
        <v>Madurai</v>
      </c>
      <c r="Q76" s="20" t="s">
        <v>129</v>
      </c>
      <c r="R76" s="20" t="s">
        <v>60</v>
      </c>
      <c r="S76" s="21">
        <f t="shared" si="8"/>
        <v>3790</v>
      </c>
      <c r="T76" s="25">
        <f t="shared" si="9"/>
        <v>3</v>
      </c>
    </row>
    <row r="77" spans="1:20" x14ac:dyDescent="0.3">
      <c r="A77" s="14">
        <v>76</v>
      </c>
      <c r="B77" s="14" t="s">
        <v>54</v>
      </c>
      <c r="C77" s="14">
        <v>4</v>
      </c>
      <c r="D77" s="14" t="s">
        <v>475</v>
      </c>
      <c r="E77" s="14" t="s">
        <v>427</v>
      </c>
      <c r="F77" s="14">
        <v>1</v>
      </c>
      <c r="G77" s="15">
        <f>_xlfn.XLOOKUP(C77,[1]products!$A$2:$A$71,[1]products!$D$2:$D$71)</f>
        <v>1199</v>
      </c>
      <c r="H77" s="16">
        <v>45239</v>
      </c>
      <c r="I77" s="16" t="str">
        <f t="shared" si="5"/>
        <v>November</v>
      </c>
      <c r="J77" s="16" t="str">
        <f t="shared" si="6"/>
        <v>Thursday</v>
      </c>
      <c r="K77" s="17">
        <v>0.2174884259259259</v>
      </c>
      <c r="L77" s="16">
        <v>45242</v>
      </c>
      <c r="M77" s="18">
        <f>HOUR(orders!$K77)</f>
        <v>5</v>
      </c>
      <c r="N77" s="16" t="str">
        <f t="shared" si="7"/>
        <v>November</v>
      </c>
      <c r="O77" s="17">
        <v>2.4189814814814817E-2</v>
      </c>
      <c r="P77" s="17" t="str">
        <f>_xlfn.XLOOKUP(B77,[2]customers!$A$2:$A$101,[2]customers!$C$2:$C$101)</f>
        <v>Bidhannagar</v>
      </c>
      <c r="Q77" s="14" t="s">
        <v>133</v>
      </c>
      <c r="R77" s="14" t="s">
        <v>15</v>
      </c>
      <c r="S77" s="15">
        <f t="shared" si="8"/>
        <v>1199</v>
      </c>
      <c r="T77" s="19">
        <f t="shared" si="9"/>
        <v>3</v>
      </c>
    </row>
    <row r="78" spans="1:20" x14ac:dyDescent="0.3">
      <c r="A78" s="20">
        <v>77</v>
      </c>
      <c r="B78" s="20" t="s">
        <v>134</v>
      </c>
      <c r="C78" s="20">
        <v>42</v>
      </c>
      <c r="D78" s="20" t="s">
        <v>448</v>
      </c>
      <c r="E78" s="20" t="s">
        <v>427</v>
      </c>
      <c r="F78" s="20">
        <v>3</v>
      </c>
      <c r="G78" s="21">
        <f>_xlfn.XLOOKUP(C78,[1]products!$A$2:$A$71,[1]products!$D$2:$D$71)</f>
        <v>1744</v>
      </c>
      <c r="H78" s="22">
        <v>45143</v>
      </c>
      <c r="I78" s="22" t="str">
        <f t="shared" si="5"/>
        <v>August</v>
      </c>
      <c r="J78" s="22" t="str">
        <f t="shared" si="6"/>
        <v>Saturday</v>
      </c>
      <c r="K78" s="23">
        <v>4.6655092592592595E-2</v>
      </c>
      <c r="L78" s="22">
        <v>45151</v>
      </c>
      <c r="M78" s="24">
        <f>HOUR(orders!$K78)</f>
        <v>1</v>
      </c>
      <c r="N78" s="22" t="str">
        <f t="shared" si="7"/>
        <v>August</v>
      </c>
      <c r="O78" s="23">
        <v>0.68115740740740749</v>
      </c>
      <c r="P78" s="23" t="str">
        <f>_xlfn.XLOOKUP(B78,[2]customers!$A$2:$A$101,[2]customers!$C$2:$C$101)</f>
        <v>Noida</v>
      </c>
      <c r="Q78" s="20" t="s">
        <v>135</v>
      </c>
      <c r="R78" s="20" t="s">
        <v>60</v>
      </c>
      <c r="S78" s="21">
        <f t="shared" si="8"/>
        <v>5232</v>
      </c>
      <c r="T78" s="25">
        <f t="shared" si="9"/>
        <v>8</v>
      </c>
    </row>
    <row r="79" spans="1:20" x14ac:dyDescent="0.3">
      <c r="A79" s="14">
        <v>78</v>
      </c>
      <c r="B79" s="14" t="s">
        <v>136</v>
      </c>
      <c r="C79" s="14">
        <v>11</v>
      </c>
      <c r="D79" s="14" t="s">
        <v>476</v>
      </c>
      <c r="E79" s="14" t="s">
        <v>458</v>
      </c>
      <c r="F79" s="14">
        <v>2</v>
      </c>
      <c r="G79" s="15">
        <f>_xlfn.XLOOKUP(C79,[1]products!$A$2:$A$71,[1]products!$D$2:$D$71)</f>
        <v>1096</v>
      </c>
      <c r="H79" s="16">
        <v>44961</v>
      </c>
      <c r="I79" s="16" t="str">
        <f t="shared" si="5"/>
        <v>February</v>
      </c>
      <c r="J79" s="16" t="str">
        <f t="shared" si="6"/>
        <v>Saturday</v>
      </c>
      <c r="K79" s="17">
        <v>0.54177083333333331</v>
      </c>
      <c r="L79" s="16">
        <v>44965</v>
      </c>
      <c r="M79" s="18">
        <f>HOUR(orders!$K79)</f>
        <v>13</v>
      </c>
      <c r="N79" s="16" t="str">
        <f t="shared" si="7"/>
        <v>February</v>
      </c>
      <c r="O79" s="17">
        <v>0.85503472222222221</v>
      </c>
      <c r="P79" s="17" t="str">
        <f>_xlfn.XLOOKUP(B79,[2]customers!$A$2:$A$101,[2]customers!$C$2:$C$101)</f>
        <v>Nagpur</v>
      </c>
      <c r="Q79" s="14" t="s">
        <v>137</v>
      </c>
      <c r="R79" s="14" t="s">
        <v>23</v>
      </c>
      <c r="S79" s="15">
        <f t="shared" si="8"/>
        <v>2192</v>
      </c>
      <c r="T79" s="19">
        <f t="shared" si="9"/>
        <v>4</v>
      </c>
    </row>
    <row r="80" spans="1:20" x14ac:dyDescent="0.3">
      <c r="A80" s="20">
        <v>79</v>
      </c>
      <c r="B80" s="20" t="s">
        <v>138</v>
      </c>
      <c r="C80" s="20">
        <v>40</v>
      </c>
      <c r="D80" s="20" t="s">
        <v>477</v>
      </c>
      <c r="E80" s="20" t="s">
        <v>427</v>
      </c>
      <c r="F80" s="20">
        <v>2</v>
      </c>
      <c r="G80" s="21">
        <f>_xlfn.XLOOKUP(C80,[1]products!$A$2:$A$71,[1]products!$D$2:$D$71)</f>
        <v>1923</v>
      </c>
      <c r="H80" s="22">
        <v>45078</v>
      </c>
      <c r="I80" s="22" t="str">
        <f t="shared" si="5"/>
        <v>June</v>
      </c>
      <c r="J80" s="22" t="str">
        <f t="shared" si="6"/>
        <v>Thursday</v>
      </c>
      <c r="K80" s="23">
        <v>0.72881944444444446</v>
      </c>
      <c r="L80" s="22">
        <v>45088</v>
      </c>
      <c r="M80" s="24">
        <f>HOUR(orders!$K80)</f>
        <v>17</v>
      </c>
      <c r="N80" s="22" t="str">
        <f t="shared" si="7"/>
        <v>June</v>
      </c>
      <c r="O80" s="23">
        <v>0.31589120370370372</v>
      </c>
      <c r="P80" s="23" t="str">
        <f>_xlfn.XLOOKUP(B80,[2]customers!$A$2:$A$101,[2]customers!$C$2:$C$101)</f>
        <v>Kanpur</v>
      </c>
      <c r="Q80" s="20" t="s">
        <v>139</v>
      </c>
      <c r="R80" s="20" t="s">
        <v>12</v>
      </c>
      <c r="S80" s="21">
        <f t="shared" si="8"/>
        <v>3846</v>
      </c>
      <c r="T80" s="25">
        <f t="shared" si="9"/>
        <v>10</v>
      </c>
    </row>
    <row r="81" spans="1:20" x14ac:dyDescent="0.3">
      <c r="A81" s="14">
        <v>80</v>
      </c>
      <c r="B81" s="14" t="s">
        <v>140</v>
      </c>
      <c r="C81" s="14">
        <v>39</v>
      </c>
      <c r="D81" s="14" t="s">
        <v>478</v>
      </c>
      <c r="E81" s="14" t="s">
        <v>458</v>
      </c>
      <c r="F81" s="14">
        <v>4</v>
      </c>
      <c r="G81" s="15">
        <f>_xlfn.XLOOKUP(C81,[1]products!$A$2:$A$71,[1]products!$D$2:$D$71)</f>
        <v>387</v>
      </c>
      <c r="H81" s="16">
        <v>44928</v>
      </c>
      <c r="I81" s="16" t="str">
        <f t="shared" si="5"/>
        <v>January</v>
      </c>
      <c r="J81" s="16" t="str">
        <f t="shared" si="6"/>
        <v>Monday</v>
      </c>
      <c r="K81" s="17">
        <v>0.4632175925925926</v>
      </c>
      <c r="L81" s="16">
        <v>44937</v>
      </c>
      <c r="M81" s="18">
        <f>HOUR(orders!$K81)</f>
        <v>11</v>
      </c>
      <c r="N81" s="16" t="str">
        <f t="shared" si="7"/>
        <v>January</v>
      </c>
      <c r="O81" s="17">
        <v>8.7384259259259259E-2</v>
      </c>
      <c r="P81" s="17" t="str">
        <f>_xlfn.XLOOKUP(B81,[2]customers!$A$2:$A$101,[2]customers!$C$2:$C$101)</f>
        <v>Chinsurah</v>
      </c>
      <c r="Q81" s="14" t="s">
        <v>141</v>
      </c>
      <c r="R81" s="14" t="s">
        <v>60</v>
      </c>
      <c r="S81" s="15">
        <f t="shared" si="8"/>
        <v>1548</v>
      </c>
      <c r="T81" s="19">
        <f t="shared" si="9"/>
        <v>9</v>
      </c>
    </row>
    <row r="82" spans="1:20" x14ac:dyDescent="0.3">
      <c r="A82" s="20">
        <v>81</v>
      </c>
      <c r="B82" s="20" t="s">
        <v>142</v>
      </c>
      <c r="C82" s="20">
        <v>1</v>
      </c>
      <c r="D82" s="20" t="s">
        <v>479</v>
      </c>
      <c r="E82" s="20" t="s">
        <v>445</v>
      </c>
      <c r="F82" s="20">
        <v>5</v>
      </c>
      <c r="G82" s="21">
        <f>_xlfn.XLOOKUP(C82,[1]products!$A$2:$A$71,[1]products!$D$2:$D$71)</f>
        <v>1935</v>
      </c>
      <c r="H82" s="22">
        <v>44979</v>
      </c>
      <c r="I82" s="22" t="str">
        <f t="shared" si="5"/>
        <v>February</v>
      </c>
      <c r="J82" s="22" t="str">
        <f t="shared" si="6"/>
        <v>Wednesday</v>
      </c>
      <c r="K82" s="23">
        <v>0.77038194444444441</v>
      </c>
      <c r="L82" s="22">
        <v>44988</v>
      </c>
      <c r="M82" s="24">
        <f>HOUR(orders!$K82)</f>
        <v>18</v>
      </c>
      <c r="N82" s="22" t="str">
        <f t="shared" si="7"/>
        <v>March</v>
      </c>
      <c r="O82" s="23">
        <v>0.29828703703703702</v>
      </c>
      <c r="P82" s="23" t="str">
        <f>_xlfn.XLOOKUP(B82,[2]customers!$A$2:$A$101,[2]customers!$C$2:$C$101)</f>
        <v>Bharatpur</v>
      </c>
      <c r="Q82" s="20" t="s">
        <v>143</v>
      </c>
      <c r="R82" s="20" t="s">
        <v>60</v>
      </c>
      <c r="S82" s="21">
        <f t="shared" si="8"/>
        <v>9675</v>
      </c>
      <c r="T82" s="25">
        <f t="shared" si="9"/>
        <v>9</v>
      </c>
    </row>
    <row r="83" spans="1:20" x14ac:dyDescent="0.3">
      <c r="A83" s="14">
        <v>82</v>
      </c>
      <c r="B83" s="14" t="s">
        <v>144</v>
      </c>
      <c r="C83" s="14">
        <v>70</v>
      </c>
      <c r="D83" s="14" t="s">
        <v>466</v>
      </c>
      <c r="E83" s="14" t="s">
        <v>427</v>
      </c>
      <c r="F83" s="14">
        <v>3</v>
      </c>
      <c r="G83" s="15">
        <f>_xlfn.XLOOKUP(C83,[1]products!$A$2:$A$71,[1]products!$D$2:$D$71)</f>
        <v>866</v>
      </c>
      <c r="H83" s="16">
        <v>45142</v>
      </c>
      <c r="I83" s="16" t="str">
        <f t="shared" si="5"/>
        <v>August</v>
      </c>
      <c r="J83" s="16" t="str">
        <f t="shared" si="6"/>
        <v>Friday</v>
      </c>
      <c r="K83" s="17">
        <v>0.91811342592592593</v>
      </c>
      <c r="L83" s="16">
        <v>45143</v>
      </c>
      <c r="M83" s="18">
        <f>HOUR(orders!$K83)</f>
        <v>22</v>
      </c>
      <c r="N83" s="16" t="str">
        <f t="shared" si="7"/>
        <v>August</v>
      </c>
      <c r="O83" s="17">
        <v>0.58903935185185186</v>
      </c>
      <c r="P83" s="17" t="str">
        <f>_xlfn.XLOOKUP(B83,[2]customers!$A$2:$A$101,[2]customers!$C$2:$C$101)</f>
        <v>Aizawl</v>
      </c>
      <c r="Q83" s="14" t="s">
        <v>145</v>
      </c>
      <c r="R83" s="14" t="s">
        <v>20</v>
      </c>
      <c r="S83" s="15">
        <f t="shared" si="8"/>
        <v>2598</v>
      </c>
      <c r="T83" s="19">
        <f t="shared" si="9"/>
        <v>1</v>
      </c>
    </row>
    <row r="84" spans="1:20" x14ac:dyDescent="0.3">
      <c r="A84" s="20">
        <v>83</v>
      </c>
      <c r="B84" s="20" t="s">
        <v>101</v>
      </c>
      <c r="C84" s="20">
        <v>27</v>
      </c>
      <c r="D84" s="20" t="s">
        <v>435</v>
      </c>
      <c r="E84" s="20" t="s">
        <v>431</v>
      </c>
      <c r="F84" s="20">
        <v>4</v>
      </c>
      <c r="G84" s="21">
        <f>_xlfn.XLOOKUP(C84,[1]products!$A$2:$A$71,[1]products!$D$2:$D$71)</f>
        <v>548</v>
      </c>
      <c r="H84" s="22">
        <v>45161</v>
      </c>
      <c r="I84" s="22" t="str">
        <f t="shared" si="5"/>
        <v>August</v>
      </c>
      <c r="J84" s="22" t="str">
        <f t="shared" si="6"/>
        <v>Wednesday</v>
      </c>
      <c r="K84" s="23">
        <v>0.80001157407407408</v>
      </c>
      <c r="L84" s="22">
        <v>45171</v>
      </c>
      <c r="M84" s="24">
        <f>HOUR(orders!$K84)</f>
        <v>19</v>
      </c>
      <c r="N84" s="22" t="str">
        <f t="shared" si="7"/>
        <v>September</v>
      </c>
      <c r="O84" s="23">
        <v>0.61388888888888882</v>
      </c>
      <c r="P84" s="23" t="str">
        <f>_xlfn.XLOOKUP(B84,[2]customers!$A$2:$A$101,[2]customers!$C$2:$C$101)</f>
        <v>Dibrugarh</v>
      </c>
      <c r="Q84" s="20" t="s">
        <v>76</v>
      </c>
      <c r="R84" s="20" t="s">
        <v>26</v>
      </c>
      <c r="S84" s="21">
        <f t="shared" si="8"/>
        <v>2192</v>
      </c>
      <c r="T84" s="25">
        <f t="shared" si="9"/>
        <v>10</v>
      </c>
    </row>
    <row r="85" spans="1:20" x14ac:dyDescent="0.3">
      <c r="A85" s="14">
        <v>84</v>
      </c>
      <c r="B85" s="14" t="s">
        <v>146</v>
      </c>
      <c r="C85" s="14">
        <v>47</v>
      </c>
      <c r="D85" s="14" t="s">
        <v>480</v>
      </c>
      <c r="E85" s="14" t="s">
        <v>429</v>
      </c>
      <c r="F85" s="14">
        <v>1</v>
      </c>
      <c r="G85" s="15">
        <f>_xlfn.XLOOKUP(C85,[1]products!$A$2:$A$71,[1]products!$D$2:$D$71)</f>
        <v>1638</v>
      </c>
      <c r="H85" s="16">
        <v>44989</v>
      </c>
      <c r="I85" s="16" t="str">
        <f t="shared" si="5"/>
        <v>March</v>
      </c>
      <c r="J85" s="16" t="str">
        <f t="shared" si="6"/>
        <v>Saturday</v>
      </c>
      <c r="K85" s="17">
        <v>0.14710648148148148</v>
      </c>
      <c r="L85" s="16">
        <v>44991</v>
      </c>
      <c r="M85" s="18">
        <f>HOUR(orders!$K85)</f>
        <v>3</v>
      </c>
      <c r="N85" s="16" t="str">
        <f t="shared" si="7"/>
        <v>March</v>
      </c>
      <c r="O85" s="17">
        <v>0.29328703703703701</v>
      </c>
      <c r="P85" s="17" t="str">
        <f>_xlfn.XLOOKUP(B85,[2]customers!$A$2:$A$101,[2]customers!$C$2:$C$101)</f>
        <v>Surat</v>
      </c>
      <c r="Q85" s="14" t="s">
        <v>74</v>
      </c>
      <c r="R85" s="14" t="s">
        <v>36</v>
      </c>
      <c r="S85" s="15">
        <f t="shared" si="8"/>
        <v>1638</v>
      </c>
      <c r="T85" s="19">
        <f t="shared" si="9"/>
        <v>2</v>
      </c>
    </row>
    <row r="86" spans="1:20" x14ac:dyDescent="0.3">
      <c r="A86" s="20">
        <v>85</v>
      </c>
      <c r="B86" s="20" t="s">
        <v>56</v>
      </c>
      <c r="C86" s="20">
        <v>26</v>
      </c>
      <c r="D86" s="20" t="s">
        <v>473</v>
      </c>
      <c r="E86" s="20" t="s">
        <v>429</v>
      </c>
      <c r="F86" s="20">
        <v>2</v>
      </c>
      <c r="G86" s="21">
        <f>_xlfn.XLOOKUP(C86,[1]products!$A$2:$A$71,[1]products!$D$2:$D$71)</f>
        <v>289</v>
      </c>
      <c r="H86" s="22">
        <v>44989</v>
      </c>
      <c r="I86" s="22" t="str">
        <f t="shared" si="5"/>
        <v>March</v>
      </c>
      <c r="J86" s="22" t="str">
        <f t="shared" si="6"/>
        <v>Saturday</v>
      </c>
      <c r="K86" s="23">
        <v>0.89953703703703702</v>
      </c>
      <c r="L86" s="22">
        <v>44999</v>
      </c>
      <c r="M86" s="24">
        <f>HOUR(orders!$K86)</f>
        <v>21</v>
      </c>
      <c r="N86" s="22" t="str">
        <f t="shared" si="7"/>
        <v>March</v>
      </c>
      <c r="O86" s="23">
        <v>0.61692129629629633</v>
      </c>
      <c r="P86" s="23" t="str">
        <f>_xlfn.XLOOKUP(B86,[2]customers!$A$2:$A$101,[2]customers!$C$2:$C$101)</f>
        <v>Karaikudi</v>
      </c>
      <c r="Q86" s="20" t="s">
        <v>147</v>
      </c>
      <c r="R86" s="20" t="s">
        <v>36</v>
      </c>
      <c r="S86" s="21">
        <f t="shared" si="8"/>
        <v>578</v>
      </c>
      <c r="T86" s="25">
        <f t="shared" si="9"/>
        <v>10</v>
      </c>
    </row>
    <row r="87" spans="1:20" x14ac:dyDescent="0.3">
      <c r="A87" s="14">
        <v>86</v>
      </c>
      <c r="B87" s="14" t="s">
        <v>88</v>
      </c>
      <c r="C87" s="14">
        <v>39</v>
      </c>
      <c r="D87" s="14" t="s">
        <v>478</v>
      </c>
      <c r="E87" s="14" t="s">
        <v>458</v>
      </c>
      <c r="F87" s="14">
        <v>4</v>
      </c>
      <c r="G87" s="15">
        <f>_xlfn.XLOOKUP(C87,[1]products!$A$2:$A$71,[1]products!$D$2:$D$71)</f>
        <v>387</v>
      </c>
      <c r="H87" s="16">
        <v>45182</v>
      </c>
      <c r="I87" s="16" t="str">
        <f t="shared" si="5"/>
        <v>September</v>
      </c>
      <c r="J87" s="16" t="str">
        <f t="shared" si="6"/>
        <v>Wednesday</v>
      </c>
      <c r="K87" s="17">
        <v>0.47765046296296299</v>
      </c>
      <c r="L87" s="16">
        <v>45191</v>
      </c>
      <c r="M87" s="18">
        <f>HOUR(orders!$K87)</f>
        <v>11</v>
      </c>
      <c r="N87" s="16" t="str">
        <f t="shared" si="7"/>
        <v>September</v>
      </c>
      <c r="O87" s="17">
        <v>0.58993055555555551</v>
      </c>
      <c r="P87" s="17" t="str">
        <f>_xlfn.XLOOKUP(B87,[2]customers!$A$2:$A$101,[2]customers!$C$2:$C$101)</f>
        <v>Guna</v>
      </c>
      <c r="Q87" s="14" t="s">
        <v>25</v>
      </c>
      <c r="R87" s="14" t="s">
        <v>60</v>
      </c>
      <c r="S87" s="15">
        <f t="shared" si="8"/>
        <v>1548</v>
      </c>
      <c r="T87" s="19">
        <f t="shared" si="9"/>
        <v>9</v>
      </c>
    </row>
    <row r="88" spans="1:20" x14ac:dyDescent="0.3">
      <c r="A88" s="20">
        <v>87</v>
      </c>
      <c r="B88" s="20" t="s">
        <v>75</v>
      </c>
      <c r="C88" s="20">
        <v>2</v>
      </c>
      <c r="D88" s="20" t="s">
        <v>481</v>
      </c>
      <c r="E88" s="20" t="s">
        <v>447</v>
      </c>
      <c r="F88" s="20">
        <v>5</v>
      </c>
      <c r="G88" s="21">
        <f>_xlfn.XLOOKUP(C88,[1]products!$A$2:$A$71,[1]products!$D$2:$D$71)</f>
        <v>441</v>
      </c>
      <c r="H88" s="22">
        <v>44961</v>
      </c>
      <c r="I88" s="22" t="str">
        <f t="shared" si="5"/>
        <v>February</v>
      </c>
      <c r="J88" s="22" t="str">
        <f t="shared" si="6"/>
        <v>Saturday</v>
      </c>
      <c r="K88" s="23">
        <v>0.55371527777777774</v>
      </c>
      <c r="L88" s="22">
        <v>44968</v>
      </c>
      <c r="M88" s="24">
        <f>HOUR(orders!$K88)</f>
        <v>13</v>
      </c>
      <c r="N88" s="22" t="str">
        <f t="shared" si="7"/>
        <v>February</v>
      </c>
      <c r="O88" s="23">
        <v>0.96291666666666664</v>
      </c>
      <c r="P88" s="23" t="str">
        <f>_xlfn.XLOOKUP(B88,[2]customers!$A$2:$A$101,[2]customers!$C$2:$C$101)</f>
        <v>Imphal</v>
      </c>
      <c r="Q88" s="20" t="s">
        <v>148</v>
      </c>
      <c r="R88" s="20" t="s">
        <v>23</v>
      </c>
      <c r="S88" s="21">
        <f t="shared" si="8"/>
        <v>2205</v>
      </c>
      <c r="T88" s="25">
        <f t="shared" si="9"/>
        <v>7</v>
      </c>
    </row>
    <row r="89" spans="1:20" x14ac:dyDescent="0.3">
      <c r="A89" s="14">
        <v>88</v>
      </c>
      <c r="B89" s="14" t="s">
        <v>140</v>
      </c>
      <c r="C89" s="14">
        <v>15</v>
      </c>
      <c r="D89" s="14" t="s">
        <v>482</v>
      </c>
      <c r="E89" s="14" t="s">
        <v>26</v>
      </c>
      <c r="F89" s="14">
        <v>4</v>
      </c>
      <c r="G89" s="15">
        <f>_xlfn.XLOOKUP(C89,[1]products!$A$2:$A$71,[1]products!$D$2:$D$71)</f>
        <v>1488</v>
      </c>
      <c r="H89" s="16">
        <v>45282</v>
      </c>
      <c r="I89" s="16" t="str">
        <f t="shared" si="5"/>
        <v>December</v>
      </c>
      <c r="J89" s="16" t="str">
        <f t="shared" si="6"/>
        <v>Friday</v>
      </c>
      <c r="K89" s="17">
        <v>0.41841435185185188</v>
      </c>
      <c r="L89" s="16">
        <v>45292</v>
      </c>
      <c r="M89" s="18">
        <f>HOUR(orders!$K89)</f>
        <v>10</v>
      </c>
      <c r="N89" s="16" t="str">
        <f t="shared" si="7"/>
        <v>January</v>
      </c>
      <c r="O89" s="17">
        <v>0.51244212962962965</v>
      </c>
      <c r="P89" s="17" t="str">
        <f>_xlfn.XLOOKUP(B89,[2]customers!$A$2:$A$101,[2]customers!$C$2:$C$101)</f>
        <v>Chinsurah</v>
      </c>
      <c r="Q89" s="14" t="s">
        <v>149</v>
      </c>
      <c r="R89" s="14" t="s">
        <v>12</v>
      </c>
      <c r="S89" s="15">
        <f t="shared" si="8"/>
        <v>5952</v>
      </c>
      <c r="T89" s="19">
        <f t="shared" si="9"/>
        <v>10</v>
      </c>
    </row>
    <row r="90" spans="1:20" x14ac:dyDescent="0.3">
      <c r="A90" s="20">
        <v>89</v>
      </c>
      <c r="B90" s="20" t="s">
        <v>150</v>
      </c>
      <c r="C90" s="20">
        <v>3</v>
      </c>
      <c r="D90" s="20" t="s">
        <v>483</v>
      </c>
      <c r="E90" s="20" t="s">
        <v>429</v>
      </c>
      <c r="F90" s="20">
        <v>5</v>
      </c>
      <c r="G90" s="21">
        <f>_xlfn.XLOOKUP(C90,[1]products!$A$2:$A$71,[1]products!$D$2:$D$71)</f>
        <v>1534</v>
      </c>
      <c r="H90" s="22">
        <v>44969</v>
      </c>
      <c r="I90" s="22" t="str">
        <f t="shared" si="5"/>
        <v>February</v>
      </c>
      <c r="J90" s="22" t="str">
        <f t="shared" si="6"/>
        <v>Sunday</v>
      </c>
      <c r="K90" s="23">
        <v>0.9561574074074074</v>
      </c>
      <c r="L90" s="22">
        <v>44970</v>
      </c>
      <c r="M90" s="24">
        <f>HOUR(orders!$K90)</f>
        <v>22</v>
      </c>
      <c r="N90" s="22" t="str">
        <f t="shared" si="7"/>
        <v>February</v>
      </c>
      <c r="O90" s="23">
        <v>0.61228009259259253</v>
      </c>
      <c r="P90" s="23" t="str">
        <f>_xlfn.XLOOKUP(B90,[2]customers!$A$2:$A$101,[2]customers!$C$2:$C$101)</f>
        <v>Satara</v>
      </c>
      <c r="Q90" s="20" t="s">
        <v>151</v>
      </c>
      <c r="R90" s="20" t="s">
        <v>23</v>
      </c>
      <c r="S90" s="21">
        <f t="shared" si="8"/>
        <v>7670</v>
      </c>
      <c r="T90" s="25">
        <f t="shared" si="9"/>
        <v>1</v>
      </c>
    </row>
    <row r="91" spans="1:20" x14ac:dyDescent="0.3">
      <c r="A91" s="14">
        <v>90</v>
      </c>
      <c r="B91" s="14" t="s">
        <v>66</v>
      </c>
      <c r="C91" s="14">
        <v>41</v>
      </c>
      <c r="D91" s="14" t="s">
        <v>426</v>
      </c>
      <c r="E91" s="14" t="s">
        <v>427</v>
      </c>
      <c r="F91" s="14">
        <v>3</v>
      </c>
      <c r="G91" s="15">
        <f>_xlfn.XLOOKUP(C91,[1]products!$A$2:$A$71,[1]products!$D$2:$D$71)</f>
        <v>1977</v>
      </c>
      <c r="H91" s="16">
        <v>45239</v>
      </c>
      <c r="I91" s="16" t="str">
        <f t="shared" si="5"/>
        <v>November</v>
      </c>
      <c r="J91" s="16" t="str">
        <f t="shared" si="6"/>
        <v>Thursday</v>
      </c>
      <c r="K91" s="17">
        <v>0.87101851851851853</v>
      </c>
      <c r="L91" s="16">
        <v>45248</v>
      </c>
      <c r="M91" s="18">
        <f>HOUR(orders!$K91)</f>
        <v>20</v>
      </c>
      <c r="N91" s="16" t="str">
        <f t="shared" si="7"/>
        <v>November</v>
      </c>
      <c r="O91" s="17">
        <v>0.74207175925925928</v>
      </c>
      <c r="P91" s="17" t="str">
        <f>_xlfn.XLOOKUP(B91,[2]customers!$A$2:$A$101,[2]customers!$C$2:$C$101)</f>
        <v xml:space="preserve">Khora </v>
      </c>
      <c r="Q91" s="14" t="s">
        <v>152</v>
      </c>
      <c r="R91" s="14" t="s">
        <v>15</v>
      </c>
      <c r="S91" s="15">
        <f t="shared" si="8"/>
        <v>5931</v>
      </c>
      <c r="T91" s="19">
        <f t="shared" si="9"/>
        <v>9</v>
      </c>
    </row>
    <row r="92" spans="1:20" x14ac:dyDescent="0.3">
      <c r="A92" s="20">
        <v>91</v>
      </c>
      <c r="B92" s="20" t="s">
        <v>153</v>
      </c>
      <c r="C92" s="20">
        <v>6</v>
      </c>
      <c r="D92" s="20" t="s">
        <v>450</v>
      </c>
      <c r="E92" s="20" t="s">
        <v>431</v>
      </c>
      <c r="F92" s="20">
        <v>2</v>
      </c>
      <c r="G92" s="21">
        <f>_xlfn.XLOOKUP(C92,[1]products!$A$2:$A$71,[1]products!$D$2:$D$71)</f>
        <v>1112</v>
      </c>
      <c r="H92" s="22">
        <v>44984</v>
      </c>
      <c r="I92" s="22" t="str">
        <f t="shared" si="5"/>
        <v>February</v>
      </c>
      <c r="J92" s="22" t="str">
        <f t="shared" si="6"/>
        <v>Monday</v>
      </c>
      <c r="K92" s="23">
        <v>0.5784259259259259</v>
      </c>
      <c r="L92" s="22">
        <v>44990</v>
      </c>
      <c r="M92" s="24">
        <f>HOUR(orders!$K92)</f>
        <v>13</v>
      </c>
      <c r="N92" s="22" t="str">
        <f t="shared" si="7"/>
        <v>March</v>
      </c>
      <c r="O92" s="23">
        <v>0.55792824074074077</v>
      </c>
      <c r="P92" s="23" t="str">
        <f>_xlfn.XLOOKUP(B92,[2]customers!$A$2:$A$101,[2]customers!$C$2:$C$101)</f>
        <v>Kavali</v>
      </c>
      <c r="Q92" s="20" t="s">
        <v>154</v>
      </c>
      <c r="R92" s="20" t="s">
        <v>36</v>
      </c>
      <c r="S92" s="21">
        <f t="shared" si="8"/>
        <v>2224</v>
      </c>
      <c r="T92" s="25">
        <f t="shared" si="9"/>
        <v>6</v>
      </c>
    </row>
    <row r="93" spans="1:20" x14ac:dyDescent="0.3">
      <c r="A93" s="14">
        <v>92</v>
      </c>
      <c r="B93" s="14" t="s">
        <v>155</v>
      </c>
      <c r="C93" s="14">
        <v>18</v>
      </c>
      <c r="D93" s="14" t="s">
        <v>484</v>
      </c>
      <c r="E93" s="14" t="s">
        <v>447</v>
      </c>
      <c r="F93" s="14">
        <v>5</v>
      </c>
      <c r="G93" s="15">
        <f>_xlfn.XLOOKUP(C93,[1]products!$A$2:$A$71,[1]products!$D$2:$D$71)</f>
        <v>781</v>
      </c>
      <c r="H93" s="16">
        <v>45061</v>
      </c>
      <c r="I93" s="16" t="str">
        <f t="shared" si="5"/>
        <v>May</v>
      </c>
      <c r="J93" s="16" t="str">
        <f t="shared" si="6"/>
        <v>Monday</v>
      </c>
      <c r="K93" s="17">
        <v>7.8472222222222224E-3</v>
      </c>
      <c r="L93" s="16">
        <v>45071</v>
      </c>
      <c r="M93" s="18">
        <f>HOUR(orders!$K93)</f>
        <v>0</v>
      </c>
      <c r="N93" s="16" t="str">
        <f t="shared" si="7"/>
        <v>May</v>
      </c>
      <c r="O93" s="17">
        <v>0.47077546296296297</v>
      </c>
      <c r="P93" s="17" t="str">
        <f>_xlfn.XLOOKUP(B93,[2]customers!$A$2:$A$101,[2]customers!$C$2:$C$101)</f>
        <v>Phagwara</v>
      </c>
      <c r="Q93" s="14" t="s">
        <v>156</v>
      </c>
      <c r="R93" s="14" t="s">
        <v>20</v>
      </c>
      <c r="S93" s="15">
        <f t="shared" si="8"/>
        <v>3905</v>
      </c>
      <c r="T93" s="19">
        <f t="shared" si="9"/>
        <v>10</v>
      </c>
    </row>
    <row r="94" spans="1:20" x14ac:dyDescent="0.3">
      <c r="A94" s="20">
        <v>93</v>
      </c>
      <c r="B94" s="20" t="s">
        <v>72</v>
      </c>
      <c r="C94" s="20">
        <v>24</v>
      </c>
      <c r="D94" s="20" t="s">
        <v>485</v>
      </c>
      <c r="E94" s="20" t="s">
        <v>458</v>
      </c>
      <c r="F94" s="20">
        <v>4</v>
      </c>
      <c r="G94" s="21">
        <f>_xlfn.XLOOKUP(C94,[1]products!$A$2:$A$71,[1]products!$D$2:$D$71)</f>
        <v>535</v>
      </c>
      <c r="H94" s="22">
        <v>45047</v>
      </c>
      <c r="I94" s="22" t="str">
        <f t="shared" si="5"/>
        <v>May</v>
      </c>
      <c r="J94" s="22" t="str">
        <f t="shared" si="6"/>
        <v>Monday</v>
      </c>
      <c r="K94" s="23">
        <v>0.74373842592592598</v>
      </c>
      <c r="L94" s="22">
        <v>45049</v>
      </c>
      <c r="M94" s="24">
        <f>HOUR(orders!$K94)</f>
        <v>17</v>
      </c>
      <c r="N94" s="22" t="str">
        <f t="shared" si="7"/>
        <v>May</v>
      </c>
      <c r="O94" s="23">
        <v>0.77495370370370376</v>
      </c>
      <c r="P94" s="23" t="str">
        <f>_xlfn.XLOOKUP(B94,[2]customers!$A$2:$A$101,[2]customers!$C$2:$C$101)</f>
        <v>Jorhat</v>
      </c>
      <c r="Q94" s="20" t="s">
        <v>157</v>
      </c>
      <c r="R94" s="20" t="s">
        <v>20</v>
      </c>
      <c r="S94" s="21">
        <f t="shared" si="8"/>
        <v>2140</v>
      </c>
      <c r="T94" s="25">
        <f t="shared" si="9"/>
        <v>2</v>
      </c>
    </row>
    <row r="95" spans="1:20" x14ac:dyDescent="0.3">
      <c r="A95" s="14">
        <v>94</v>
      </c>
      <c r="B95" s="14" t="s">
        <v>32</v>
      </c>
      <c r="C95" s="14">
        <v>69</v>
      </c>
      <c r="D95" s="14" t="s">
        <v>486</v>
      </c>
      <c r="E95" s="14" t="s">
        <v>431</v>
      </c>
      <c r="F95" s="14">
        <v>5</v>
      </c>
      <c r="G95" s="15">
        <f>_xlfn.XLOOKUP(C95,[1]products!$A$2:$A$71,[1]products!$D$2:$D$71)</f>
        <v>998</v>
      </c>
      <c r="H95" s="16">
        <v>44987</v>
      </c>
      <c r="I95" s="16" t="str">
        <f t="shared" si="5"/>
        <v>March</v>
      </c>
      <c r="J95" s="16" t="str">
        <f t="shared" si="6"/>
        <v>Thursday</v>
      </c>
      <c r="K95" s="17">
        <v>0.61884259259259256</v>
      </c>
      <c r="L95" s="16">
        <v>44996</v>
      </c>
      <c r="M95" s="18">
        <f>HOUR(orders!$K95)</f>
        <v>14</v>
      </c>
      <c r="N95" s="16" t="str">
        <f t="shared" si="7"/>
        <v>March</v>
      </c>
      <c r="O95" s="17">
        <v>0.34362268518518518</v>
      </c>
      <c r="P95" s="17" t="str">
        <f>_xlfn.XLOOKUP(B95,[2]customers!$A$2:$A$101,[2]customers!$C$2:$C$101)</f>
        <v>Dhanbad</v>
      </c>
      <c r="Q95" s="14" t="s">
        <v>158</v>
      </c>
      <c r="R95" s="14" t="s">
        <v>36</v>
      </c>
      <c r="S95" s="15">
        <f t="shared" si="8"/>
        <v>4990</v>
      </c>
      <c r="T95" s="19">
        <f t="shared" si="9"/>
        <v>9</v>
      </c>
    </row>
    <row r="96" spans="1:20" x14ac:dyDescent="0.3">
      <c r="A96" s="20">
        <v>95</v>
      </c>
      <c r="B96" s="20" t="s">
        <v>159</v>
      </c>
      <c r="C96" s="20">
        <v>70</v>
      </c>
      <c r="D96" s="20" t="s">
        <v>466</v>
      </c>
      <c r="E96" s="20" t="s">
        <v>427</v>
      </c>
      <c r="F96" s="20">
        <v>4</v>
      </c>
      <c r="G96" s="21">
        <f>_xlfn.XLOOKUP(C96,[1]products!$A$2:$A$71,[1]products!$D$2:$D$71)</f>
        <v>866</v>
      </c>
      <c r="H96" s="22">
        <v>45075</v>
      </c>
      <c r="I96" s="22" t="str">
        <f t="shared" si="5"/>
        <v>May</v>
      </c>
      <c r="J96" s="22" t="str">
        <f t="shared" si="6"/>
        <v>Monday</v>
      </c>
      <c r="K96" s="23">
        <v>0.3296412037037037</v>
      </c>
      <c r="L96" s="22">
        <v>45080</v>
      </c>
      <c r="M96" s="24">
        <f>HOUR(orders!$K96)</f>
        <v>7</v>
      </c>
      <c r="N96" s="22" t="str">
        <f t="shared" si="7"/>
        <v>June</v>
      </c>
      <c r="O96" s="23">
        <v>0.30315972222222221</v>
      </c>
      <c r="P96" s="23" t="str">
        <f>_xlfn.XLOOKUP(B96,[2]customers!$A$2:$A$101,[2]customers!$C$2:$C$101)</f>
        <v>Kamarhati</v>
      </c>
      <c r="Q96" s="20" t="s">
        <v>160</v>
      </c>
      <c r="R96" s="20" t="s">
        <v>20</v>
      </c>
      <c r="S96" s="21">
        <f t="shared" si="8"/>
        <v>3464</v>
      </c>
      <c r="T96" s="25">
        <f t="shared" si="9"/>
        <v>5</v>
      </c>
    </row>
    <row r="97" spans="1:20" x14ac:dyDescent="0.3">
      <c r="A97" s="14">
        <v>96</v>
      </c>
      <c r="B97" s="14" t="s">
        <v>32</v>
      </c>
      <c r="C97" s="14">
        <v>25</v>
      </c>
      <c r="D97" s="14" t="s">
        <v>471</v>
      </c>
      <c r="E97" s="14" t="s">
        <v>447</v>
      </c>
      <c r="F97" s="14">
        <v>3</v>
      </c>
      <c r="G97" s="15">
        <f>_xlfn.XLOOKUP(C97,[1]products!$A$2:$A$71,[1]products!$D$2:$D$71)</f>
        <v>1202</v>
      </c>
      <c r="H97" s="16">
        <v>44999</v>
      </c>
      <c r="I97" s="16" t="str">
        <f t="shared" si="5"/>
        <v>March</v>
      </c>
      <c r="J97" s="16" t="str">
        <f t="shared" si="6"/>
        <v>Tuesday</v>
      </c>
      <c r="K97" s="17">
        <v>0.62524305555555559</v>
      </c>
      <c r="L97" s="16">
        <v>45008</v>
      </c>
      <c r="M97" s="18">
        <f>HOUR(orders!$K97)</f>
        <v>15</v>
      </c>
      <c r="N97" s="16" t="str">
        <f t="shared" si="7"/>
        <v>March</v>
      </c>
      <c r="O97" s="17">
        <v>0.37229166666666669</v>
      </c>
      <c r="P97" s="17" t="str">
        <f>_xlfn.XLOOKUP(B97,[2]customers!$A$2:$A$101,[2]customers!$C$2:$C$101)</f>
        <v>Dhanbad</v>
      </c>
      <c r="Q97" s="14" t="s">
        <v>161</v>
      </c>
      <c r="R97" s="14" t="s">
        <v>12</v>
      </c>
      <c r="S97" s="15">
        <f t="shared" si="8"/>
        <v>3606</v>
      </c>
      <c r="T97" s="19">
        <f t="shared" si="9"/>
        <v>9</v>
      </c>
    </row>
    <row r="98" spans="1:20" x14ac:dyDescent="0.3">
      <c r="A98" s="20">
        <v>97</v>
      </c>
      <c r="B98" s="20" t="s">
        <v>56</v>
      </c>
      <c r="C98" s="20">
        <v>41</v>
      </c>
      <c r="D98" s="20" t="s">
        <v>426</v>
      </c>
      <c r="E98" s="20" t="s">
        <v>427</v>
      </c>
      <c r="F98" s="20">
        <v>1</v>
      </c>
      <c r="G98" s="21">
        <f>_xlfn.XLOOKUP(C98,[1]products!$A$2:$A$71,[1]products!$D$2:$D$71)</f>
        <v>1977</v>
      </c>
      <c r="H98" s="22">
        <v>45233</v>
      </c>
      <c r="I98" s="22" t="str">
        <f t="shared" si="5"/>
        <v>November</v>
      </c>
      <c r="J98" s="22" t="str">
        <f t="shared" si="6"/>
        <v>Friday</v>
      </c>
      <c r="K98" s="23">
        <v>0.8413425925925927</v>
      </c>
      <c r="L98" s="22">
        <v>45238</v>
      </c>
      <c r="M98" s="24">
        <f>HOUR(orders!$K98)</f>
        <v>20</v>
      </c>
      <c r="N98" s="22" t="str">
        <f t="shared" si="7"/>
        <v>November</v>
      </c>
      <c r="O98" s="23">
        <v>6.626157407407407E-2</v>
      </c>
      <c r="P98" s="23" t="str">
        <f>_xlfn.XLOOKUP(B98,[2]customers!$A$2:$A$101,[2]customers!$C$2:$C$101)</f>
        <v>Karaikudi</v>
      </c>
      <c r="Q98" s="20" t="s">
        <v>91</v>
      </c>
      <c r="R98" s="20" t="s">
        <v>15</v>
      </c>
      <c r="S98" s="21">
        <f t="shared" si="8"/>
        <v>1977</v>
      </c>
      <c r="T98" s="25">
        <f t="shared" si="9"/>
        <v>5</v>
      </c>
    </row>
    <row r="99" spans="1:20" x14ac:dyDescent="0.3">
      <c r="A99" s="14">
        <v>98</v>
      </c>
      <c r="B99" s="14" t="s">
        <v>95</v>
      </c>
      <c r="C99" s="14">
        <v>8</v>
      </c>
      <c r="D99" s="14" t="s">
        <v>454</v>
      </c>
      <c r="E99" s="14" t="s">
        <v>427</v>
      </c>
      <c r="F99" s="14">
        <v>1</v>
      </c>
      <c r="G99" s="15">
        <f>_xlfn.XLOOKUP(C99,[1]products!$A$2:$A$71,[1]products!$D$2:$D$71)</f>
        <v>252</v>
      </c>
      <c r="H99" s="16">
        <v>45229</v>
      </c>
      <c r="I99" s="16" t="str">
        <f t="shared" si="5"/>
        <v>October</v>
      </c>
      <c r="J99" s="16" t="str">
        <f t="shared" si="6"/>
        <v>Monday</v>
      </c>
      <c r="K99" s="17">
        <v>0.6430555555555556</v>
      </c>
      <c r="L99" s="16">
        <v>45231</v>
      </c>
      <c r="M99" s="18">
        <f>HOUR(orders!$K99)</f>
        <v>15</v>
      </c>
      <c r="N99" s="16" t="str">
        <f t="shared" si="7"/>
        <v>November</v>
      </c>
      <c r="O99" s="17">
        <v>0.69060185185185186</v>
      </c>
      <c r="P99" s="17" t="str">
        <f>_xlfn.XLOOKUP(B99,[2]customers!$A$2:$A$101,[2]customers!$C$2:$C$101)</f>
        <v>Sasaram</v>
      </c>
      <c r="Q99" s="14" t="s">
        <v>69</v>
      </c>
      <c r="R99" s="14" t="s">
        <v>12</v>
      </c>
      <c r="S99" s="15">
        <f t="shared" si="8"/>
        <v>252</v>
      </c>
      <c r="T99" s="19">
        <f t="shared" si="9"/>
        <v>2</v>
      </c>
    </row>
    <row r="100" spans="1:20" x14ac:dyDescent="0.3">
      <c r="A100" s="20">
        <v>99</v>
      </c>
      <c r="B100" s="20" t="s">
        <v>127</v>
      </c>
      <c r="C100" s="20">
        <v>38</v>
      </c>
      <c r="D100" s="20" t="s">
        <v>438</v>
      </c>
      <c r="E100" s="20" t="s">
        <v>431</v>
      </c>
      <c r="F100" s="20">
        <v>3</v>
      </c>
      <c r="G100" s="21">
        <f>_xlfn.XLOOKUP(C100,[1]products!$A$2:$A$71,[1]products!$D$2:$D$71)</f>
        <v>562</v>
      </c>
      <c r="H100" s="22">
        <v>45234</v>
      </c>
      <c r="I100" s="22" t="str">
        <f t="shared" si="5"/>
        <v>November</v>
      </c>
      <c r="J100" s="22" t="str">
        <f t="shared" si="6"/>
        <v>Saturday</v>
      </c>
      <c r="K100" s="23">
        <v>0.58386574074074071</v>
      </c>
      <c r="L100" s="22">
        <v>45235</v>
      </c>
      <c r="M100" s="24">
        <f>HOUR(orders!$K100)</f>
        <v>14</v>
      </c>
      <c r="N100" s="22" t="str">
        <f t="shared" si="7"/>
        <v>November</v>
      </c>
      <c r="O100" s="23">
        <v>0.65599537037037037</v>
      </c>
      <c r="P100" s="23" t="str">
        <f>_xlfn.XLOOKUP(B100,[2]customers!$A$2:$A$101,[2]customers!$C$2:$C$101)</f>
        <v>Imphal</v>
      </c>
      <c r="Q100" s="20" t="s">
        <v>162</v>
      </c>
      <c r="R100" s="20" t="s">
        <v>20</v>
      </c>
      <c r="S100" s="21">
        <f t="shared" si="8"/>
        <v>1686</v>
      </c>
      <c r="T100" s="25">
        <f t="shared" si="9"/>
        <v>1</v>
      </c>
    </row>
    <row r="101" spans="1:20" x14ac:dyDescent="0.3">
      <c r="A101" s="14">
        <v>100</v>
      </c>
      <c r="B101" s="14" t="s">
        <v>75</v>
      </c>
      <c r="C101" s="14">
        <v>42</v>
      </c>
      <c r="D101" s="14" t="s">
        <v>448</v>
      </c>
      <c r="E101" s="14" t="s">
        <v>427</v>
      </c>
      <c r="F101" s="14">
        <v>5</v>
      </c>
      <c r="G101" s="15">
        <f>_xlfn.XLOOKUP(C101,[1]products!$A$2:$A$71,[1]products!$D$2:$D$71)</f>
        <v>1744</v>
      </c>
      <c r="H101" s="16">
        <v>45055</v>
      </c>
      <c r="I101" s="16" t="str">
        <f t="shared" si="5"/>
        <v>May</v>
      </c>
      <c r="J101" s="16" t="str">
        <f t="shared" si="6"/>
        <v>Tuesday</v>
      </c>
      <c r="K101" s="17">
        <v>0.24313657407407407</v>
      </c>
      <c r="L101" s="16">
        <v>45063</v>
      </c>
      <c r="M101" s="18">
        <f>HOUR(orders!$K101)</f>
        <v>5</v>
      </c>
      <c r="N101" s="16" t="str">
        <f t="shared" si="7"/>
        <v>May</v>
      </c>
      <c r="O101" s="17">
        <v>0.22946759259259261</v>
      </c>
      <c r="P101" s="17" t="str">
        <f>_xlfn.XLOOKUP(B101,[2]customers!$A$2:$A$101,[2]customers!$C$2:$C$101)</f>
        <v>Imphal</v>
      </c>
      <c r="Q101" s="14" t="s">
        <v>163</v>
      </c>
      <c r="R101" s="14" t="s">
        <v>60</v>
      </c>
      <c r="S101" s="15">
        <f t="shared" si="8"/>
        <v>8720</v>
      </c>
      <c r="T101" s="19">
        <f t="shared" si="9"/>
        <v>8</v>
      </c>
    </row>
    <row r="102" spans="1:20" x14ac:dyDescent="0.3">
      <c r="A102" s="20">
        <v>101</v>
      </c>
      <c r="B102" s="20" t="s">
        <v>67</v>
      </c>
      <c r="C102" s="20">
        <v>70</v>
      </c>
      <c r="D102" s="20" t="s">
        <v>466</v>
      </c>
      <c r="E102" s="20" t="s">
        <v>427</v>
      </c>
      <c r="F102" s="20">
        <v>4</v>
      </c>
      <c r="G102" s="21">
        <f>_xlfn.XLOOKUP(C102,[1]products!$A$2:$A$71,[1]products!$D$2:$D$71)</f>
        <v>866</v>
      </c>
      <c r="H102" s="22">
        <v>45096</v>
      </c>
      <c r="I102" s="22" t="str">
        <f t="shared" si="5"/>
        <v>June</v>
      </c>
      <c r="J102" s="22" t="str">
        <f t="shared" si="6"/>
        <v>Monday</v>
      </c>
      <c r="K102" s="23">
        <v>0.16449074074074074</v>
      </c>
      <c r="L102" s="22">
        <v>45098</v>
      </c>
      <c r="M102" s="24">
        <f>HOUR(orders!$K102)</f>
        <v>3</v>
      </c>
      <c r="N102" s="22" t="str">
        <f t="shared" si="7"/>
        <v>June</v>
      </c>
      <c r="O102" s="23">
        <v>0.26292824074074073</v>
      </c>
      <c r="P102" s="23" t="str">
        <f>_xlfn.XLOOKUP(B102,[2]customers!$A$2:$A$101,[2]customers!$C$2:$C$101)</f>
        <v>Srikakulam</v>
      </c>
      <c r="Q102" s="20" t="s">
        <v>35</v>
      </c>
      <c r="R102" s="20" t="s">
        <v>20</v>
      </c>
      <c r="S102" s="21">
        <f t="shared" si="8"/>
        <v>3464</v>
      </c>
      <c r="T102" s="25">
        <f t="shared" si="9"/>
        <v>2</v>
      </c>
    </row>
    <row r="103" spans="1:20" x14ac:dyDescent="0.3">
      <c r="A103" s="14">
        <v>102</v>
      </c>
      <c r="B103" s="14" t="s">
        <v>164</v>
      </c>
      <c r="C103" s="14">
        <v>10</v>
      </c>
      <c r="D103" s="14" t="s">
        <v>452</v>
      </c>
      <c r="E103" s="14" t="s">
        <v>431</v>
      </c>
      <c r="F103" s="14">
        <v>3</v>
      </c>
      <c r="G103" s="15">
        <f>_xlfn.XLOOKUP(C103,[1]products!$A$2:$A$71,[1]products!$D$2:$D$71)</f>
        <v>259</v>
      </c>
      <c r="H103" s="16">
        <v>45227</v>
      </c>
      <c r="I103" s="16" t="str">
        <f t="shared" si="5"/>
        <v>October</v>
      </c>
      <c r="J103" s="16" t="str">
        <f t="shared" si="6"/>
        <v>Saturday</v>
      </c>
      <c r="K103" s="17">
        <v>0.81543981481481476</v>
      </c>
      <c r="L103" s="16">
        <v>45236</v>
      </c>
      <c r="M103" s="18">
        <f>HOUR(orders!$K103)</f>
        <v>19</v>
      </c>
      <c r="N103" s="16" t="str">
        <f t="shared" si="7"/>
        <v>November</v>
      </c>
      <c r="O103" s="17">
        <v>0.29623842592592592</v>
      </c>
      <c r="P103" s="17" t="str">
        <f>_xlfn.XLOOKUP(B103,[2]customers!$A$2:$A$101,[2]customers!$C$2:$C$101)</f>
        <v>Ratlam</v>
      </c>
      <c r="Q103" s="14" t="s">
        <v>165</v>
      </c>
      <c r="R103" s="14" t="s">
        <v>20</v>
      </c>
      <c r="S103" s="15">
        <f t="shared" si="8"/>
        <v>777</v>
      </c>
      <c r="T103" s="19">
        <f t="shared" si="9"/>
        <v>9</v>
      </c>
    </row>
    <row r="104" spans="1:20" x14ac:dyDescent="0.3">
      <c r="A104" s="20">
        <v>103</v>
      </c>
      <c r="B104" s="20" t="s">
        <v>29</v>
      </c>
      <c r="C104" s="20">
        <v>18</v>
      </c>
      <c r="D104" s="20" t="s">
        <v>484</v>
      </c>
      <c r="E104" s="20" t="s">
        <v>447</v>
      </c>
      <c r="F104" s="20">
        <v>3</v>
      </c>
      <c r="G104" s="21">
        <f>_xlfn.XLOOKUP(C104,[1]products!$A$2:$A$71,[1]products!$D$2:$D$71)</f>
        <v>781</v>
      </c>
      <c r="H104" s="22">
        <v>44958</v>
      </c>
      <c r="I104" s="22" t="str">
        <f t="shared" si="5"/>
        <v>February</v>
      </c>
      <c r="J104" s="22" t="str">
        <f t="shared" si="6"/>
        <v>Wednesday</v>
      </c>
      <c r="K104" s="23">
        <v>0.51734953703703701</v>
      </c>
      <c r="L104" s="22">
        <v>44965</v>
      </c>
      <c r="M104" s="24">
        <f>HOUR(orders!$K104)</f>
        <v>12</v>
      </c>
      <c r="N104" s="22" t="str">
        <f t="shared" si="7"/>
        <v>February</v>
      </c>
      <c r="O104" s="23">
        <v>0.95253472222222213</v>
      </c>
      <c r="P104" s="23" t="str">
        <f>_xlfn.XLOOKUP(B104,[2]customers!$A$2:$A$101,[2]customers!$C$2:$C$101)</f>
        <v>Sri Ganganagar</v>
      </c>
      <c r="Q104" s="20" t="s">
        <v>166</v>
      </c>
      <c r="R104" s="20" t="s">
        <v>20</v>
      </c>
      <c r="S104" s="21">
        <f t="shared" si="8"/>
        <v>2343</v>
      </c>
      <c r="T104" s="25">
        <f t="shared" si="9"/>
        <v>7</v>
      </c>
    </row>
    <row r="105" spans="1:20" x14ac:dyDescent="0.3">
      <c r="A105" s="14">
        <v>104</v>
      </c>
      <c r="B105" s="14" t="s">
        <v>167</v>
      </c>
      <c r="C105" s="14">
        <v>51</v>
      </c>
      <c r="D105" s="14" t="s">
        <v>469</v>
      </c>
      <c r="E105" s="14" t="s">
        <v>445</v>
      </c>
      <c r="F105" s="14">
        <v>3</v>
      </c>
      <c r="G105" s="15">
        <f>_xlfn.XLOOKUP(C105,[1]products!$A$2:$A$71,[1]products!$D$2:$D$71)</f>
        <v>1084</v>
      </c>
      <c r="H105" s="16">
        <v>45289</v>
      </c>
      <c r="I105" s="16" t="str">
        <f t="shared" si="5"/>
        <v>December</v>
      </c>
      <c r="J105" s="16" t="str">
        <f t="shared" si="6"/>
        <v>Friday</v>
      </c>
      <c r="K105" s="17">
        <v>7.3252314814814812E-2</v>
      </c>
      <c r="L105" s="16">
        <v>45296</v>
      </c>
      <c r="M105" s="18">
        <f>HOUR(orders!$K105)</f>
        <v>1</v>
      </c>
      <c r="N105" s="16" t="str">
        <f t="shared" si="7"/>
        <v>January</v>
      </c>
      <c r="O105" s="17">
        <v>1.074074074074074E-2</v>
      </c>
      <c r="P105" s="17" t="str">
        <f>_xlfn.XLOOKUP(B105,[2]customers!$A$2:$A$101,[2]customers!$C$2:$C$101)</f>
        <v>Ahmednagar</v>
      </c>
      <c r="Q105" s="14" t="s">
        <v>168</v>
      </c>
      <c r="R105" s="14" t="s">
        <v>60</v>
      </c>
      <c r="S105" s="15">
        <f t="shared" si="8"/>
        <v>3252</v>
      </c>
      <c r="T105" s="19">
        <f t="shared" si="9"/>
        <v>7</v>
      </c>
    </row>
    <row r="106" spans="1:20" x14ac:dyDescent="0.3">
      <c r="A106" s="20">
        <v>105</v>
      </c>
      <c r="B106" s="20" t="s">
        <v>64</v>
      </c>
      <c r="C106" s="20">
        <v>36</v>
      </c>
      <c r="D106" s="20" t="s">
        <v>468</v>
      </c>
      <c r="E106" s="20" t="s">
        <v>447</v>
      </c>
      <c r="F106" s="20">
        <v>2</v>
      </c>
      <c r="G106" s="21">
        <f>_xlfn.XLOOKUP(C106,[1]products!$A$2:$A$71,[1]products!$D$2:$D$71)</f>
        <v>203</v>
      </c>
      <c r="H106" s="22">
        <v>44968</v>
      </c>
      <c r="I106" s="22" t="str">
        <f t="shared" si="5"/>
        <v>February</v>
      </c>
      <c r="J106" s="22" t="str">
        <f t="shared" si="6"/>
        <v>Saturday</v>
      </c>
      <c r="K106" s="23">
        <v>0.12333333333333334</v>
      </c>
      <c r="L106" s="22">
        <v>44978</v>
      </c>
      <c r="M106" s="24">
        <f>HOUR(orders!$K106)</f>
        <v>2</v>
      </c>
      <c r="N106" s="22" t="str">
        <f t="shared" si="7"/>
        <v>February</v>
      </c>
      <c r="O106" s="23">
        <v>6.5393518518518517E-2</v>
      </c>
      <c r="P106" s="23" t="str">
        <f>_xlfn.XLOOKUP(B106,[2]customers!$A$2:$A$101,[2]customers!$C$2:$C$101)</f>
        <v>Jamnagar</v>
      </c>
      <c r="Q106" s="20" t="s">
        <v>94</v>
      </c>
      <c r="R106" s="20" t="s">
        <v>20</v>
      </c>
      <c r="S106" s="21">
        <f t="shared" si="8"/>
        <v>406</v>
      </c>
      <c r="T106" s="25">
        <f t="shared" si="9"/>
        <v>10</v>
      </c>
    </row>
    <row r="107" spans="1:20" x14ac:dyDescent="0.3">
      <c r="A107" s="14">
        <v>106</v>
      </c>
      <c r="B107" s="14" t="s">
        <v>109</v>
      </c>
      <c r="C107" s="14">
        <v>41</v>
      </c>
      <c r="D107" s="14" t="s">
        <v>426</v>
      </c>
      <c r="E107" s="14" t="s">
        <v>427</v>
      </c>
      <c r="F107" s="14">
        <v>2</v>
      </c>
      <c r="G107" s="15">
        <f>_xlfn.XLOOKUP(C107,[1]products!$A$2:$A$71,[1]products!$D$2:$D$71)</f>
        <v>1977</v>
      </c>
      <c r="H107" s="16">
        <v>45236</v>
      </c>
      <c r="I107" s="16" t="str">
        <f t="shared" si="5"/>
        <v>November</v>
      </c>
      <c r="J107" s="16" t="str">
        <f t="shared" si="6"/>
        <v>Monday</v>
      </c>
      <c r="K107" s="17">
        <v>0.74706018518518524</v>
      </c>
      <c r="L107" s="16">
        <v>45238</v>
      </c>
      <c r="M107" s="18">
        <f>HOUR(orders!$K107)</f>
        <v>17</v>
      </c>
      <c r="N107" s="16" t="str">
        <f t="shared" si="7"/>
        <v>November</v>
      </c>
      <c r="O107" s="17">
        <v>0.95865740740740746</v>
      </c>
      <c r="P107" s="17" t="str">
        <f>_xlfn.XLOOKUP(B107,[2]customers!$A$2:$A$101,[2]customers!$C$2:$C$101)</f>
        <v>Warangal</v>
      </c>
      <c r="Q107" s="14" t="s">
        <v>169</v>
      </c>
      <c r="R107" s="14" t="s">
        <v>15</v>
      </c>
      <c r="S107" s="15">
        <f t="shared" si="8"/>
        <v>3954</v>
      </c>
      <c r="T107" s="19">
        <f t="shared" si="9"/>
        <v>2</v>
      </c>
    </row>
    <row r="108" spans="1:20" x14ac:dyDescent="0.3">
      <c r="A108" s="20">
        <v>107</v>
      </c>
      <c r="B108" s="20" t="s">
        <v>56</v>
      </c>
      <c r="C108" s="20">
        <v>4</v>
      </c>
      <c r="D108" s="20" t="s">
        <v>475</v>
      </c>
      <c r="E108" s="20" t="s">
        <v>427</v>
      </c>
      <c r="F108" s="20">
        <v>3</v>
      </c>
      <c r="G108" s="21">
        <f>_xlfn.XLOOKUP(C108,[1]products!$A$2:$A$71,[1]products!$D$2:$D$71)</f>
        <v>1199</v>
      </c>
      <c r="H108" s="22">
        <v>45236</v>
      </c>
      <c r="I108" s="22" t="str">
        <f t="shared" si="5"/>
        <v>November</v>
      </c>
      <c r="J108" s="22" t="str">
        <f t="shared" si="6"/>
        <v>Monday</v>
      </c>
      <c r="K108" s="23">
        <v>0.42924768518518519</v>
      </c>
      <c r="L108" s="22">
        <v>45242</v>
      </c>
      <c r="M108" s="24">
        <f>HOUR(orders!$K108)</f>
        <v>10</v>
      </c>
      <c r="N108" s="22" t="str">
        <f t="shared" si="7"/>
        <v>November</v>
      </c>
      <c r="O108" s="23">
        <v>0.5974652777777778</v>
      </c>
      <c r="P108" s="23" t="str">
        <f>_xlfn.XLOOKUP(B108,[2]customers!$A$2:$A$101,[2]customers!$C$2:$C$101)</f>
        <v>Karaikudi</v>
      </c>
      <c r="Q108" s="20" t="s">
        <v>170</v>
      </c>
      <c r="R108" s="20" t="s">
        <v>15</v>
      </c>
      <c r="S108" s="21">
        <f t="shared" si="8"/>
        <v>3597</v>
      </c>
      <c r="T108" s="25">
        <f t="shared" si="9"/>
        <v>6</v>
      </c>
    </row>
    <row r="109" spans="1:20" x14ac:dyDescent="0.3">
      <c r="A109" s="14">
        <v>108</v>
      </c>
      <c r="B109" s="14" t="s">
        <v>18</v>
      </c>
      <c r="C109" s="14">
        <v>26</v>
      </c>
      <c r="D109" s="14" t="s">
        <v>473</v>
      </c>
      <c r="E109" s="14" t="s">
        <v>429</v>
      </c>
      <c r="F109" s="14">
        <v>4</v>
      </c>
      <c r="G109" s="15">
        <f>_xlfn.XLOOKUP(C109,[1]products!$A$2:$A$71,[1]products!$D$2:$D$71)</f>
        <v>289</v>
      </c>
      <c r="H109" s="16">
        <v>44984</v>
      </c>
      <c r="I109" s="16" t="str">
        <f t="shared" si="5"/>
        <v>February</v>
      </c>
      <c r="J109" s="16" t="str">
        <f t="shared" si="6"/>
        <v>Monday</v>
      </c>
      <c r="K109" s="17">
        <v>0.37738425925925928</v>
      </c>
      <c r="L109" s="16">
        <v>44990</v>
      </c>
      <c r="M109" s="18">
        <f>HOUR(orders!$K109)</f>
        <v>9</v>
      </c>
      <c r="N109" s="16" t="str">
        <f t="shared" si="7"/>
        <v>March</v>
      </c>
      <c r="O109" s="17">
        <v>0.33547453703703706</v>
      </c>
      <c r="P109" s="17" t="str">
        <f>_xlfn.XLOOKUP(B109,[2]customers!$A$2:$A$101,[2]customers!$C$2:$C$101)</f>
        <v>Bilaspur</v>
      </c>
      <c r="Q109" s="14" t="s">
        <v>171</v>
      </c>
      <c r="R109" s="14" t="s">
        <v>36</v>
      </c>
      <c r="S109" s="15">
        <f t="shared" si="8"/>
        <v>1156</v>
      </c>
      <c r="T109" s="19">
        <f t="shared" si="9"/>
        <v>6</v>
      </c>
    </row>
    <row r="110" spans="1:20" x14ac:dyDescent="0.3">
      <c r="A110" s="20">
        <v>109</v>
      </c>
      <c r="B110" s="20" t="s">
        <v>118</v>
      </c>
      <c r="C110" s="20">
        <v>50</v>
      </c>
      <c r="D110" s="20" t="s">
        <v>487</v>
      </c>
      <c r="E110" s="20" t="s">
        <v>447</v>
      </c>
      <c r="F110" s="20">
        <v>5</v>
      </c>
      <c r="G110" s="21">
        <f>_xlfn.XLOOKUP(C110,[1]products!$A$2:$A$71,[1]products!$D$2:$D$71)</f>
        <v>422</v>
      </c>
      <c r="H110" s="22">
        <v>44984</v>
      </c>
      <c r="I110" s="22" t="str">
        <f t="shared" si="5"/>
        <v>February</v>
      </c>
      <c r="J110" s="22" t="str">
        <f t="shared" si="6"/>
        <v>Monday</v>
      </c>
      <c r="K110" s="23">
        <v>0.64986111111111111</v>
      </c>
      <c r="L110" s="22">
        <v>44986</v>
      </c>
      <c r="M110" s="24">
        <f>HOUR(orders!$K110)</f>
        <v>15</v>
      </c>
      <c r="N110" s="22" t="str">
        <f t="shared" si="7"/>
        <v>March</v>
      </c>
      <c r="O110" s="23">
        <v>0.3603703703703704</v>
      </c>
      <c r="P110" s="23" t="str">
        <f>_xlfn.XLOOKUP(B110,[2]customers!$A$2:$A$101,[2]customers!$C$2:$C$101)</f>
        <v>Sultan Pur Majra</v>
      </c>
      <c r="Q110" s="20" t="s">
        <v>39</v>
      </c>
      <c r="R110" s="20" t="s">
        <v>36</v>
      </c>
      <c r="S110" s="21">
        <f t="shared" si="8"/>
        <v>2110</v>
      </c>
      <c r="T110" s="25">
        <f t="shared" si="9"/>
        <v>2</v>
      </c>
    </row>
    <row r="111" spans="1:20" x14ac:dyDescent="0.3">
      <c r="A111" s="14">
        <v>110</v>
      </c>
      <c r="B111" s="14" t="s">
        <v>172</v>
      </c>
      <c r="C111" s="14">
        <v>26</v>
      </c>
      <c r="D111" s="14" t="s">
        <v>473</v>
      </c>
      <c r="E111" s="14" t="s">
        <v>429</v>
      </c>
      <c r="F111" s="14">
        <v>2</v>
      </c>
      <c r="G111" s="15">
        <f>_xlfn.XLOOKUP(C111,[1]products!$A$2:$A$71,[1]products!$D$2:$D$71)</f>
        <v>289</v>
      </c>
      <c r="H111" s="16">
        <v>44989</v>
      </c>
      <c r="I111" s="16" t="str">
        <f t="shared" si="5"/>
        <v>March</v>
      </c>
      <c r="J111" s="16" t="str">
        <f t="shared" si="6"/>
        <v>Saturday</v>
      </c>
      <c r="K111" s="17">
        <v>0.4748148148148148</v>
      </c>
      <c r="L111" s="16">
        <v>44998</v>
      </c>
      <c r="M111" s="18">
        <f>HOUR(orders!$K111)</f>
        <v>11</v>
      </c>
      <c r="N111" s="16" t="str">
        <f t="shared" si="7"/>
        <v>March</v>
      </c>
      <c r="O111" s="17">
        <v>0.35244212962962962</v>
      </c>
      <c r="P111" s="17" t="str">
        <f>_xlfn.XLOOKUP(B111,[2]customers!$A$2:$A$101,[2]customers!$C$2:$C$101)</f>
        <v>Aligarh</v>
      </c>
      <c r="Q111" s="14" t="s">
        <v>173</v>
      </c>
      <c r="R111" s="14" t="s">
        <v>36</v>
      </c>
      <c r="S111" s="15">
        <f t="shared" si="8"/>
        <v>578</v>
      </c>
      <c r="T111" s="19">
        <f t="shared" si="9"/>
        <v>9</v>
      </c>
    </row>
    <row r="112" spans="1:20" x14ac:dyDescent="0.3">
      <c r="A112" s="20">
        <v>111</v>
      </c>
      <c r="B112" s="20" t="s">
        <v>27</v>
      </c>
      <c r="C112" s="20">
        <v>8</v>
      </c>
      <c r="D112" s="20" t="s">
        <v>454</v>
      </c>
      <c r="E112" s="20" t="s">
        <v>427</v>
      </c>
      <c r="F112" s="20">
        <v>3</v>
      </c>
      <c r="G112" s="21">
        <f>_xlfn.XLOOKUP(C112,[1]products!$A$2:$A$71,[1]products!$D$2:$D$71)</f>
        <v>252</v>
      </c>
      <c r="H112" s="22">
        <v>45098</v>
      </c>
      <c r="I112" s="22" t="str">
        <f t="shared" si="5"/>
        <v>June</v>
      </c>
      <c r="J112" s="22" t="str">
        <f t="shared" si="6"/>
        <v>Wednesday</v>
      </c>
      <c r="K112" s="23">
        <v>0.59649305555555554</v>
      </c>
      <c r="L112" s="22">
        <v>45102</v>
      </c>
      <c r="M112" s="24">
        <f>HOUR(orders!$K112)</f>
        <v>14</v>
      </c>
      <c r="N112" s="22" t="str">
        <f t="shared" si="7"/>
        <v>June</v>
      </c>
      <c r="O112" s="23">
        <v>0.87774305555555554</v>
      </c>
      <c r="P112" s="23" t="str">
        <f>_xlfn.XLOOKUP(B112,[2]customers!$A$2:$A$101,[2]customers!$C$2:$C$101)</f>
        <v>Madurai</v>
      </c>
      <c r="Q112" s="20" t="s">
        <v>174</v>
      </c>
      <c r="R112" s="20" t="s">
        <v>12</v>
      </c>
      <c r="S112" s="21">
        <f t="shared" si="8"/>
        <v>756</v>
      </c>
      <c r="T112" s="25">
        <f t="shared" si="9"/>
        <v>4</v>
      </c>
    </row>
    <row r="113" spans="1:20" x14ac:dyDescent="0.3">
      <c r="A113" s="14">
        <v>112</v>
      </c>
      <c r="B113" s="14" t="s">
        <v>103</v>
      </c>
      <c r="C113" s="14">
        <v>37</v>
      </c>
      <c r="D113" s="14" t="s">
        <v>459</v>
      </c>
      <c r="E113" s="14" t="s">
        <v>429</v>
      </c>
      <c r="F113" s="14">
        <v>3</v>
      </c>
      <c r="G113" s="15">
        <f>_xlfn.XLOOKUP(C113,[1]products!$A$2:$A$71,[1]products!$D$2:$D$71)</f>
        <v>1428</v>
      </c>
      <c r="H113" s="16">
        <v>45241</v>
      </c>
      <c r="I113" s="16" t="str">
        <f t="shared" si="5"/>
        <v>November</v>
      </c>
      <c r="J113" s="16" t="str">
        <f t="shared" si="6"/>
        <v>Saturday</v>
      </c>
      <c r="K113" s="17">
        <v>0.27504629629629629</v>
      </c>
      <c r="L113" s="16">
        <v>45244</v>
      </c>
      <c r="M113" s="18">
        <f>HOUR(orders!$K113)</f>
        <v>6</v>
      </c>
      <c r="N113" s="16" t="str">
        <f t="shared" si="7"/>
        <v>November</v>
      </c>
      <c r="O113" s="17">
        <v>0.66040509259259261</v>
      </c>
      <c r="P113" s="17" t="str">
        <f>_xlfn.XLOOKUP(B113,[2]customers!$A$2:$A$101,[2]customers!$C$2:$C$101)</f>
        <v>Bidhannagar</v>
      </c>
      <c r="Q113" s="14" t="s">
        <v>175</v>
      </c>
      <c r="R113" s="14" t="s">
        <v>15</v>
      </c>
      <c r="S113" s="15">
        <f t="shared" si="8"/>
        <v>4284</v>
      </c>
      <c r="T113" s="19">
        <f t="shared" si="9"/>
        <v>3</v>
      </c>
    </row>
    <row r="114" spans="1:20" x14ac:dyDescent="0.3">
      <c r="A114" s="20">
        <v>113</v>
      </c>
      <c r="B114" s="20" t="s">
        <v>146</v>
      </c>
      <c r="C114" s="20">
        <v>1</v>
      </c>
      <c r="D114" s="20" t="s">
        <v>479</v>
      </c>
      <c r="E114" s="20" t="s">
        <v>445</v>
      </c>
      <c r="F114" s="20">
        <v>3</v>
      </c>
      <c r="G114" s="21">
        <f>_xlfn.XLOOKUP(C114,[1]products!$A$2:$A$71,[1]products!$D$2:$D$71)</f>
        <v>1935</v>
      </c>
      <c r="H114" s="22">
        <v>45244</v>
      </c>
      <c r="I114" s="22" t="str">
        <f t="shared" si="5"/>
        <v>November</v>
      </c>
      <c r="J114" s="22" t="str">
        <f t="shared" si="6"/>
        <v>Tuesday</v>
      </c>
      <c r="K114" s="23">
        <v>0.64618055555555554</v>
      </c>
      <c r="L114" s="22">
        <v>45253</v>
      </c>
      <c r="M114" s="24">
        <f>HOUR(orders!$K114)</f>
        <v>15</v>
      </c>
      <c r="N114" s="22" t="str">
        <f t="shared" si="7"/>
        <v>November</v>
      </c>
      <c r="O114" s="23">
        <v>0.1852662037037037</v>
      </c>
      <c r="P114" s="23" t="str">
        <f>_xlfn.XLOOKUP(B114,[2]customers!$A$2:$A$101,[2]customers!$C$2:$C$101)</f>
        <v>Surat</v>
      </c>
      <c r="Q114" s="20" t="s">
        <v>69</v>
      </c>
      <c r="R114" s="20" t="s">
        <v>60</v>
      </c>
      <c r="S114" s="21">
        <f t="shared" si="8"/>
        <v>5805</v>
      </c>
      <c r="T114" s="25">
        <f t="shared" si="9"/>
        <v>9</v>
      </c>
    </row>
    <row r="115" spans="1:20" x14ac:dyDescent="0.3">
      <c r="A115" s="14">
        <v>114</v>
      </c>
      <c r="B115" s="14" t="s">
        <v>27</v>
      </c>
      <c r="C115" s="14">
        <v>40</v>
      </c>
      <c r="D115" s="14" t="s">
        <v>477</v>
      </c>
      <c r="E115" s="14" t="s">
        <v>427</v>
      </c>
      <c r="F115" s="14">
        <v>4</v>
      </c>
      <c r="G115" s="15">
        <f>_xlfn.XLOOKUP(C115,[1]products!$A$2:$A$71,[1]products!$D$2:$D$71)</f>
        <v>1923</v>
      </c>
      <c r="H115" s="16">
        <v>44960</v>
      </c>
      <c r="I115" s="16" t="str">
        <f t="shared" si="5"/>
        <v>February</v>
      </c>
      <c r="J115" s="16" t="str">
        <f t="shared" si="6"/>
        <v>Friday</v>
      </c>
      <c r="K115" s="17">
        <v>0.66892361111111109</v>
      </c>
      <c r="L115" s="16">
        <v>44964</v>
      </c>
      <c r="M115" s="18">
        <f>HOUR(orders!$K115)</f>
        <v>16</v>
      </c>
      <c r="N115" s="16" t="str">
        <f t="shared" si="7"/>
        <v>February</v>
      </c>
      <c r="O115" s="17">
        <v>9.9166666666666667E-2</v>
      </c>
      <c r="P115" s="17" t="str">
        <f>_xlfn.XLOOKUP(B115,[2]customers!$A$2:$A$101,[2]customers!$C$2:$C$101)</f>
        <v>Madurai</v>
      </c>
      <c r="Q115" s="14" t="s">
        <v>176</v>
      </c>
      <c r="R115" s="14" t="s">
        <v>12</v>
      </c>
      <c r="S115" s="15">
        <f t="shared" si="8"/>
        <v>7692</v>
      </c>
      <c r="T115" s="19">
        <f t="shared" si="9"/>
        <v>4</v>
      </c>
    </row>
    <row r="116" spans="1:20" x14ac:dyDescent="0.3">
      <c r="A116" s="20">
        <v>115</v>
      </c>
      <c r="B116" s="20" t="s">
        <v>109</v>
      </c>
      <c r="C116" s="20">
        <v>57</v>
      </c>
      <c r="D116" s="20" t="s">
        <v>488</v>
      </c>
      <c r="E116" s="20" t="s">
        <v>429</v>
      </c>
      <c r="F116" s="20">
        <v>1</v>
      </c>
      <c r="G116" s="21">
        <f>_xlfn.XLOOKUP(C116,[1]products!$A$2:$A$71,[1]products!$D$2:$D$71)</f>
        <v>1582</v>
      </c>
      <c r="H116" s="22">
        <v>45044</v>
      </c>
      <c r="I116" s="22" t="str">
        <f t="shared" si="5"/>
        <v>April</v>
      </c>
      <c r="J116" s="22" t="str">
        <f t="shared" si="6"/>
        <v>Friday</v>
      </c>
      <c r="K116" s="23">
        <v>0.75789351851851849</v>
      </c>
      <c r="L116" s="22">
        <v>45051</v>
      </c>
      <c r="M116" s="24">
        <f>HOUR(orders!$K116)</f>
        <v>18</v>
      </c>
      <c r="N116" s="22" t="str">
        <f t="shared" si="7"/>
        <v>May</v>
      </c>
      <c r="O116" s="23">
        <v>0.48369212962962965</v>
      </c>
      <c r="P116" s="23" t="str">
        <f>_xlfn.XLOOKUP(B116,[2]customers!$A$2:$A$101,[2]customers!$C$2:$C$101)</f>
        <v>Warangal</v>
      </c>
      <c r="Q116" s="20" t="s">
        <v>177</v>
      </c>
      <c r="R116" s="20" t="s">
        <v>20</v>
      </c>
      <c r="S116" s="21">
        <f t="shared" si="8"/>
        <v>1582</v>
      </c>
      <c r="T116" s="25">
        <f t="shared" si="9"/>
        <v>7</v>
      </c>
    </row>
    <row r="117" spans="1:20" x14ac:dyDescent="0.3">
      <c r="A117" s="14">
        <v>116</v>
      </c>
      <c r="B117" s="14" t="s">
        <v>27</v>
      </c>
      <c r="C117" s="14">
        <v>4</v>
      </c>
      <c r="D117" s="14" t="s">
        <v>475</v>
      </c>
      <c r="E117" s="14" t="s">
        <v>427</v>
      </c>
      <c r="F117" s="14">
        <v>3</v>
      </c>
      <c r="G117" s="15">
        <f>_xlfn.XLOOKUP(C117,[1]products!$A$2:$A$71,[1]products!$D$2:$D$71)</f>
        <v>1199</v>
      </c>
      <c r="H117" s="16">
        <v>45241</v>
      </c>
      <c r="I117" s="16" t="str">
        <f t="shared" si="5"/>
        <v>November</v>
      </c>
      <c r="J117" s="16" t="str">
        <f t="shared" si="6"/>
        <v>Saturday</v>
      </c>
      <c r="K117" s="17">
        <v>0.60283564814814816</v>
      </c>
      <c r="L117" s="16">
        <v>45250</v>
      </c>
      <c r="M117" s="18">
        <f>HOUR(orders!$K117)</f>
        <v>14</v>
      </c>
      <c r="N117" s="16" t="str">
        <f t="shared" si="7"/>
        <v>November</v>
      </c>
      <c r="O117" s="17">
        <v>0.22599537037037035</v>
      </c>
      <c r="P117" s="17" t="str">
        <f>_xlfn.XLOOKUP(B117,[2]customers!$A$2:$A$101,[2]customers!$C$2:$C$101)</f>
        <v>Madurai</v>
      </c>
      <c r="Q117" s="14" t="s">
        <v>178</v>
      </c>
      <c r="R117" s="14" t="s">
        <v>15</v>
      </c>
      <c r="S117" s="15">
        <f t="shared" si="8"/>
        <v>3597</v>
      </c>
      <c r="T117" s="19">
        <f t="shared" si="9"/>
        <v>9</v>
      </c>
    </row>
    <row r="118" spans="1:20" x14ac:dyDescent="0.3">
      <c r="A118" s="20">
        <v>117</v>
      </c>
      <c r="B118" s="20" t="s">
        <v>123</v>
      </c>
      <c r="C118" s="20">
        <v>59</v>
      </c>
      <c r="D118" s="20" t="s">
        <v>489</v>
      </c>
      <c r="E118" s="20" t="s">
        <v>431</v>
      </c>
      <c r="F118" s="20">
        <v>3</v>
      </c>
      <c r="G118" s="21">
        <f>_xlfn.XLOOKUP(C118,[1]products!$A$2:$A$71,[1]products!$D$2:$D$71)</f>
        <v>811</v>
      </c>
      <c r="H118" s="22">
        <v>45158</v>
      </c>
      <c r="I118" s="22" t="str">
        <f t="shared" si="5"/>
        <v>August</v>
      </c>
      <c r="J118" s="22" t="str">
        <f t="shared" si="6"/>
        <v>Sunday</v>
      </c>
      <c r="K118" s="23">
        <v>0.78478009259259263</v>
      </c>
      <c r="L118" s="22">
        <v>45160</v>
      </c>
      <c r="M118" s="24">
        <f>HOUR(orders!$K118)</f>
        <v>18</v>
      </c>
      <c r="N118" s="22" t="str">
        <f t="shared" si="7"/>
        <v>August</v>
      </c>
      <c r="O118" s="23">
        <v>0.15487268518518518</v>
      </c>
      <c r="P118" s="23" t="str">
        <f>_xlfn.XLOOKUP(B118,[2]customers!$A$2:$A$101,[2]customers!$C$2:$C$101)</f>
        <v>Indore</v>
      </c>
      <c r="Q118" s="20" t="s">
        <v>179</v>
      </c>
      <c r="R118" s="20" t="s">
        <v>26</v>
      </c>
      <c r="S118" s="21">
        <f t="shared" si="8"/>
        <v>2433</v>
      </c>
      <c r="T118" s="25">
        <f t="shared" si="9"/>
        <v>2</v>
      </c>
    </row>
    <row r="119" spans="1:20" x14ac:dyDescent="0.3">
      <c r="A119" s="14">
        <v>118</v>
      </c>
      <c r="B119" s="14" t="s">
        <v>180</v>
      </c>
      <c r="C119" s="14">
        <v>62</v>
      </c>
      <c r="D119" s="14" t="s">
        <v>442</v>
      </c>
      <c r="E119" s="14" t="s">
        <v>429</v>
      </c>
      <c r="F119" s="14">
        <v>1</v>
      </c>
      <c r="G119" s="15">
        <f>_xlfn.XLOOKUP(C119,[1]products!$A$2:$A$71,[1]products!$D$2:$D$71)</f>
        <v>1356</v>
      </c>
      <c r="H119" s="16">
        <v>44984</v>
      </c>
      <c r="I119" s="16" t="str">
        <f t="shared" si="5"/>
        <v>February</v>
      </c>
      <c r="J119" s="16" t="str">
        <f t="shared" si="6"/>
        <v>Monday</v>
      </c>
      <c r="K119" s="17">
        <v>0.60484953703703703</v>
      </c>
      <c r="L119" s="16">
        <v>44990</v>
      </c>
      <c r="M119" s="18">
        <f>HOUR(orders!$K119)</f>
        <v>14</v>
      </c>
      <c r="N119" s="16" t="str">
        <f t="shared" si="7"/>
        <v>March</v>
      </c>
      <c r="O119" s="17">
        <v>0.43949074074074074</v>
      </c>
      <c r="P119" s="17" t="str">
        <f>_xlfn.XLOOKUP(B119,[2]customers!$A$2:$A$101,[2]customers!$C$2:$C$101)</f>
        <v>Vellore</v>
      </c>
      <c r="Q119" s="14" t="s">
        <v>91</v>
      </c>
      <c r="R119" s="14" t="s">
        <v>36</v>
      </c>
      <c r="S119" s="15">
        <f t="shared" si="8"/>
        <v>1356</v>
      </c>
      <c r="T119" s="19">
        <f t="shared" si="9"/>
        <v>6</v>
      </c>
    </row>
    <row r="120" spans="1:20" x14ac:dyDescent="0.3">
      <c r="A120" s="20">
        <v>119</v>
      </c>
      <c r="B120" s="20" t="s">
        <v>138</v>
      </c>
      <c r="C120" s="20">
        <v>6</v>
      </c>
      <c r="D120" s="20" t="s">
        <v>450</v>
      </c>
      <c r="E120" s="20" t="s">
        <v>431</v>
      </c>
      <c r="F120" s="20">
        <v>4</v>
      </c>
      <c r="G120" s="21">
        <f>_xlfn.XLOOKUP(C120,[1]products!$A$2:$A$71,[1]products!$D$2:$D$71)</f>
        <v>1112</v>
      </c>
      <c r="H120" s="22">
        <v>44989</v>
      </c>
      <c r="I120" s="22" t="str">
        <f t="shared" si="5"/>
        <v>March</v>
      </c>
      <c r="J120" s="22" t="str">
        <f t="shared" si="6"/>
        <v>Saturday</v>
      </c>
      <c r="K120" s="23">
        <v>0.45983796296296298</v>
      </c>
      <c r="L120" s="22">
        <v>44997</v>
      </c>
      <c r="M120" s="24">
        <f>HOUR(orders!$K120)</f>
        <v>11</v>
      </c>
      <c r="N120" s="22" t="str">
        <f t="shared" si="7"/>
        <v>March</v>
      </c>
      <c r="O120" s="23">
        <v>0.51548611111111109</v>
      </c>
      <c r="P120" s="23" t="str">
        <f>_xlfn.XLOOKUP(B120,[2]customers!$A$2:$A$101,[2]customers!$C$2:$C$101)</f>
        <v>Kanpur</v>
      </c>
      <c r="Q120" s="20" t="s">
        <v>181</v>
      </c>
      <c r="R120" s="20" t="s">
        <v>36</v>
      </c>
      <c r="S120" s="21">
        <f t="shared" si="8"/>
        <v>4448</v>
      </c>
      <c r="T120" s="25">
        <f t="shared" si="9"/>
        <v>8</v>
      </c>
    </row>
    <row r="121" spans="1:20" x14ac:dyDescent="0.3">
      <c r="A121" s="14">
        <v>120</v>
      </c>
      <c r="B121" s="14" t="s">
        <v>127</v>
      </c>
      <c r="C121" s="14">
        <v>61</v>
      </c>
      <c r="D121" s="14" t="s">
        <v>464</v>
      </c>
      <c r="E121" s="14" t="s">
        <v>447</v>
      </c>
      <c r="F121" s="14">
        <v>1</v>
      </c>
      <c r="G121" s="15">
        <f>_xlfn.XLOOKUP(C121,[1]products!$A$2:$A$71,[1]products!$D$2:$D$71)</f>
        <v>810</v>
      </c>
      <c r="H121" s="16">
        <v>45285</v>
      </c>
      <c r="I121" s="16" t="str">
        <f t="shared" si="5"/>
        <v>December</v>
      </c>
      <c r="J121" s="16" t="str">
        <f t="shared" si="6"/>
        <v>Monday</v>
      </c>
      <c r="K121" s="17">
        <v>0.93515046296296289</v>
      </c>
      <c r="L121" s="16">
        <v>45291</v>
      </c>
      <c r="M121" s="18">
        <f>HOUR(orders!$K121)</f>
        <v>22</v>
      </c>
      <c r="N121" s="16" t="str">
        <f t="shared" si="7"/>
        <v>December</v>
      </c>
      <c r="O121" s="17">
        <v>0.41486111111111112</v>
      </c>
      <c r="P121" s="17" t="str">
        <f>_xlfn.XLOOKUP(B121,[2]customers!$A$2:$A$101,[2]customers!$C$2:$C$101)</f>
        <v>Imphal</v>
      </c>
      <c r="Q121" s="14" t="s">
        <v>143</v>
      </c>
      <c r="R121" s="14" t="s">
        <v>12</v>
      </c>
      <c r="S121" s="15">
        <f t="shared" si="8"/>
        <v>810</v>
      </c>
      <c r="T121" s="19">
        <f t="shared" si="9"/>
        <v>6</v>
      </c>
    </row>
    <row r="122" spans="1:20" x14ac:dyDescent="0.3">
      <c r="A122" s="20">
        <v>121</v>
      </c>
      <c r="B122" s="20" t="s">
        <v>182</v>
      </c>
      <c r="C122" s="20">
        <v>33</v>
      </c>
      <c r="D122" s="20" t="s">
        <v>490</v>
      </c>
      <c r="E122" s="20" t="s">
        <v>429</v>
      </c>
      <c r="F122" s="20">
        <v>3</v>
      </c>
      <c r="G122" s="21">
        <f>_xlfn.XLOOKUP(C122,[1]products!$A$2:$A$71,[1]products!$D$2:$D$71)</f>
        <v>314</v>
      </c>
      <c r="H122" s="22">
        <v>44962</v>
      </c>
      <c r="I122" s="22" t="str">
        <f t="shared" si="5"/>
        <v>February</v>
      </c>
      <c r="J122" s="22" t="str">
        <f t="shared" si="6"/>
        <v>Sunday</v>
      </c>
      <c r="K122" s="23">
        <v>9.6469907407407407E-2</v>
      </c>
      <c r="L122" s="22">
        <v>44966</v>
      </c>
      <c r="M122" s="24">
        <f>HOUR(orders!$K122)</f>
        <v>2</v>
      </c>
      <c r="N122" s="22" t="str">
        <f t="shared" si="7"/>
        <v>February</v>
      </c>
      <c r="O122" s="23">
        <v>0.31216435185185182</v>
      </c>
      <c r="P122" s="23" t="str">
        <f>_xlfn.XLOOKUP(B122,[2]customers!$A$2:$A$101,[2]customers!$C$2:$C$101)</f>
        <v>Guntakal</v>
      </c>
      <c r="Q122" s="20" t="s">
        <v>183</v>
      </c>
      <c r="R122" s="20" t="s">
        <v>23</v>
      </c>
      <c r="S122" s="21">
        <f t="shared" si="8"/>
        <v>942</v>
      </c>
      <c r="T122" s="25">
        <f t="shared" si="9"/>
        <v>4</v>
      </c>
    </row>
    <row r="123" spans="1:20" x14ac:dyDescent="0.3">
      <c r="A123" s="14">
        <v>122</v>
      </c>
      <c r="B123" s="14" t="s">
        <v>184</v>
      </c>
      <c r="C123" s="14">
        <v>24</v>
      </c>
      <c r="D123" s="14" t="s">
        <v>485</v>
      </c>
      <c r="E123" s="14" t="s">
        <v>458</v>
      </c>
      <c r="F123" s="14">
        <v>5</v>
      </c>
      <c r="G123" s="15">
        <f>_xlfn.XLOOKUP(C123,[1]products!$A$2:$A$71,[1]products!$D$2:$D$71)</f>
        <v>535</v>
      </c>
      <c r="H123" s="16">
        <v>45202</v>
      </c>
      <c r="I123" s="16" t="str">
        <f t="shared" si="5"/>
        <v>October</v>
      </c>
      <c r="J123" s="16" t="str">
        <f t="shared" si="6"/>
        <v>Tuesday</v>
      </c>
      <c r="K123" s="17">
        <v>0.37804398148148149</v>
      </c>
      <c r="L123" s="16">
        <v>45212</v>
      </c>
      <c r="M123" s="18">
        <f>HOUR(orders!$K123)</f>
        <v>9</v>
      </c>
      <c r="N123" s="16" t="str">
        <f t="shared" si="7"/>
        <v>October</v>
      </c>
      <c r="O123" s="17">
        <v>0.1355787037037037</v>
      </c>
      <c r="P123" s="17" t="str">
        <f>_xlfn.XLOOKUP(B123,[2]customers!$A$2:$A$101,[2]customers!$C$2:$C$101)</f>
        <v>Raurkela Industrial Township</v>
      </c>
      <c r="Q123" s="14" t="s">
        <v>185</v>
      </c>
      <c r="R123" s="14" t="s">
        <v>20</v>
      </c>
      <c r="S123" s="15">
        <f t="shared" si="8"/>
        <v>2675</v>
      </c>
      <c r="T123" s="19">
        <f t="shared" si="9"/>
        <v>10</v>
      </c>
    </row>
    <row r="124" spans="1:20" x14ac:dyDescent="0.3">
      <c r="A124" s="20">
        <v>123</v>
      </c>
      <c r="B124" s="20" t="s">
        <v>186</v>
      </c>
      <c r="C124" s="20">
        <v>38</v>
      </c>
      <c r="D124" s="20" t="s">
        <v>438</v>
      </c>
      <c r="E124" s="20" t="s">
        <v>431</v>
      </c>
      <c r="F124" s="20">
        <v>1</v>
      </c>
      <c r="G124" s="21">
        <f>_xlfn.XLOOKUP(C124,[1]products!$A$2:$A$71,[1]products!$D$2:$D$71)</f>
        <v>562</v>
      </c>
      <c r="H124" s="22">
        <v>44941</v>
      </c>
      <c r="I124" s="22" t="str">
        <f t="shared" si="5"/>
        <v>January</v>
      </c>
      <c r="J124" s="22" t="str">
        <f t="shared" si="6"/>
        <v>Sunday</v>
      </c>
      <c r="K124" s="23">
        <v>2.1631944444444443E-2</v>
      </c>
      <c r="L124" s="22">
        <v>44951</v>
      </c>
      <c r="M124" s="24">
        <f>HOUR(orders!$K124)</f>
        <v>0</v>
      </c>
      <c r="N124" s="22" t="str">
        <f t="shared" si="7"/>
        <v>January</v>
      </c>
      <c r="O124" s="23">
        <v>0.20744212962962963</v>
      </c>
      <c r="P124" s="23" t="str">
        <f>_xlfn.XLOOKUP(B124,[2]customers!$A$2:$A$101,[2]customers!$C$2:$C$101)</f>
        <v>Farrukhabad</v>
      </c>
      <c r="Q124" s="20" t="s">
        <v>187</v>
      </c>
      <c r="R124" s="20" t="s">
        <v>20</v>
      </c>
      <c r="S124" s="21">
        <f t="shared" si="8"/>
        <v>562</v>
      </c>
      <c r="T124" s="25">
        <f t="shared" si="9"/>
        <v>10</v>
      </c>
    </row>
    <row r="125" spans="1:20" x14ac:dyDescent="0.3">
      <c r="A125" s="14">
        <v>124</v>
      </c>
      <c r="B125" s="14" t="s">
        <v>188</v>
      </c>
      <c r="C125" s="14">
        <v>67</v>
      </c>
      <c r="D125" s="14" t="s">
        <v>425</v>
      </c>
      <c r="E125" s="14" t="s">
        <v>26</v>
      </c>
      <c r="F125" s="14">
        <v>4</v>
      </c>
      <c r="G125" s="15">
        <f>_xlfn.XLOOKUP(C125,[1]products!$A$2:$A$71,[1]products!$D$2:$D$71)</f>
        <v>1374</v>
      </c>
      <c r="H125" s="16">
        <v>45128</v>
      </c>
      <c r="I125" s="16" t="str">
        <f t="shared" si="5"/>
        <v>July</v>
      </c>
      <c r="J125" s="16" t="str">
        <f t="shared" si="6"/>
        <v>Friday</v>
      </c>
      <c r="K125" s="17">
        <v>0.36452546296296301</v>
      </c>
      <c r="L125" s="16">
        <v>45130</v>
      </c>
      <c r="M125" s="18">
        <f>HOUR(orders!$K125)</f>
        <v>8</v>
      </c>
      <c r="N125" s="16" t="str">
        <f t="shared" si="7"/>
        <v>July</v>
      </c>
      <c r="O125" s="17">
        <v>0.2248148148148148</v>
      </c>
      <c r="P125" s="17" t="str">
        <f>_xlfn.XLOOKUP(B125,[2]customers!$A$2:$A$101,[2]customers!$C$2:$C$101)</f>
        <v>Sambhal</v>
      </c>
      <c r="Q125" s="14" t="s">
        <v>189</v>
      </c>
      <c r="R125" s="14" t="s">
        <v>12</v>
      </c>
      <c r="S125" s="15">
        <f t="shared" si="8"/>
        <v>5496</v>
      </c>
      <c r="T125" s="19">
        <f t="shared" si="9"/>
        <v>2</v>
      </c>
    </row>
    <row r="126" spans="1:20" x14ac:dyDescent="0.3">
      <c r="A126" s="20">
        <v>125</v>
      </c>
      <c r="B126" s="20" t="s">
        <v>97</v>
      </c>
      <c r="C126" s="20">
        <v>31</v>
      </c>
      <c r="D126" s="20" t="s">
        <v>474</v>
      </c>
      <c r="E126" s="20" t="s">
        <v>429</v>
      </c>
      <c r="F126" s="20">
        <v>2</v>
      </c>
      <c r="G126" s="21">
        <f>_xlfn.XLOOKUP(C126,[1]products!$A$2:$A$71,[1]products!$D$2:$D$71)</f>
        <v>1804</v>
      </c>
      <c r="H126" s="22">
        <v>45004</v>
      </c>
      <c r="I126" s="22" t="str">
        <f t="shared" si="5"/>
        <v>March</v>
      </c>
      <c r="J126" s="22" t="str">
        <f t="shared" si="6"/>
        <v>Sunday</v>
      </c>
      <c r="K126" s="23">
        <v>0.38346064814814818</v>
      </c>
      <c r="L126" s="22">
        <v>45010</v>
      </c>
      <c r="M126" s="24">
        <f>HOUR(orders!$K126)</f>
        <v>9</v>
      </c>
      <c r="N126" s="22" t="str">
        <f t="shared" si="7"/>
        <v>March</v>
      </c>
      <c r="O126" s="23">
        <v>0.60846064814814815</v>
      </c>
      <c r="P126" s="23" t="str">
        <f>_xlfn.XLOOKUP(B126,[2]customers!$A$2:$A$101,[2]customers!$C$2:$C$101)</f>
        <v>Machilipatnam</v>
      </c>
      <c r="Q126" s="20" t="s">
        <v>190</v>
      </c>
      <c r="R126" s="20" t="s">
        <v>60</v>
      </c>
      <c r="S126" s="21">
        <f t="shared" si="8"/>
        <v>3608</v>
      </c>
      <c r="T126" s="25">
        <f t="shared" si="9"/>
        <v>6</v>
      </c>
    </row>
    <row r="127" spans="1:20" x14ac:dyDescent="0.3">
      <c r="A127" s="14">
        <v>126</v>
      </c>
      <c r="B127" s="14" t="s">
        <v>24</v>
      </c>
      <c r="C127" s="14">
        <v>19</v>
      </c>
      <c r="D127" s="14" t="s">
        <v>457</v>
      </c>
      <c r="E127" s="14" t="s">
        <v>458</v>
      </c>
      <c r="F127" s="14">
        <v>5</v>
      </c>
      <c r="G127" s="15">
        <f>_xlfn.XLOOKUP(C127,[1]products!$A$2:$A$71,[1]products!$D$2:$D$71)</f>
        <v>1234</v>
      </c>
      <c r="H127" s="16">
        <v>44961</v>
      </c>
      <c r="I127" s="16" t="str">
        <f t="shared" si="5"/>
        <v>February</v>
      </c>
      <c r="J127" s="16" t="str">
        <f t="shared" si="6"/>
        <v>Saturday</v>
      </c>
      <c r="K127" s="17">
        <v>0.10305555555555555</v>
      </c>
      <c r="L127" s="16">
        <v>44970</v>
      </c>
      <c r="M127" s="18">
        <f>HOUR(orders!$K127)</f>
        <v>2</v>
      </c>
      <c r="N127" s="16" t="str">
        <f t="shared" si="7"/>
        <v>February</v>
      </c>
      <c r="O127" s="17">
        <v>0.55321759259259262</v>
      </c>
      <c r="P127" s="17" t="str">
        <f>_xlfn.XLOOKUP(B127,[2]customers!$A$2:$A$101,[2]customers!$C$2:$C$101)</f>
        <v>Pallavaram</v>
      </c>
      <c r="Q127" s="14" t="s">
        <v>191</v>
      </c>
      <c r="R127" s="14" t="s">
        <v>23</v>
      </c>
      <c r="S127" s="15">
        <f t="shared" si="8"/>
        <v>6170</v>
      </c>
      <c r="T127" s="19">
        <f t="shared" si="9"/>
        <v>9</v>
      </c>
    </row>
    <row r="128" spans="1:20" x14ac:dyDescent="0.3">
      <c r="A128" s="20">
        <v>127</v>
      </c>
      <c r="B128" s="20" t="s">
        <v>192</v>
      </c>
      <c r="C128" s="20">
        <v>60</v>
      </c>
      <c r="D128" s="20" t="s">
        <v>440</v>
      </c>
      <c r="E128" s="20" t="s">
        <v>427</v>
      </c>
      <c r="F128" s="20">
        <v>4</v>
      </c>
      <c r="G128" s="21">
        <f>_xlfn.XLOOKUP(C128,[1]products!$A$2:$A$71,[1]products!$D$2:$D$71)</f>
        <v>827</v>
      </c>
      <c r="H128" s="22">
        <v>45232</v>
      </c>
      <c r="I128" s="22" t="str">
        <f t="shared" si="5"/>
        <v>November</v>
      </c>
      <c r="J128" s="22" t="str">
        <f t="shared" si="6"/>
        <v>Thursday</v>
      </c>
      <c r="K128" s="23">
        <v>0.58655092592592595</v>
      </c>
      <c r="L128" s="22">
        <v>45233</v>
      </c>
      <c r="M128" s="24">
        <f>HOUR(orders!$K128)</f>
        <v>14</v>
      </c>
      <c r="N128" s="22" t="str">
        <f t="shared" si="7"/>
        <v>November</v>
      </c>
      <c r="O128" s="23">
        <v>0.80903935185185183</v>
      </c>
      <c r="P128" s="23" t="str">
        <f>_xlfn.XLOOKUP(B128,[2]customers!$A$2:$A$101,[2]customers!$C$2:$C$101)</f>
        <v>Kota</v>
      </c>
      <c r="Q128" s="20" t="s">
        <v>193</v>
      </c>
      <c r="R128" s="20" t="s">
        <v>15</v>
      </c>
      <c r="S128" s="21">
        <f t="shared" si="8"/>
        <v>3308</v>
      </c>
      <c r="T128" s="25">
        <f t="shared" si="9"/>
        <v>1</v>
      </c>
    </row>
    <row r="129" spans="1:20" x14ac:dyDescent="0.3">
      <c r="A129" s="14">
        <v>128</v>
      </c>
      <c r="B129" s="14" t="s">
        <v>34</v>
      </c>
      <c r="C129" s="14">
        <v>12</v>
      </c>
      <c r="D129" s="14" t="s">
        <v>446</v>
      </c>
      <c r="E129" s="14" t="s">
        <v>447</v>
      </c>
      <c r="F129" s="14">
        <v>3</v>
      </c>
      <c r="G129" s="15">
        <f>_xlfn.XLOOKUP(C129,[1]products!$A$2:$A$71,[1]products!$D$2:$D$71)</f>
        <v>672</v>
      </c>
      <c r="H129" s="16">
        <v>44991</v>
      </c>
      <c r="I129" s="16" t="str">
        <f t="shared" si="5"/>
        <v>March</v>
      </c>
      <c r="J129" s="16" t="str">
        <f t="shared" si="6"/>
        <v>Monday</v>
      </c>
      <c r="K129" s="17">
        <v>0.70171296296296293</v>
      </c>
      <c r="L129" s="16">
        <v>44998</v>
      </c>
      <c r="M129" s="18">
        <f>HOUR(orders!$K129)</f>
        <v>16</v>
      </c>
      <c r="N129" s="16" t="str">
        <f t="shared" si="7"/>
        <v>March</v>
      </c>
      <c r="O129" s="17">
        <v>0.63285879629629627</v>
      </c>
      <c r="P129" s="17" t="str">
        <f>_xlfn.XLOOKUP(B129,[2]customers!$A$2:$A$101,[2]customers!$C$2:$C$101)</f>
        <v>North Dumdum</v>
      </c>
      <c r="Q129" s="14" t="s">
        <v>175</v>
      </c>
      <c r="R129" s="14" t="s">
        <v>12</v>
      </c>
      <c r="S129" s="15">
        <f t="shared" si="8"/>
        <v>2016</v>
      </c>
      <c r="T129" s="19">
        <f t="shared" si="9"/>
        <v>7</v>
      </c>
    </row>
    <row r="130" spans="1:20" x14ac:dyDescent="0.3">
      <c r="A130" s="20">
        <v>129</v>
      </c>
      <c r="B130" s="20" t="s">
        <v>192</v>
      </c>
      <c r="C130" s="20">
        <v>67</v>
      </c>
      <c r="D130" s="20" t="s">
        <v>425</v>
      </c>
      <c r="E130" s="20" t="s">
        <v>26</v>
      </c>
      <c r="F130" s="20">
        <v>2</v>
      </c>
      <c r="G130" s="21">
        <f>_xlfn.XLOOKUP(C130,[1]products!$A$2:$A$71,[1]products!$D$2:$D$71)</f>
        <v>1374</v>
      </c>
      <c r="H130" s="22">
        <v>44974</v>
      </c>
      <c r="I130" s="22" t="str">
        <f t="shared" si="5"/>
        <v>February</v>
      </c>
      <c r="J130" s="22" t="str">
        <f t="shared" si="6"/>
        <v>Friday</v>
      </c>
      <c r="K130" s="23">
        <v>0.2232638888888889</v>
      </c>
      <c r="L130" s="22">
        <v>44977</v>
      </c>
      <c r="M130" s="24">
        <f>HOUR(orders!$K130)</f>
        <v>5</v>
      </c>
      <c r="N130" s="22" t="str">
        <f t="shared" si="7"/>
        <v>February</v>
      </c>
      <c r="O130" s="23">
        <v>0.34550925925925924</v>
      </c>
      <c r="P130" s="23" t="str">
        <f>_xlfn.XLOOKUP(B130,[2]customers!$A$2:$A$101,[2]customers!$C$2:$C$101)</f>
        <v>Kota</v>
      </c>
      <c r="Q130" s="20" t="s">
        <v>174</v>
      </c>
      <c r="R130" s="20" t="s">
        <v>12</v>
      </c>
      <c r="S130" s="21">
        <f t="shared" si="8"/>
        <v>2748</v>
      </c>
      <c r="T130" s="25">
        <f t="shared" si="9"/>
        <v>3</v>
      </c>
    </row>
    <row r="131" spans="1:20" x14ac:dyDescent="0.3">
      <c r="A131" s="14">
        <v>130</v>
      </c>
      <c r="B131" s="14" t="s">
        <v>194</v>
      </c>
      <c r="C131" s="14">
        <v>10</v>
      </c>
      <c r="D131" s="14" t="s">
        <v>452</v>
      </c>
      <c r="E131" s="14" t="s">
        <v>431</v>
      </c>
      <c r="F131" s="14">
        <v>5</v>
      </c>
      <c r="G131" s="15">
        <f>_xlfn.XLOOKUP(C131,[1]products!$A$2:$A$71,[1]products!$D$2:$D$71)</f>
        <v>259</v>
      </c>
      <c r="H131" s="16">
        <v>45038</v>
      </c>
      <c r="I131" s="16" t="str">
        <f t="shared" ref="I131:I194" si="10">TEXT(H131,"mmmm")</f>
        <v>April</v>
      </c>
      <c r="J131" s="16" t="str">
        <f t="shared" ref="J131:J194" si="11">TEXT(H131,"dddd")</f>
        <v>Saturday</v>
      </c>
      <c r="K131" s="17">
        <v>0.56436342592592592</v>
      </c>
      <c r="L131" s="16">
        <v>45043</v>
      </c>
      <c r="M131" s="18">
        <f>HOUR(orders!$K131)</f>
        <v>13</v>
      </c>
      <c r="N131" s="16" t="str">
        <f t="shared" ref="N131:N194" si="12">TEXT(L131,"mmmm")</f>
        <v>April</v>
      </c>
      <c r="O131" s="17">
        <v>0.91798611111111106</v>
      </c>
      <c r="P131" s="17" t="str">
        <f>_xlfn.XLOOKUP(B131,[2]customers!$A$2:$A$101,[2]customers!$C$2:$C$101)</f>
        <v>Bhatpara</v>
      </c>
      <c r="Q131" s="14" t="s">
        <v>115</v>
      </c>
      <c r="R131" s="14" t="s">
        <v>20</v>
      </c>
      <c r="S131" s="15">
        <f t="shared" ref="S131:S194" si="13">G131*F131</f>
        <v>1295</v>
      </c>
      <c r="T131" s="19">
        <f t="shared" ref="T131:T194" si="14">L131-H131</f>
        <v>5</v>
      </c>
    </row>
    <row r="132" spans="1:20" x14ac:dyDescent="0.3">
      <c r="A132" s="20">
        <v>131</v>
      </c>
      <c r="B132" s="20" t="s">
        <v>21</v>
      </c>
      <c r="C132" s="20">
        <v>3</v>
      </c>
      <c r="D132" s="20" t="s">
        <v>483</v>
      </c>
      <c r="E132" s="20" t="s">
        <v>429</v>
      </c>
      <c r="F132" s="20">
        <v>5</v>
      </c>
      <c r="G132" s="21">
        <f>_xlfn.XLOOKUP(C132,[1]products!$A$2:$A$71,[1]products!$D$2:$D$71)</f>
        <v>1534</v>
      </c>
      <c r="H132" s="22">
        <v>44961</v>
      </c>
      <c r="I132" s="22" t="str">
        <f t="shared" si="10"/>
        <v>February</v>
      </c>
      <c r="J132" s="22" t="str">
        <f t="shared" si="11"/>
        <v>Saturday</v>
      </c>
      <c r="K132" s="23">
        <v>0.85474537037037035</v>
      </c>
      <c r="L132" s="22">
        <v>44968</v>
      </c>
      <c r="M132" s="24">
        <f>HOUR(orders!$K132)</f>
        <v>20</v>
      </c>
      <c r="N132" s="22" t="str">
        <f t="shared" si="12"/>
        <v>February</v>
      </c>
      <c r="O132" s="23">
        <v>0.35350694444444447</v>
      </c>
      <c r="P132" s="23" t="str">
        <f>_xlfn.XLOOKUP(B132,[2]customers!$A$2:$A$101,[2]customers!$C$2:$C$101)</f>
        <v>Bhubaneswar</v>
      </c>
      <c r="Q132" s="20" t="s">
        <v>195</v>
      </c>
      <c r="R132" s="20" t="s">
        <v>23</v>
      </c>
      <c r="S132" s="21">
        <f t="shared" si="13"/>
        <v>7670</v>
      </c>
      <c r="T132" s="25">
        <f t="shared" si="14"/>
        <v>7</v>
      </c>
    </row>
    <row r="133" spans="1:20" x14ac:dyDescent="0.3">
      <c r="A133" s="14">
        <v>132</v>
      </c>
      <c r="B133" s="14" t="s">
        <v>105</v>
      </c>
      <c r="C133" s="14">
        <v>49</v>
      </c>
      <c r="D133" s="14" t="s">
        <v>463</v>
      </c>
      <c r="E133" s="14" t="s">
        <v>429</v>
      </c>
      <c r="F133" s="14">
        <v>4</v>
      </c>
      <c r="G133" s="15">
        <f>_xlfn.XLOOKUP(C133,[1]products!$A$2:$A$71,[1]products!$D$2:$D$71)</f>
        <v>903</v>
      </c>
      <c r="H133" s="16">
        <v>44961</v>
      </c>
      <c r="I133" s="16" t="str">
        <f t="shared" si="10"/>
        <v>February</v>
      </c>
      <c r="J133" s="16" t="str">
        <f t="shared" si="11"/>
        <v>Saturday</v>
      </c>
      <c r="K133" s="17">
        <v>0.97478009259259257</v>
      </c>
      <c r="L133" s="16">
        <v>44970</v>
      </c>
      <c r="M133" s="18">
        <f>HOUR(orders!$K133)</f>
        <v>23</v>
      </c>
      <c r="N133" s="16" t="str">
        <f t="shared" si="12"/>
        <v>February</v>
      </c>
      <c r="O133" s="17">
        <v>0.83041666666666669</v>
      </c>
      <c r="P133" s="17" t="str">
        <f>_xlfn.XLOOKUP(B133,[2]customers!$A$2:$A$101,[2]customers!$C$2:$C$101)</f>
        <v>Maheshtala</v>
      </c>
      <c r="Q133" s="14" t="s">
        <v>196</v>
      </c>
      <c r="R133" s="14" t="s">
        <v>23</v>
      </c>
      <c r="S133" s="15">
        <f t="shared" si="13"/>
        <v>3612</v>
      </c>
      <c r="T133" s="19">
        <f t="shared" si="14"/>
        <v>9</v>
      </c>
    </row>
    <row r="134" spans="1:20" x14ac:dyDescent="0.3">
      <c r="A134" s="20">
        <v>133</v>
      </c>
      <c r="B134" s="20" t="s">
        <v>58</v>
      </c>
      <c r="C134" s="20">
        <v>43</v>
      </c>
      <c r="D134" s="20" t="s">
        <v>434</v>
      </c>
      <c r="E134" s="20" t="s">
        <v>26</v>
      </c>
      <c r="F134" s="20">
        <v>5</v>
      </c>
      <c r="G134" s="21">
        <f>_xlfn.XLOOKUP(C134,[1]products!$A$2:$A$71,[1]products!$D$2:$D$71)</f>
        <v>750</v>
      </c>
      <c r="H134" s="22">
        <v>45240</v>
      </c>
      <c r="I134" s="22" t="str">
        <f t="shared" si="10"/>
        <v>November</v>
      </c>
      <c r="J134" s="22" t="str">
        <f t="shared" si="11"/>
        <v>Friday</v>
      </c>
      <c r="K134" s="23">
        <v>0.66104166666666664</v>
      </c>
      <c r="L134" s="22">
        <v>45246</v>
      </c>
      <c r="M134" s="24">
        <f>HOUR(orders!$K134)</f>
        <v>15</v>
      </c>
      <c r="N134" s="22" t="str">
        <f t="shared" si="12"/>
        <v>November</v>
      </c>
      <c r="O134" s="23">
        <v>0.47420138888888891</v>
      </c>
      <c r="P134" s="23" t="str">
        <f>_xlfn.XLOOKUP(B134,[2]customers!$A$2:$A$101,[2]customers!$C$2:$C$101)</f>
        <v>Nizamabad</v>
      </c>
      <c r="Q134" s="20" t="s">
        <v>197</v>
      </c>
      <c r="R134" s="20" t="s">
        <v>15</v>
      </c>
      <c r="S134" s="21">
        <f t="shared" si="13"/>
        <v>3750</v>
      </c>
      <c r="T134" s="25">
        <f t="shared" si="14"/>
        <v>6</v>
      </c>
    </row>
    <row r="135" spans="1:20" x14ac:dyDescent="0.3">
      <c r="A135" s="14">
        <v>134</v>
      </c>
      <c r="B135" s="14" t="s">
        <v>101</v>
      </c>
      <c r="C135" s="14">
        <v>69</v>
      </c>
      <c r="D135" s="14" t="s">
        <v>486</v>
      </c>
      <c r="E135" s="14" t="s">
        <v>431</v>
      </c>
      <c r="F135" s="14">
        <v>5</v>
      </c>
      <c r="G135" s="15">
        <f>_xlfn.XLOOKUP(C135,[1]products!$A$2:$A$71,[1]products!$D$2:$D$71)</f>
        <v>998</v>
      </c>
      <c r="H135" s="16">
        <v>44990</v>
      </c>
      <c r="I135" s="16" t="str">
        <f t="shared" si="10"/>
        <v>March</v>
      </c>
      <c r="J135" s="16" t="str">
        <f t="shared" si="11"/>
        <v>Sunday</v>
      </c>
      <c r="K135" s="17">
        <v>0.80053240740740739</v>
      </c>
      <c r="L135" s="16">
        <v>44999</v>
      </c>
      <c r="M135" s="18">
        <f>HOUR(orders!$K135)</f>
        <v>19</v>
      </c>
      <c r="N135" s="16" t="str">
        <f t="shared" si="12"/>
        <v>March</v>
      </c>
      <c r="O135" s="17">
        <v>0.20728009259259261</v>
      </c>
      <c r="P135" s="17" t="str">
        <f>_xlfn.XLOOKUP(B135,[2]customers!$A$2:$A$101,[2]customers!$C$2:$C$101)</f>
        <v>Dibrugarh</v>
      </c>
      <c r="Q135" s="14" t="s">
        <v>148</v>
      </c>
      <c r="R135" s="14" t="s">
        <v>36</v>
      </c>
      <c r="S135" s="15">
        <f t="shared" si="13"/>
        <v>4990</v>
      </c>
      <c r="T135" s="19">
        <f t="shared" si="14"/>
        <v>9</v>
      </c>
    </row>
    <row r="136" spans="1:20" x14ac:dyDescent="0.3">
      <c r="A136" s="20">
        <v>135</v>
      </c>
      <c r="B136" s="20" t="s">
        <v>198</v>
      </c>
      <c r="C136" s="20">
        <v>30</v>
      </c>
      <c r="D136" s="20" t="s">
        <v>449</v>
      </c>
      <c r="E136" s="20" t="s">
        <v>429</v>
      </c>
      <c r="F136" s="20">
        <v>2</v>
      </c>
      <c r="G136" s="21">
        <f>_xlfn.XLOOKUP(C136,[1]products!$A$2:$A$71,[1]products!$D$2:$D$71)</f>
        <v>751</v>
      </c>
      <c r="H136" s="22">
        <v>45273</v>
      </c>
      <c r="I136" s="22" t="str">
        <f t="shared" si="10"/>
        <v>December</v>
      </c>
      <c r="J136" s="22" t="str">
        <f t="shared" si="11"/>
        <v>Wednesday</v>
      </c>
      <c r="K136" s="23">
        <v>0.43065972222222221</v>
      </c>
      <c r="L136" s="22">
        <v>45274</v>
      </c>
      <c r="M136" s="24">
        <f>HOUR(orders!$K136)</f>
        <v>10</v>
      </c>
      <c r="N136" s="22" t="str">
        <f t="shared" si="12"/>
        <v>December</v>
      </c>
      <c r="O136" s="23">
        <v>0.65509259259259256</v>
      </c>
      <c r="P136" s="23" t="str">
        <f>_xlfn.XLOOKUP(B136,[2]customers!$A$2:$A$101,[2]customers!$C$2:$C$101)</f>
        <v>North Dumdum</v>
      </c>
      <c r="Q136" s="20" t="s">
        <v>199</v>
      </c>
      <c r="R136" s="20" t="s">
        <v>12</v>
      </c>
      <c r="S136" s="21">
        <f t="shared" si="13"/>
        <v>1502</v>
      </c>
      <c r="T136" s="25">
        <f t="shared" si="14"/>
        <v>1</v>
      </c>
    </row>
    <row r="137" spans="1:20" x14ac:dyDescent="0.3">
      <c r="A137" s="14">
        <v>136</v>
      </c>
      <c r="B137" s="14" t="s">
        <v>101</v>
      </c>
      <c r="C137" s="14">
        <v>56</v>
      </c>
      <c r="D137" s="14" t="s">
        <v>436</v>
      </c>
      <c r="E137" s="14" t="s">
        <v>26</v>
      </c>
      <c r="F137" s="14">
        <v>1</v>
      </c>
      <c r="G137" s="15">
        <f>_xlfn.XLOOKUP(C137,[1]products!$A$2:$A$71,[1]products!$D$2:$D$71)</f>
        <v>1272</v>
      </c>
      <c r="H137" s="16">
        <v>45174</v>
      </c>
      <c r="I137" s="16" t="str">
        <f t="shared" si="10"/>
        <v>September</v>
      </c>
      <c r="J137" s="16" t="str">
        <f t="shared" si="11"/>
        <v>Tuesday</v>
      </c>
      <c r="K137" s="17">
        <v>0.67290509259259268</v>
      </c>
      <c r="L137" s="16">
        <v>45178</v>
      </c>
      <c r="M137" s="18">
        <f>HOUR(orders!$K137)</f>
        <v>16</v>
      </c>
      <c r="N137" s="16" t="str">
        <f t="shared" si="12"/>
        <v>September</v>
      </c>
      <c r="O137" s="17">
        <v>0.9252083333333333</v>
      </c>
      <c r="P137" s="17" t="str">
        <f>_xlfn.XLOOKUP(B137,[2]customers!$A$2:$A$101,[2]customers!$C$2:$C$101)</f>
        <v>Dibrugarh</v>
      </c>
      <c r="Q137" s="14" t="s">
        <v>94</v>
      </c>
      <c r="R137" s="14" t="s">
        <v>12</v>
      </c>
      <c r="S137" s="15">
        <f t="shared" si="13"/>
        <v>1272</v>
      </c>
      <c r="T137" s="19">
        <f t="shared" si="14"/>
        <v>4</v>
      </c>
    </row>
    <row r="138" spans="1:20" x14ac:dyDescent="0.3">
      <c r="A138" s="20">
        <v>137</v>
      </c>
      <c r="B138" s="20" t="s">
        <v>194</v>
      </c>
      <c r="C138" s="20">
        <v>47</v>
      </c>
      <c r="D138" s="20" t="s">
        <v>480</v>
      </c>
      <c r="E138" s="20" t="s">
        <v>429</v>
      </c>
      <c r="F138" s="20">
        <v>2</v>
      </c>
      <c r="G138" s="21">
        <f>_xlfn.XLOOKUP(C138,[1]products!$A$2:$A$71,[1]products!$D$2:$D$71)</f>
        <v>1638</v>
      </c>
      <c r="H138" s="22">
        <v>44990</v>
      </c>
      <c r="I138" s="22" t="str">
        <f t="shared" si="10"/>
        <v>March</v>
      </c>
      <c r="J138" s="22" t="str">
        <f t="shared" si="11"/>
        <v>Sunday</v>
      </c>
      <c r="K138" s="23">
        <v>0.6711111111111111</v>
      </c>
      <c r="L138" s="22">
        <v>44996</v>
      </c>
      <c r="M138" s="24">
        <f>HOUR(orders!$K138)</f>
        <v>16</v>
      </c>
      <c r="N138" s="22" t="str">
        <f t="shared" si="12"/>
        <v>March</v>
      </c>
      <c r="O138" s="23">
        <v>0.3120486111111111</v>
      </c>
      <c r="P138" s="23" t="str">
        <f>_xlfn.XLOOKUP(B138,[2]customers!$A$2:$A$101,[2]customers!$C$2:$C$101)</f>
        <v>Bhatpara</v>
      </c>
      <c r="Q138" s="20" t="s">
        <v>157</v>
      </c>
      <c r="R138" s="20" t="s">
        <v>36</v>
      </c>
      <c r="S138" s="21">
        <f t="shared" si="13"/>
        <v>3276</v>
      </c>
      <c r="T138" s="25">
        <f t="shared" si="14"/>
        <v>6</v>
      </c>
    </row>
    <row r="139" spans="1:20" x14ac:dyDescent="0.3">
      <c r="A139" s="14">
        <v>138</v>
      </c>
      <c r="B139" s="14" t="s">
        <v>200</v>
      </c>
      <c r="C139" s="14">
        <v>57</v>
      </c>
      <c r="D139" s="14" t="s">
        <v>488</v>
      </c>
      <c r="E139" s="14" t="s">
        <v>429</v>
      </c>
      <c r="F139" s="14">
        <v>4</v>
      </c>
      <c r="G139" s="15">
        <f>_xlfn.XLOOKUP(C139,[1]products!$A$2:$A$71,[1]products!$D$2:$D$71)</f>
        <v>1582</v>
      </c>
      <c r="H139" s="16">
        <v>44996</v>
      </c>
      <c r="I139" s="16" t="str">
        <f t="shared" si="10"/>
        <v>March</v>
      </c>
      <c r="J139" s="16" t="str">
        <f t="shared" si="11"/>
        <v>Saturday</v>
      </c>
      <c r="K139" s="17">
        <v>0.39856481481481482</v>
      </c>
      <c r="L139" s="16">
        <v>45003</v>
      </c>
      <c r="M139" s="18">
        <f>HOUR(orders!$K139)</f>
        <v>9</v>
      </c>
      <c r="N139" s="16" t="str">
        <f t="shared" si="12"/>
        <v>March</v>
      </c>
      <c r="O139" s="17">
        <v>0.25185185185185183</v>
      </c>
      <c r="P139" s="17" t="str">
        <f>_xlfn.XLOOKUP(B139,[2]customers!$A$2:$A$101,[2]customers!$C$2:$C$101)</f>
        <v>Khandwa</v>
      </c>
      <c r="Q139" s="14" t="s">
        <v>201</v>
      </c>
      <c r="R139" s="14" t="s">
        <v>20</v>
      </c>
      <c r="S139" s="15">
        <f t="shared" si="13"/>
        <v>6328</v>
      </c>
      <c r="T139" s="19">
        <f t="shared" si="14"/>
        <v>7</v>
      </c>
    </row>
    <row r="140" spans="1:20" x14ac:dyDescent="0.3">
      <c r="A140" s="20">
        <v>139</v>
      </c>
      <c r="B140" s="20" t="s">
        <v>75</v>
      </c>
      <c r="C140" s="20">
        <v>54</v>
      </c>
      <c r="D140" s="20" t="s">
        <v>461</v>
      </c>
      <c r="E140" s="20" t="s">
        <v>431</v>
      </c>
      <c r="F140" s="20">
        <v>4</v>
      </c>
      <c r="G140" s="21">
        <f>_xlfn.XLOOKUP(C140,[1]products!$A$2:$A$71,[1]products!$D$2:$D$71)</f>
        <v>1236</v>
      </c>
      <c r="H140" s="22">
        <v>45057</v>
      </c>
      <c r="I140" s="22" t="str">
        <f t="shared" si="10"/>
        <v>May</v>
      </c>
      <c r="J140" s="22" t="str">
        <f t="shared" si="11"/>
        <v>Thursday</v>
      </c>
      <c r="K140" s="23">
        <v>0.17690972222222223</v>
      </c>
      <c r="L140" s="22">
        <v>45062</v>
      </c>
      <c r="M140" s="24">
        <f>HOUR(orders!$K140)</f>
        <v>4</v>
      </c>
      <c r="N140" s="22" t="str">
        <f t="shared" si="12"/>
        <v>May</v>
      </c>
      <c r="O140" s="23">
        <v>0.75884259259259268</v>
      </c>
      <c r="P140" s="23" t="str">
        <f>_xlfn.XLOOKUP(B140,[2]customers!$A$2:$A$101,[2]customers!$C$2:$C$101)</f>
        <v>Imphal</v>
      </c>
      <c r="Q140" s="20" t="s">
        <v>202</v>
      </c>
      <c r="R140" s="20" t="s">
        <v>12</v>
      </c>
      <c r="S140" s="21">
        <f t="shared" si="13"/>
        <v>4944</v>
      </c>
      <c r="T140" s="25">
        <f t="shared" si="14"/>
        <v>5</v>
      </c>
    </row>
    <row r="141" spans="1:20" x14ac:dyDescent="0.3">
      <c r="A141" s="14">
        <v>140</v>
      </c>
      <c r="B141" s="14" t="s">
        <v>121</v>
      </c>
      <c r="C141" s="14">
        <v>47</v>
      </c>
      <c r="D141" s="14" t="s">
        <v>480</v>
      </c>
      <c r="E141" s="14" t="s">
        <v>429</v>
      </c>
      <c r="F141" s="14">
        <v>1</v>
      </c>
      <c r="G141" s="15">
        <f>_xlfn.XLOOKUP(C141,[1]products!$A$2:$A$71,[1]products!$D$2:$D$71)</f>
        <v>1638</v>
      </c>
      <c r="H141" s="16">
        <v>44989</v>
      </c>
      <c r="I141" s="16" t="str">
        <f t="shared" si="10"/>
        <v>March</v>
      </c>
      <c r="J141" s="16" t="str">
        <f t="shared" si="11"/>
        <v>Saturday</v>
      </c>
      <c r="K141" s="17">
        <v>0.26359953703703703</v>
      </c>
      <c r="L141" s="16">
        <v>44998</v>
      </c>
      <c r="M141" s="18">
        <f>HOUR(orders!$K141)</f>
        <v>6</v>
      </c>
      <c r="N141" s="16" t="str">
        <f t="shared" si="12"/>
        <v>March</v>
      </c>
      <c r="O141" s="17">
        <v>0.89554398148148151</v>
      </c>
      <c r="P141" s="17" t="str">
        <f>_xlfn.XLOOKUP(B141,[2]customers!$A$2:$A$101,[2]customers!$C$2:$C$101)</f>
        <v>Kolkata</v>
      </c>
      <c r="Q141" s="14" t="s">
        <v>203</v>
      </c>
      <c r="R141" s="14" t="s">
        <v>36</v>
      </c>
      <c r="S141" s="15">
        <f t="shared" si="13"/>
        <v>1638</v>
      </c>
      <c r="T141" s="19">
        <f t="shared" si="14"/>
        <v>9</v>
      </c>
    </row>
    <row r="142" spans="1:20" x14ac:dyDescent="0.3">
      <c r="A142" s="20">
        <v>141</v>
      </c>
      <c r="B142" s="20" t="s">
        <v>136</v>
      </c>
      <c r="C142" s="20">
        <v>35</v>
      </c>
      <c r="D142" s="20" t="s">
        <v>462</v>
      </c>
      <c r="E142" s="20" t="s">
        <v>429</v>
      </c>
      <c r="F142" s="20">
        <v>4</v>
      </c>
      <c r="G142" s="21">
        <f>_xlfn.XLOOKUP(C142,[1]products!$A$2:$A$71,[1]products!$D$2:$D$71)</f>
        <v>1865</v>
      </c>
      <c r="H142" s="22">
        <v>44985</v>
      </c>
      <c r="I142" s="22" t="str">
        <f t="shared" si="10"/>
        <v>February</v>
      </c>
      <c r="J142" s="22" t="str">
        <f t="shared" si="11"/>
        <v>Tuesday</v>
      </c>
      <c r="K142" s="23">
        <v>0.1632638888888889</v>
      </c>
      <c r="L142" s="22">
        <v>44995</v>
      </c>
      <c r="M142" s="24">
        <f>HOUR(orders!$K142)</f>
        <v>3</v>
      </c>
      <c r="N142" s="22" t="str">
        <f t="shared" si="12"/>
        <v>March</v>
      </c>
      <c r="O142" s="23">
        <v>0.10550925925925926</v>
      </c>
      <c r="P142" s="23" t="str">
        <f>_xlfn.XLOOKUP(B142,[2]customers!$A$2:$A$101,[2]customers!$C$2:$C$101)</f>
        <v>Nagpur</v>
      </c>
      <c r="Q142" s="20" t="s">
        <v>204</v>
      </c>
      <c r="R142" s="20" t="s">
        <v>36</v>
      </c>
      <c r="S142" s="21">
        <f t="shared" si="13"/>
        <v>7460</v>
      </c>
      <c r="T142" s="25">
        <f t="shared" si="14"/>
        <v>10</v>
      </c>
    </row>
    <row r="143" spans="1:20" x14ac:dyDescent="0.3">
      <c r="A143" s="14">
        <v>142</v>
      </c>
      <c r="B143" s="14" t="s">
        <v>16</v>
      </c>
      <c r="C143" s="14">
        <v>23</v>
      </c>
      <c r="D143" s="14" t="s">
        <v>441</v>
      </c>
      <c r="E143" s="14" t="s">
        <v>427</v>
      </c>
      <c r="F143" s="14">
        <v>2</v>
      </c>
      <c r="G143" s="15">
        <f>_xlfn.XLOOKUP(C143,[1]products!$A$2:$A$71,[1]products!$D$2:$D$71)</f>
        <v>1098</v>
      </c>
      <c r="H143" s="16">
        <v>45222</v>
      </c>
      <c r="I143" s="16" t="str">
        <f t="shared" si="10"/>
        <v>October</v>
      </c>
      <c r="J143" s="16" t="str">
        <f t="shared" si="11"/>
        <v>Monday</v>
      </c>
      <c r="K143" s="17">
        <v>0.10501157407407408</v>
      </c>
      <c r="L143" s="16">
        <v>45226</v>
      </c>
      <c r="M143" s="18">
        <f>HOUR(orders!$K143)</f>
        <v>2</v>
      </c>
      <c r="N143" s="16" t="str">
        <f t="shared" si="12"/>
        <v>October</v>
      </c>
      <c r="O143" s="17">
        <v>0.18351851851851853</v>
      </c>
      <c r="P143" s="17" t="str">
        <f>_xlfn.XLOOKUP(B143,[2]customers!$A$2:$A$101,[2]customers!$C$2:$C$101)</f>
        <v>Haridwar</v>
      </c>
      <c r="Q143" s="14" t="s">
        <v>203</v>
      </c>
      <c r="R143" s="14" t="s">
        <v>12</v>
      </c>
      <c r="S143" s="15">
        <f t="shared" si="13"/>
        <v>2196</v>
      </c>
      <c r="T143" s="19">
        <f t="shared" si="14"/>
        <v>4</v>
      </c>
    </row>
    <row r="144" spans="1:20" x14ac:dyDescent="0.3">
      <c r="A144" s="20">
        <v>143</v>
      </c>
      <c r="B144" s="20" t="s">
        <v>198</v>
      </c>
      <c r="C144" s="20">
        <v>66</v>
      </c>
      <c r="D144" s="20" t="s">
        <v>456</v>
      </c>
      <c r="E144" s="20" t="s">
        <v>429</v>
      </c>
      <c r="F144" s="20">
        <v>2</v>
      </c>
      <c r="G144" s="21">
        <f>_xlfn.XLOOKUP(C144,[1]products!$A$2:$A$71,[1]products!$D$2:$D$71)</f>
        <v>610</v>
      </c>
      <c r="H144" s="22">
        <v>44985</v>
      </c>
      <c r="I144" s="22" t="str">
        <f t="shared" si="10"/>
        <v>February</v>
      </c>
      <c r="J144" s="22" t="str">
        <f t="shared" si="11"/>
        <v>Tuesday</v>
      </c>
      <c r="K144" s="23">
        <v>0.3175694444444444</v>
      </c>
      <c r="L144" s="22">
        <v>44995</v>
      </c>
      <c r="M144" s="24">
        <f>HOUR(orders!$K144)</f>
        <v>7</v>
      </c>
      <c r="N144" s="22" t="str">
        <f t="shared" si="12"/>
        <v>March</v>
      </c>
      <c r="O144" s="23">
        <v>0.61798611111111112</v>
      </c>
      <c r="P144" s="23" t="str">
        <f>_xlfn.XLOOKUP(B144,[2]customers!$A$2:$A$101,[2]customers!$C$2:$C$101)</f>
        <v>North Dumdum</v>
      </c>
      <c r="Q144" s="20" t="s">
        <v>205</v>
      </c>
      <c r="R144" s="20" t="s">
        <v>36</v>
      </c>
      <c r="S144" s="21">
        <f t="shared" si="13"/>
        <v>1220</v>
      </c>
      <c r="T144" s="25">
        <f t="shared" si="14"/>
        <v>10</v>
      </c>
    </row>
    <row r="145" spans="1:20" x14ac:dyDescent="0.3">
      <c r="A145" s="14">
        <v>144</v>
      </c>
      <c r="B145" s="14" t="s">
        <v>52</v>
      </c>
      <c r="C145" s="14">
        <v>51</v>
      </c>
      <c r="D145" s="14" t="s">
        <v>469</v>
      </c>
      <c r="E145" s="14" t="s">
        <v>445</v>
      </c>
      <c r="F145" s="14">
        <v>5</v>
      </c>
      <c r="G145" s="15">
        <f>_xlfn.XLOOKUP(C145,[1]products!$A$2:$A$71,[1]products!$D$2:$D$71)</f>
        <v>1084</v>
      </c>
      <c r="H145" s="16">
        <v>44944</v>
      </c>
      <c r="I145" s="16" t="str">
        <f t="shared" si="10"/>
        <v>January</v>
      </c>
      <c r="J145" s="16" t="str">
        <f t="shared" si="11"/>
        <v>Wednesday</v>
      </c>
      <c r="K145" s="17">
        <v>0.37572916666666667</v>
      </c>
      <c r="L145" s="16">
        <v>44949</v>
      </c>
      <c r="M145" s="18">
        <f>HOUR(orders!$K145)</f>
        <v>9</v>
      </c>
      <c r="N145" s="16" t="str">
        <f t="shared" si="12"/>
        <v>January</v>
      </c>
      <c r="O145" s="17">
        <v>0.14114583333333333</v>
      </c>
      <c r="P145" s="17" t="str">
        <f>_xlfn.XLOOKUP(B145,[2]customers!$A$2:$A$101,[2]customers!$C$2:$C$101)</f>
        <v>Anantapuram</v>
      </c>
      <c r="Q145" s="14" t="s">
        <v>206</v>
      </c>
      <c r="R145" s="14" t="s">
        <v>60</v>
      </c>
      <c r="S145" s="15">
        <f t="shared" si="13"/>
        <v>5420</v>
      </c>
      <c r="T145" s="19">
        <f t="shared" si="14"/>
        <v>5</v>
      </c>
    </row>
    <row r="146" spans="1:20" x14ac:dyDescent="0.3">
      <c r="A146" s="20">
        <v>145</v>
      </c>
      <c r="B146" s="20" t="s">
        <v>75</v>
      </c>
      <c r="C146" s="20">
        <v>59</v>
      </c>
      <c r="D146" s="20" t="s">
        <v>489</v>
      </c>
      <c r="E146" s="20" t="s">
        <v>431</v>
      </c>
      <c r="F146" s="20">
        <v>5</v>
      </c>
      <c r="G146" s="21">
        <f>_xlfn.XLOOKUP(C146,[1]products!$A$2:$A$71,[1]products!$D$2:$D$71)</f>
        <v>811</v>
      </c>
      <c r="H146" s="22">
        <v>45167</v>
      </c>
      <c r="I146" s="22" t="str">
        <f t="shared" si="10"/>
        <v>August</v>
      </c>
      <c r="J146" s="22" t="str">
        <f t="shared" si="11"/>
        <v>Tuesday</v>
      </c>
      <c r="K146" s="23">
        <v>0.7034259259259259</v>
      </c>
      <c r="L146" s="22">
        <v>45172</v>
      </c>
      <c r="M146" s="24">
        <f>HOUR(orders!$K146)</f>
        <v>16</v>
      </c>
      <c r="N146" s="22" t="str">
        <f t="shared" si="12"/>
        <v>September</v>
      </c>
      <c r="O146" s="23">
        <v>0.54473379629629626</v>
      </c>
      <c r="P146" s="23" t="str">
        <f>_xlfn.XLOOKUP(B146,[2]customers!$A$2:$A$101,[2]customers!$C$2:$C$101)</f>
        <v>Imphal</v>
      </c>
      <c r="Q146" s="20" t="s">
        <v>207</v>
      </c>
      <c r="R146" s="20" t="s">
        <v>26</v>
      </c>
      <c r="S146" s="21">
        <f t="shared" si="13"/>
        <v>4055</v>
      </c>
      <c r="T146" s="25">
        <f t="shared" si="14"/>
        <v>5</v>
      </c>
    </row>
    <row r="147" spans="1:20" x14ac:dyDescent="0.3">
      <c r="A147" s="14">
        <v>146</v>
      </c>
      <c r="B147" s="14" t="s">
        <v>188</v>
      </c>
      <c r="C147" s="14">
        <v>52</v>
      </c>
      <c r="D147" s="14" t="s">
        <v>443</v>
      </c>
      <c r="E147" s="14" t="s">
        <v>26</v>
      </c>
      <c r="F147" s="14">
        <v>5</v>
      </c>
      <c r="G147" s="15">
        <f>_xlfn.XLOOKUP(C147,[1]products!$A$2:$A$71,[1]products!$D$2:$D$71)</f>
        <v>236</v>
      </c>
      <c r="H147" s="16">
        <v>44970</v>
      </c>
      <c r="I147" s="16" t="str">
        <f t="shared" si="10"/>
        <v>February</v>
      </c>
      <c r="J147" s="16" t="str">
        <f t="shared" si="11"/>
        <v>Monday</v>
      </c>
      <c r="K147" s="17">
        <v>0.7666087962962963</v>
      </c>
      <c r="L147" s="16">
        <v>44973</v>
      </c>
      <c r="M147" s="18">
        <f>HOUR(orders!$K147)</f>
        <v>18</v>
      </c>
      <c r="N147" s="16" t="str">
        <f t="shared" si="12"/>
        <v>February</v>
      </c>
      <c r="O147" s="17">
        <v>0.17195601851851852</v>
      </c>
      <c r="P147" s="17" t="str">
        <f>_xlfn.XLOOKUP(B147,[2]customers!$A$2:$A$101,[2]customers!$C$2:$C$101)</f>
        <v>Sambhal</v>
      </c>
      <c r="Q147" s="14" t="s">
        <v>208</v>
      </c>
      <c r="R147" s="14" t="s">
        <v>23</v>
      </c>
      <c r="S147" s="15">
        <f t="shared" si="13"/>
        <v>1180</v>
      </c>
      <c r="T147" s="19">
        <f t="shared" si="14"/>
        <v>3</v>
      </c>
    </row>
    <row r="148" spans="1:20" x14ac:dyDescent="0.3">
      <c r="A148" s="20">
        <v>147</v>
      </c>
      <c r="B148" s="20" t="s">
        <v>86</v>
      </c>
      <c r="C148" s="20">
        <v>8</v>
      </c>
      <c r="D148" s="20" t="s">
        <v>454</v>
      </c>
      <c r="E148" s="20" t="s">
        <v>427</v>
      </c>
      <c r="F148" s="20">
        <v>4</v>
      </c>
      <c r="G148" s="21">
        <f>_xlfn.XLOOKUP(C148,[1]products!$A$2:$A$71,[1]products!$D$2:$D$71)</f>
        <v>252</v>
      </c>
      <c r="H148" s="22">
        <v>45002</v>
      </c>
      <c r="I148" s="22" t="str">
        <f t="shared" si="10"/>
        <v>March</v>
      </c>
      <c r="J148" s="22" t="str">
        <f t="shared" si="11"/>
        <v>Friday</v>
      </c>
      <c r="K148" s="23">
        <v>0.81128472222222225</v>
      </c>
      <c r="L148" s="22">
        <v>45008</v>
      </c>
      <c r="M148" s="24">
        <f>HOUR(orders!$K148)</f>
        <v>19</v>
      </c>
      <c r="N148" s="22" t="str">
        <f t="shared" si="12"/>
        <v>March</v>
      </c>
      <c r="O148" s="23">
        <v>0.57721064814814815</v>
      </c>
      <c r="P148" s="23" t="str">
        <f>_xlfn.XLOOKUP(B148,[2]customers!$A$2:$A$101,[2]customers!$C$2:$C$101)</f>
        <v>Bhopal</v>
      </c>
      <c r="Q148" s="20" t="s">
        <v>209</v>
      </c>
      <c r="R148" s="20" t="s">
        <v>12</v>
      </c>
      <c r="S148" s="21">
        <f t="shared" si="13"/>
        <v>1008</v>
      </c>
      <c r="T148" s="25">
        <f t="shared" si="14"/>
        <v>6</v>
      </c>
    </row>
    <row r="149" spans="1:20" x14ac:dyDescent="0.3">
      <c r="A149" s="14">
        <v>148</v>
      </c>
      <c r="B149" s="14" t="s">
        <v>88</v>
      </c>
      <c r="C149" s="14">
        <v>24</v>
      </c>
      <c r="D149" s="14" t="s">
        <v>485</v>
      </c>
      <c r="E149" s="14" t="s">
        <v>458</v>
      </c>
      <c r="F149" s="14">
        <v>3</v>
      </c>
      <c r="G149" s="15">
        <f>_xlfn.XLOOKUP(C149,[1]products!$A$2:$A$71,[1]products!$D$2:$D$71)</f>
        <v>535</v>
      </c>
      <c r="H149" s="16">
        <v>45265</v>
      </c>
      <c r="I149" s="16" t="str">
        <f t="shared" si="10"/>
        <v>December</v>
      </c>
      <c r="J149" s="16" t="str">
        <f t="shared" si="11"/>
        <v>Tuesday</v>
      </c>
      <c r="K149" s="17">
        <v>8.9675925925925923E-2</v>
      </c>
      <c r="L149" s="16">
        <v>45267</v>
      </c>
      <c r="M149" s="18">
        <f>HOUR(orders!$K149)</f>
        <v>2</v>
      </c>
      <c r="N149" s="16" t="str">
        <f t="shared" si="12"/>
        <v>December</v>
      </c>
      <c r="O149" s="17">
        <v>0.37335648148148143</v>
      </c>
      <c r="P149" s="17" t="str">
        <f>_xlfn.XLOOKUP(B149,[2]customers!$A$2:$A$101,[2]customers!$C$2:$C$101)</f>
        <v>Guna</v>
      </c>
      <c r="Q149" s="14" t="s">
        <v>210</v>
      </c>
      <c r="R149" s="14" t="s">
        <v>20</v>
      </c>
      <c r="S149" s="15">
        <f t="shared" si="13"/>
        <v>1605</v>
      </c>
      <c r="T149" s="19">
        <f t="shared" si="14"/>
        <v>2</v>
      </c>
    </row>
    <row r="150" spans="1:20" x14ac:dyDescent="0.3">
      <c r="A150" s="20">
        <v>149</v>
      </c>
      <c r="B150" s="20" t="s">
        <v>140</v>
      </c>
      <c r="C150" s="20">
        <v>5</v>
      </c>
      <c r="D150" s="20" t="s">
        <v>467</v>
      </c>
      <c r="E150" s="20" t="s">
        <v>429</v>
      </c>
      <c r="F150" s="20">
        <v>3</v>
      </c>
      <c r="G150" s="21">
        <f>_xlfn.XLOOKUP(C150,[1]products!$A$2:$A$71,[1]products!$D$2:$D$71)</f>
        <v>1444</v>
      </c>
      <c r="H150" s="22">
        <v>45205</v>
      </c>
      <c r="I150" s="22" t="str">
        <f t="shared" si="10"/>
        <v>October</v>
      </c>
      <c r="J150" s="22" t="str">
        <f t="shared" si="11"/>
        <v>Friday</v>
      </c>
      <c r="K150" s="23">
        <v>0.97440972222222222</v>
      </c>
      <c r="L150" s="22">
        <v>45208</v>
      </c>
      <c r="M150" s="24">
        <f>HOUR(orders!$K150)</f>
        <v>23</v>
      </c>
      <c r="N150" s="22" t="str">
        <f t="shared" si="12"/>
        <v>October</v>
      </c>
      <c r="O150" s="23">
        <v>0.83972222222222215</v>
      </c>
      <c r="P150" s="23" t="str">
        <f>_xlfn.XLOOKUP(B150,[2]customers!$A$2:$A$101,[2]customers!$C$2:$C$101)</f>
        <v>Chinsurah</v>
      </c>
      <c r="Q150" s="20" t="s">
        <v>211</v>
      </c>
      <c r="R150" s="20" t="s">
        <v>60</v>
      </c>
      <c r="S150" s="21">
        <f t="shared" si="13"/>
        <v>4332</v>
      </c>
      <c r="T150" s="25">
        <f t="shared" si="14"/>
        <v>3</v>
      </c>
    </row>
    <row r="151" spans="1:20" x14ac:dyDescent="0.3">
      <c r="A151" s="14">
        <v>150</v>
      </c>
      <c r="B151" s="14" t="s">
        <v>212</v>
      </c>
      <c r="C151" s="14">
        <v>27</v>
      </c>
      <c r="D151" s="14" t="s">
        <v>435</v>
      </c>
      <c r="E151" s="14" t="s">
        <v>431</v>
      </c>
      <c r="F151" s="14">
        <v>5</v>
      </c>
      <c r="G151" s="15">
        <f>_xlfn.XLOOKUP(C151,[1]products!$A$2:$A$71,[1]products!$D$2:$D$71)</f>
        <v>548</v>
      </c>
      <c r="H151" s="16">
        <v>45164</v>
      </c>
      <c r="I151" s="16" t="str">
        <f t="shared" si="10"/>
        <v>August</v>
      </c>
      <c r="J151" s="16" t="str">
        <f t="shared" si="11"/>
        <v>Saturday</v>
      </c>
      <c r="K151" s="17">
        <v>0.30436342592592591</v>
      </c>
      <c r="L151" s="16">
        <v>45167</v>
      </c>
      <c r="M151" s="18">
        <f>HOUR(orders!$K151)</f>
        <v>7</v>
      </c>
      <c r="N151" s="16" t="str">
        <f t="shared" si="12"/>
        <v>August</v>
      </c>
      <c r="O151" s="17">
        <v>0.70570601851851855</v>
      </c>
      <c r="P151" s="17" t="str">
        <f>_xlfn.XLOOKUP(B151,[2]customers!$A$2:$A$101,[2]customers!$C$2:$C$101)</f>
        <v>Dibrugarh</v>
      </c>
      <c r="Q151" s="14" t="s">
        <v>213</v>
      </c>
      <c r="R151" s="14" t="s">
        <v>26</v>
      </c>
      <c r="S151" s="15">
        <f t="shared" si="13"/>
        <v>2740</v>
      </c>
      <c r="T151" s="19">
        <f t="shared" si="14"/>
        <v>3</v>
      </c>
    </row>
    <row r="152" spans="1:20" x14ac:dyDescent="0.3">
      <c r="A152" s="20">
        <v>151</v>
      </c>
      <c r="B152" s="20" t="s">
        <v>192</v>
      </c>
      <c r="C152" s="20">
        <v>43</v>
      </c>
      <c r="D152" s="20" t="s">
        <v>434</v>
      </c>
      <c r="E152" s="20" t="s">
        <v>26</v>
      </c>
      <c r="F152" s="20">
        <v>1</v>
      </c>
      <c r="G152" s="21">
        <f>_xlfn.XLOOKUP(C152,[1]products!$A$2:$A$71,[1]products!$D$2:$D$71)</f>
        <v>750</v>
      </c>
      <c r="H152" s="22">
        <v>45233</v>
      </c>
      <c r="I152" s="22" t="str">
        <f t="shared" si="10"/>
        <v>November</v>
      </c>
      <c r="J152" s="22" t="str">
        <f t="shared" si="11"/>
        <v>Friday</v>
      </c>
      <c r="K152" s="23">
        <v>0.90446759259259257</v>
      </c>
      <c r="L152" s="22">
        <v>45240</v>
      </c>
      <c r="M152" s="24">
        <f>HOUR(orders!$K152)</f>
        <v>21</v>
      </c>
      <c r="N152" s="22" t="str">
        <f t="shared" si="12"/>
        <v>November</v>
      </c>
      <c r="O152" s="23">
        <v>0.16391203703703702</v>
      </c>
      <c r="P152" s="23" t="str">
        <f>_xlfn.XLOOKUP(B152,[2]customers!$A$2:$A$101,[2]customers!$C$2:$C$101)</f>
        <v>Kota</v>
      </c>
      <c r="Q152" s="20" t="s">
        <v>214</v>
      </c>
      <c r="R152" s="20" t="s">
        <v>15</v>
      </c>
      <c r="S152" s="21">
        <f t="shared" si="13"/>
        <v>750</v>
      </c>
      <c r="T152" s="25">
        <f t="shared" si="14"/>
        <v>7</v>
      </c>
    </row>
    <row r="153" spans="1:20" x14ac:dyDescent="0.3">
      <c r="A153" s="14">
        <v>152</v>
      </c>
      <c r="B153" s="14" t="s">
        <v>215</v>
      </c>
      <c r="C153" s="14">
        <v>51</v>
      </c>
      <c r="D153" s="14" t="s">
        <v>469</v>
      </c>
      <c r="E153" s="14" t="s">
        <v>445</v>
      </c>
      <c r="F153" s="14">
        <v>2</v>
      </c>
      <c r="G153" s="15">
        <f>_xlfn.XLOOKUP(C153,[1]products!$A$2:$A$71,[1]products!$D$2:$D$71)</f>
        <v>1084</v>
      </c>
      <c r="H153" s="16">
        <v>44984</v>
      </c>
      <c r="I153" s="16" t="str">
        <f t="shared" si="10"/>
        <v>February</v>
      </c>
      <c r="J153" s="16" t="str">
        <f t="shared" si="11"/>
        <v>Monday</v>
      </c>
      <c r="K153" s="17">
        <v>0.45059027777777777</v>
      </c>
      <c r="L153" s="16">
        <v>44990</v>
      </c>
      <c r="M153" s="18">
        <f>HOUR(orders!$K153)</f>
        <v>10</v>
      </c>
      <c r="N153" s="16" t="str">
        <f t="shared" si="12"/>
        <v>March</v>
      </c>
      <c r="O153" s="17">
        <v>0.69400462962962972</v>
      </c>
      <c r="P153" s="17" t="str">
        <f>_xlfn.XLOOKUP(B153,[2]customers!$A$2:$A$101,[2]customers!$C$2:$C$101)</f>
        <v>Tiruchirappalli</v>
      </c>
      <c r="Q153" s="14" t="s">
        <v>197</v>
      </c>
      <c r="R153" s="14" t="s">
        <v>60</v>
      </c>
      <c r="S153" s="15">
        <f t="shared" si="13"/>
        <v>2168</v>
      </c>
      <c r="T153" s="19">
        <f t="shared" si="14"/>
        <v>6</v>
      </c>
    </row>
    <row r="154" spans="1:20" x14ac:dyDescent="0.3">
      <c r="A154" s="20">
        <v>153</v>
      </c>
      <c r="B154" s="20" t="s">
        <v>216</v>
      </c>
      <c r="C154" s="20">
        <v>16</v>
      </c>
      <c r="D154" s="20" t="s">
        <v>437</v>
      </c>
      <c r="E154" s="20" t="s">
        <v>427</v>
      </c>
      <c r="F154" s="20">
        <v>4</v>
      </c>
      <c r="G154" s="21">
        <f>_xlfn.XLOOKUP(C154,[1]products!$A$2:$A$71,[1]products!$D$2:$D$71)</f>
        <v>1721</v>
      </c>
      <c r="H154" s="22">
        <v>44989</v>
      </c>
      <c r="I154" s="22" t="str">
        <f t="shared" si="10"/>
        <v>March</v>
      </c>
      <c r="J154" s="22" t="str">
        <f t="shared" si="11"/>
        <v>Saturday</v>
      </c>
      <c r="K154" s="23">
        <v>0.51041666666666663</v>
      </c>
      <c r="L154" s="22">
        <v>44995</v>
      </c>
      <c r="M154" s="24">
        <f>HOUR(orders!$K154)</f>
        <v>12</v>
      </c>
      <c r="N154" s="22" t="str">
        <f t="shared" si="12"/>
        <v>March</v>
      </c>
      <c r="O154" s="23">
        <v>0.25327546296296294</v>
      </c>
      <c r="P154" s="23" t="str">
        <f>_xlfn.XLOOKUP(B154,[2]customers!$A$2:$A$101,[2]customers!$C$2:$C$101)</f>
        <v>Deoghar</v>
      </c>
      <c r="Q154" s="20" t="s">
        <v>217</v>
      </c>
      <c r="R154" s="20" t="s">
        <v>36</v>
      </c>
      <c r="S154" s="21">
        <f t="shared" si="13"/>
        <v>6884</v>
      </c>
      <c r="T154" s="25">
        <f t="shared" si="14"/>
        <v>6</v>
      </c>
    </row>
    <row r="155" spans="1:20" x14ac:dyDescent="0.3">
      <c r="A155" s="14">
        <v>154</v>
      </c>
      <c r="B155" s="14" t="s">
        <v>218</v>
      </c>
      <c r="C155" s="14">
        <v>45</v>
      </c>
      <c r="D155" s="14" t="s">
        <v>433</v>
      </c>
      <c r="E155" s="14" t="s">
        <v>26</v>
      </c>
      <c r="F155" s="14">
        <v>5</v>
      </c>
      <c r="G155" s="15">
        <f>_xlfn.XLOOKUP(C155,[1]products!$A$2:$A$71,[1]products!$D$2:$D$71)</f>
        <v>722</v>
      </c>
      <c r="H155" s="16">
        <v>45251</v>
      </c>
      <c r="I155" s="16" t="str">
        <f t="shared" si="10"/>
        <v>November</v>
      </c>
      <c r="J155" s="16" t="str">
        <f t="shared" si="11"/>
        <v>Tuesday</v>
      </c>
      <c r="K155" s="17">
        <v>0.96826388888888892</v>
      </c>
      <c r="L155" s="16">
        <v>45255</v>
      </c>
      <c r="M155" s="18">
        <f>HOUR(orders!$K155)</f>
        <v>23</v>
      </c>
      <c r="N155" s="16" t="str">
        <f t="shared" si="12"/>
        <v>November</v>
      </c>
      <c r="O155" s="17">
        <v>8.6793981481481486E-2</v>
      </c>
      <c r="P155" s="17" t="str">
        <f>_xlfn.XLOOKUP(B155,[2]customers!$A$2:$A$101,[2]customers!$C$2:$C$101)</f>
        <v>Imphal</v>
      </c>
      <c r="Q155" s="14" t="s">
        <v>81</v>
      </c>
      <c r="R155" s="14" t="s">
        <v>20</v>
      </c>
      <c r="S155" s="15">
        <f t="shared" si="13"/>
        <v>3610</v>
      </c>
      <c r="T155" s="19">
        <f t="shared" si="14"/>
        <v>4</v>
      </c>
    </row>
    <row r="156" spans="1:20" x14ac:dyDescent="0.3">
      <c r="A156" s="20">
        <v>155</v>
      </c>
      <c r="B156" s="20" t="s">
        <v>103</v>
      </c>
      <c r="C156" s="20">
        <v>23</v>
      </c>
      <c r="D156" s="20" t="s">
        <v>441</v>
      </c>
      <c r="E156" s="20" t="s">
        <v>427</v>
      </c>
      <c r="F156" s="20">
        <v>3</v>
      </c>
      <c r="G156" s="21">
        <f>_xlfn.XLOOKUP(C156,[1]products!$A$2:$A$71,[1]products!$D$2:$D$71)</f>
        <v>1098</v>
      </c>
      <c r="H156" s="22">
        <v>45047</v>
      </c>
      <c r="I156" s="22" t="str">
        <f t="shared" si="10"/>
        <v>May</v>
      </c>
      <c r="J156" s="22" t="str">
        <f t="shared" si="11"/>
        <v>Monday</v>
      </c>
      <c r="K156" s="23">
        <v>0.61594907407407407</v>
      </c>
      <c r="L156" s="22">
        <v>45052</v>
      </c>
      <c r="M156" s="24">
        <f>HOUR(orders!$K156)</f>
        <v>14</v>
      </c>
      <c r="N156" s="22" t="str">
        <f t="shared" si="12"/>
        <v>May</v>
      </c>
      <c r="O156" s="23">
        <v>3.4722222222222224E-4</v>
      </c>
      <c r="P156" s="23" t="str">
        <f>_xlfn.XLOOKUP(B156,[2]customers!$A$2:$A$101,[2]customers!$C$2:$C$101)</f>
        <v>Bidhannagar</v>
      </c>
      <c r="Q156" s="20" t="s">
        <v>219</v>
      </c>
      <c r="R156" s="20" t="s">
        <v>12</v>
      </c>
      <c r="S156" s="21">
        <f t="shared" si="13"/>
        <v>3294</v>
      </c>
      <c r="T156" s="25">
        <f t="shared" si="14"/>
        <v>5</v>
      </c>
    </row>
    <row r="157" spans="1:20" x14ac:dyDescent="0.3">
      <c r="A157" s="14">
        <v>156</v>
      </c>
      <c r="B157" s="14" t="s">
        <v>188</v>
      </c>
      <c r="C157" s="14">
        <v>61</v>
      </c>
      <c r="D157" s="14" t="s">
        <v>464</v>
      </c>
      <c r="E157" s="14" t="s">
        <v>447</v>
      </c>
      <c r="F157" s="14">
        <v>2</v>
      </c>
      <c r="G157" s="15">
        <f>_xlfn.XLOOKUP(C157,[1]products!$A$2:$A$71,[1]products!$D$2:$D$71)</f>
        <v>810</v>
      </c>
      <c r="H157" s="16">
        <v>44966</v>
      </c>
      <c r="I157" s="16" t="str">
        <f t="shared" si="10"/>
        <v>February</v>
      </c>
      <c r="J157" s="16" t="str">
        <f t="shared" si="11"/>
        <v>Thursday</v>
      </c>
      <c r="K157" s="17">
        <v>0.34780092592592587</v>
      </c>
      <c r="L157" s="16">
        <v>44969</v>
      </c>
      <c r="M157" s="18">
        <f>HOUR(orders!$K157)</f>
        <v>8</v>
      </c>
      <c r="N157" s="16" t="str">
        <f t="shared" si="12"/>
        <v>February</v>
      </c>
      <c r="O157" s="17">
        <v>0.4508564814814815</v>
      </c>
      <c r="P157" s="17" t="str">
        <f>_xlfn.XLOOKUP(B157,[2]customers!$A$2:$A$101,[2]customers!$C$2:$C$101)</f>
        <v>Sambhal</v>
      </c>
      <c r="Q157" s="14" t="s">
        <v>165</v>
      </c>
      <c r="R157" s="14" t="s">
        <v>12</v>
      </c>
      <c r="S157" s="15">
        <f t="shared" si="13"/>
        <v>1620</v>
      </c>
      <c r="T157" s="19">
        <f t="shared" si="14"/>
        <v>3</v>
      </c>
    </row>
    <row r="158" spans="1:20" x14ac:dyDescent="0.3">
      <c r="A158" s="20">
        <v>157</v>
      </c>
      <c r="B158" s="20" t="s">
        <v>13</v>
      </c>
      <c r="C158" s="20">
        <v>35</v>
      </c>
      <c r="D158" s="20" t="s">
        <v>462</v>
      </c>
      <c r="E158" s="20" t="s">
        <v>429</v>
      </c>
      <c r="F158" s="20">
        <v>3</v>
      </c>
      <c r="G158" s="21">
        <f>_xlfn.XLOOKUP(C158,[1]products!$A$2:$A$71,[1]products!$D$2:$D$71)</f>
        <v>1865</v>
      </c>
      <c r="H158" s="22">
        <v>44983</v>
      </c>
      <c r="I158" s="22" t="str">
        <f t="shared" si="10"/>
        <v>February</v>
      </c>
      <c r="J158" s="22" t="str">
        <f t="shared" si="11"/>
        <v>Sunday</v>
      </c>
      <c r="K158" s="23">
        <v>0.53075231481481489</v>
      </c>
      <c r="L158" s="22">
        <v>44991</v>
      </c>
      <c r="M158" s="24">
        <f>HOUR(orders!$K158)</f>
        <v>12</v>
      </c>
      <c r="N158" s="22" t="str">
        <f t="shared" si="12"/>
        <v>March</v>
      </c>
      <c r="O158" s="23">
        <v>0.48314814814814816</v>
      </c>
      <c r="P158" s="23" t="str">
        <f>_xlfn.XLOOKUP(B158,[2]customers!$A$2:$A$101,[2]customers!$C$2:$C$101)</f>
        <v>Danapur</v>
      </c>
      <c r="Q158" s="20" t="s">
        <v>114</v>
      </c>
      <c r="R158" s="20" t="s">
        <v>36</v>
      </c>
      <c r="S158" s="21">
        <f t="shared" si="13"/>
        <v>5595</v>
      </c>
      <c r="T158" s="25">
        <f t="shared" si="14"/>
        <v>8</v>
      </c>
    </row>
    <row r="159" spans="1:20" x14ac:dyDescent="0.3">
      <c r="A159" s="14">
        <v>158</v>
      </c>
      <c r="B159" s="14" t="s">
        <v>220</v>
      </c>
      <c r="C159" s="14">
        <v>35</v>
      </c>
      <c r="D159" s="14" t="s">
        <v>462</v>
      </c>
      <c r="E159" s="14" t="s">
        <v>429</v>
      </c>
      <c r="F159" s="14">
        <v>2</v>
      </c>
      <c r="G159" s="15">
        <f>_xlfn.XLOOKUP(C159,[1]products!$A$2:$A$71,[1]products!$D$2:$D$71)</f>
        <v>1865</v>
      </c>
      <c r="H159" s="16">
        <v>44988</v>
      </c>
      <c r="I159" s="16" t="str">
        <f t="shared" si="10"/>
        <v>March</v>
      </c>
      <c r="J159" s="16" t="str">
        <f t="shared" si="11"/>
        <v>Friday</v>
      </c>
      <c r="K159" s="17">
        <v>0.65297453703703701</v>
      </c>
      <c r="L159" s="16">
        <v>44993</v>
      </c>
      <c r="M159" s="18">
        <f>HOUR(orders!$K159)</f>
        <v>15</v>
      </c>
      <c r="N159" s="16" t="str">
        <f t="shared" si="12"/>
        <v>March</v>
      </c>
      <c r="O159" s="17">
        <v>0.12015046296296296</v>
      </c>
      <c r="P159" s="17" t="str">
        <f>_xlfn.XLOOKUP(B159,[2]customers!$A$2:$A$101,[2]customers!$C$2:$C$101)</f>
        <v>Berhampore</v>
      </c>
      <c r="Q159" s="14" t="s">
        <v>221</v>
      </c>
      <c r="R159" s="14" t="s">
        <v>36</v>
      </c>
      <c r="S159" s="15">
        <f t="shared" si="13"/>
        <v>3730</v>
      </c>
      <c r="T159" s="19">
        <f t="shared" si="14"/>
        <v>5</v>
      </c>
    </row>
    <row r="160" spans="1:20" x14ac:dyDescent="0.3">
      <c r="A160" s="20">
        <v>159</v>
      </c>
      <c r="B160" s="20" t="s">
        <v>109</v>
      </c>
      <c r="C160" s="20">
        <v>43</v>
      </c>
      <c r="D160" s="20" t="s">
        <v>434</v>
      </c>
      <c r="E160" s="20" t="s">
        <v>26</v>
      </c>
      <c r="F160" s="20">
        <v>3</v>
      </c>
      <c r="G160" s="21">
        <f>_xlfn.XLOOKUP(C160,[1]products!$A$2:$A$71,[1]products!$D$2:$D$71)</f>
        <v>750</v>
      </c>
      <c r="H160" s="22">
        <v>45239</v>
      </c>
      <c r="I160" s="22" t="str">
        <f t="shared" si="10"/>
        <v>November</v>
      </c>
      <c r="J160" s="22" t="str">
        <f t="shared" si="11"/>
        <v>Thursday</v>
      </c>
      <c r="K160" s="23">
        <v>0.89697916666666666</v>
      </c>
      <c r="L160" s="22">
        <v>45241</v>
      </c>
      <c r="M160" s="24">
        <f>HOUR(orders!$K160)</f>
        <v>21</v>
      </c>
      <c r="N160" s="22" t="str">
        <f t="shared" si="12"/>
        <v>November</v>
      </c>
      <c r="O160" s="23">
        <v>0.20550925925925925</v>
      </c>
      <c r="P160" s="23" t="str">
        <f>_xlfn.XLOOKUP(B160,[2]customers!$A$2:$A$101,[2]customers!$C$2:$C$101)</f>
        <v>Warangal</v>
      </c>
      <c r="Q160" s="20" t="s">
        <v>222</v>
      </c>
      <c r="R160" s="20" t="s">
        <v>15</v>
      </c>
      <c r="S160" s="21">
        <f t="shared" si="13"/>
        <v>2250</v>
      </c>
      <c r="T160" s="25">
        <f t="shared" si="14"/>
        <v>2</v>
      </c>
    </row>
    <row r="161" spans="1:20" x14ac:dyDescent="0.3">
      <c r="A161" s="14">
        <v>160</v>
      </c>
      <c r="B161" s="14" t="s">
        <v>10</v>
      </c>
      <c r="C161" s="14">
        <v>36</v>
      </c>
      <c r="D161" s="14" t="s">
        <v>468</v>
      </c>
      <c r="E161" s="14" t="s">
        <v>447</v>
      </c>
      <c r="F161" s="14">
        <v>3</v>
      </c>
      <c r="G161" s="15">
        <f>_xlfn.XLOOKUP(C161,[1]products!$A$2:$A$71,[1]products!$D$2:$D$71)</f>
        <v>203</v>
      </c>
      <c r="H161" s="16">
        <v>45079</v>
      </c>
      <c r="I161" s="16" t="str">
        <f t="shared" si="10"/>
        <v>June</v>
      </c>
      <c r="J161" s="16" t="str">
        <f t="shared" si="11"/>
        <v>Friday</v>
      </c>
      <c r="K161" s="17">
        <v>2.0104166666666666E-2</v>
      </c>
      <c r="L161" s="16">
        <v>45087</v>
      </c>
      <c r="M161" s="18">
        <f>HOUR(orders!$K161)</f>
        <v>0</v>
      </c>
      <c r="N161" s="16" t="str">
        <f t="shared" si="12"/>
        <v>June</v>
      </c>
      <c r="O161" s="17">
        <v>0.32846064814814818</v>
      </c>
      <c r="P161" s="17" t="str">
        <f>_xlfn.XLOOKUP(B161,[2]customers!$A$2:$A$101,[2]customers!$C$2:$C$101)</f>
        <v>Davanagere</v>
      </c>
      <c r="Q161" s="14" t="s">
        <v>48</v>
      </c>
      <c r="R161" s="14" t="s">
        <v>20</v>
      </c>
      <c r="S161" s="15">
        <f t="shared" si="13"/>
        <v>609</v>
      </c>
      <c r="T161" s="19">
        <f t="shared" si="14"/>
        <v>8</v>
      </c>
    </row>
    <row r="162" spans="1:20" x14ac:dyDescent="0.3">
      <c r="A162" s="20">
        <v>161</v>
      </c>
      <c r="B162" s="20" t="s">
        <v>54</v>
      </c>
      <c r="C162" s="20">
        <v>58</v>
      </c>
      <c r="D162" s="20" t="s">
        <v>430</v>
      </c>
      <c r="E162" s="20" t="s">
        <v>431</v>
      </c>
      <c r="F162" s="20">
        <v>3</v>
      </c>
      <c r="G162" s="21">
        <f>_xlfn.XLOOKUP(C162,[1]products!$A$2:$A$71,[1]products!$D$2:$D$71)</f>
        <v>1492</v>
      </c>
      <c r="H162" s="22">
        <v>44970</v>
      </c>
      <c r="I162" s="22" t="str">
        <f t="shared" si="10"/>
        <v>February</v>
      </c>
      <c r="J162" s="22" t="str">
        <f t="shared" si="11"/>
        <v>Monday</v>
      </c>
      <c r="K162" s="23">
        <v>0.13062499999999999</v>
      </c>
      <c r="L162" s="22">
        <v>44971</v>
      </c>
      <c r="M162" s="24">
        <f>HOUR(orders!$K162)</f>
        <v>3</v>
      </c>
      <c r="N162" s="22" t="str">
        <f t="shared" si="12"/>
        <v>February</v>
      </c>
      <c r="O162" s="23">
        <v>0.96667824074074071</v>
      </c>
      <c r="P162" s="23" t="str">
        <f>_xlfn.XLOOKUP(B162,[2]customers!$A$2:$A$101,[2]customers!$C$2:$C$101)</f>
        <v>Bidhannagar</v>
      </c>
      <c r="Q162" s="20" t="s">
        <v>223</v>
      </c>
      <c r="R162" s="20" t="s">
        <v>23</v>
      </c>
      <c r="S162" s="21">
        <f t="shared" si="13"/>
        <v>4476</v>
      </c>
      <c r="T162" s="25">
        <f t="shared" si="14"/>
        <v>1</v>
      </c>
    </row>
    <row r="163" spans="1:20" x14ac:dyDescent="0.3">
      <c r="A163" s="14">
        <v>162</v>
      </c>
      <c r="B163" s="14" t="s">
        <v>127</v>
      </c>
      <c r="C163" s="14">
        <v>55</v>
      </c>
      <c r="D163" s="14" t="s">
        <v>491</v>
      </c>
      <c r="E163" s="14" t="s">
        <v>445</v>
      </c>
      <c r="F163" s="14">
        <v>3</v>
      </c>
      <c r="G163" s="15">
        <f>_xlfn.XLOOKUP(C163,[1]products!$A$2:$A$71,[1]products!$D$2:$D$71)</f>
        <v>1904</v>
      </c>
      <c r="H163" s="16">
        <v>45165</v>
      </c>
      <c r="I163" s="16" t="str">
        <f t="shared" si="10"/>
        <v>August</v>
      </c>
      <c r="J163" s="16" t="str">
        <f t="shared" si="11"/>
        <v>Sunday</v>
      </c>
      <c r="K163" s="17">
        <v>0.2600810185185185</v>
      </c>
      <c r="L163" s="16">
        <v>45174</v>
      </c>
      <c r="M163" s="18">
        <f>HOUR(orders!$K163)</f>
        <v>6</v>
      </c>
      <c r="N163" s="16" t="str">
        <f t="shared" si="12"/>
        <v>September</v>
      </c>
      <c r="O163" s="17">
        <v>0.66232638888888895</v>
      </c>
      <c r="P163" s="17" t="str">
        <f>_xlfn.XLOOKUP(B163,[2]customers!$A$2:$A$101,[2]customers!$C$2:$C$101)</f>
        <v>Imphal</v>
      </c>
      <c r="Q163" s="14" t="s">
        <v>224</v>
      </c>
      <c r="R163" s="14" t="s">
        <v>26</v>
      </c>
      <c r="S163" s="15">
        <f t="shared" si="13"/>
        <v>5712</v>
      </c>
      <c r="T163" s="19">
        <f t="shared" si="14"/>
        <v>9</v>
      </c>
    </row>
    <row r="164" spans="1:20" x14ac:dyDescent="0.3">
      <c r="A164" s="20">
        <v>163</v>
      </c>
      <c r="B164" s="20" t="s">
        <v>184</v>
      </c>
      <c r="C164" s="20">
        <v>54</v>
      </c>
      <c r="D164" s="20" t="s">
        <v>461</v>
      </c>
      <c r="E164" s="20" t="s">
        <v>431</v>
      </c>
      <c r="F164" s="20">
        <v>4</v>
      </c>
      <c r="G164" s="21">
        <f>_xlfn.XLOOKUP(C164,[1]products!$A$2:$A$71,[1]products!$D$2:$D$71)</f>
        <v>1236</v>
      </c>
      <c r="H164" s="22">
        <v>44974</v>
      </c>
      <c r="I164" s="22" t="str">
        <f t="shared" si="10"/>
        <v>February</v>
      </c>
      <c r="J164" s="22" t="str">
        <f t="shared" si="11"/>
        <v>Friday</v>
      </c>
      <c r="K164" s="23">
        <v>0.82650462962962967</v>
      </c>
      <c r="L164" s="22">
        <v>44982</v>
      </c>
      <c r="M164" s="24">
        <f>HOUR(orders!$K164)</f>
        <v>19</v>
      </c>
      <c r="N164" s="22" t="str">
        <f t="shared" si="12"/>
        <v>February</v>
      </c>
      <c r="O164" s="23">
        <v>0.4307407407407407</v>
      </c>
      <c r="P164" s="23" t="str">
        <f>_xlfn.XLOOKUP(B164,[2]customers!$A$2:$A$101,[2]customers!$C$2:$C$101)</f>
        <v>Raurkela Industrial Township</v>
      </c>
      <c r="Q164" s="20" t="s">
        <v>225</v>
      </c>
      <c r="R164" s="20" t="s">
        <v>12</v>
      </c>
      <c r="S164" s="21">
        <f t="shared" si="13"/>
        <v>4944</v>
      </c>
      <c r="T164" s="25">
        <f t="shared" si="14"/>
        <v>8</v>
      </c>
    </row>
    <row r="165" spans="1:20" x14ac:dyDescent="0.3">
      <c r="A165" s="14">
        <v>164</v>
      </c>
      <c r="B165" s="14" t="s">
        <v>64</v>
      </c>
      <c r="C165" s="14">
        <v>14</v>
      </c>
      <c r="D165" s="14" t="s">
        <v>428</v>
      </c>
      <c r="E165" s="14" t="s">
        <v>429</v>
      </c>
      <c r="F165" s="14">
        <v>5</v>
      </c>
      <c r="G165" s="15">
        <f>_xlfn.XLOOKUP(C165,[1]products!$A$2:$A$71,[1]products!$D$2:$D$71)</f>
        <v>1915</v>
      </c>
      <c r="H165" s="16">
        <v>45041</v>
      </c>
      <c r="I165" s="16" t="str">
        <f t="shared" si="10"/>
        <v>April</v>
      </c>
      <c r="J165" s="16" t="str">
        <f t="shared" si="11"/>
        <v>Tuesday</v>
      </c>
      <c r="K165" s="17">
        <v>8.6134259259259258E-2</v>
      </c>
      <c r="L165" s="16">
        <v>45043</v>
      </c>
      <c r="M165" s="18">
        <f>HOUR(orders!$K165)</f>
        <v>2</v>
      </c>
      <c r="N165" s="16" t="str">
        <f t="shared" si="12"/>
        <v>April</v>
      </c>
      <c r="O165" s="17">
        <v>0.49274305555555559</v>
      </c>
      <c r="P165" s="17" t="str">
        <f>_xlfn.XLOOKUP(B165,[2]customers!$A$2:$A$101,[2]customers!$C$2:$C$101)</f>
        <v>Jamnagar</v>
      </c>
      <c r="Q165" s="14" t="s">
        <v>171</v>
      </c>
      <c r="R165" s="14" t="s">
        <v>20</v>
      </c>
      <c r="S165" s="15">
        <f t="shared" si="13"/>
        <v>9575</v>
      </c>
      <c r="T165" s="19">
        <f t="shared" si="14"/>
        <v>2</v>
      </c>
    </row>
    <row r="166" spans="1:20" x14ac:dyDescent="0.3">
      <c r="A166" s="20">
        <v>165</v>
      </c>
      <c r="B166" s="20" t="s">
        <v>116</v>
      </c>
      <c r="C166" s="20">
        <v>40</v>
      </c>
      <c r="D166" s="20" t="s">
        <v>477</v>
      </c>
      <c r="E166" s="20" t="s">
        <v>427</v>
      </c>
      <c r="F166" s="20">
        <v>5</v>
      </c>
      <c r="G166" s="21">
        <f>_xlfn.XLOOKUP(C166,[1]products!$A$2:$A$71,[1]products!$D$2:$D$71)</f>
        <v>1923</v>
      </c>
      <c r="H166" s="22">
        <v>45144</v>
      </c>
      <c r="I166" s="22" t="str">
        <f t="shared" si="10"/>
        <v>August</v>
      </c>
      <c r="J166" s="22" t="str">
        <f t="shared" si="11"/>
        <v>Sunday</v>
      </c>
      <c r="K166" s="23">
        <v>0.54949074074074067</v>
      </c>
      <c r="L166" s="22">
        <v>45148</v>
      </c>
      <c r="M166" s="24">
        <f>HOUR(orders!$K166)</f>
        <v>13</v>
      </c>
      <c r="N166" s="22" t="str">
        <f t="shared" si="12"/>
        <v>August</v>
      </c>
      <c r="O166" s="23">
        <v>0.35918981481481477</v>
      </c>
      <c r="P166" s="23" t="str">
        <f>_xlfn.XLOOKUP(B166,[2]customers!$A$2:$A$101,[2]customers!$C$2:$C$101)</f>
        <v>Guntakal</v>
      </c>
      <c r="Q166" s="20" t="s">
        <v>226</v>
      </c>
      <c r="R166" s="20" t="s">
        <v>12</v>
      </c>
      <c r="S166" s="21">
        <f t="shared" si="13"/>
        <v>9615</v>
      </c>
      <c r="T166" s="25">
        <f t="shared" si="14"/>
        <v>4</v>
      </c>
    </row>
    <row r="167" spans="1:20" x14ac:dyDescent="0.3">
      <c r="A167" s="14">
        <v>166</v>
      </c>
      <c r="B167" s="14" t="s">
        <v>180</v>
      </c>
      <c r="C167" s="14">
        <v>4</v>
      </c>
      <c r="D167" s="14" t="s">
        <v>475</v>
      </c>
      <c r="E167" s="14" t="s">
        <v>427</v>
      </c>
      <c r="F167" s="14">
        <v>3</v>
      </c>
      <c r="G167" s="15">
        <f>_xlfn.XLOOKUP(C167,[1]products!$A$2:$A$71,[1]products!$D$2:$D$71)</f>
        <v>1199</v>
      </c>
      <c r="H167" s="16">
        <v>45237</v>
      </c>
      <c r="I167" s="16" t="str">
        <f t="shared" si="10"/>
        <v>November</v>
      </c>
      <c r="J167" s="16" t="str">
        <f t="shared" si="11"/>
        <v>Tuesday</v>
      </c>
      <c r="K167" s="17">
        <v>0.96212962962962967</v>
      </c>
      <c r="L167" s="16">
        <v>45240</v>
      </c>
      <c r="M167" s="18">
        <f>HOUR(orders!$K167)</f>
        <v>23</v>
      </c>
      <c r="N167" s="16" t="str">
        <f t="shared" si="12"/>
        <v>November</v>
      </c>
      <c r="O167" s="17">
        <v>0.25886574074074076</v>
      </c>
      <c r="P167" s="17" t="str">
        <f>_xlfn.XLOOKUP(B167,[2]customers!$A$2:$A$101,[2]customers!$C$2:$C$101)</f>
        <v>Vellore</v>
      </c>
      <c r="Q167" s="14" t="s">
        <v>227</v>
      </c>
      <c r="R167" s="14" t="s">
        <v>15</v>
      </c>
      <c r="S167" s="15">
        <f t="shared" si="13"/>
        <v>3597</v>
      </c>
      <c r="T167" s="19">
        <f t="shared" si="14"/>
        <v>3</v>
      </c>
    </row>
    <row r="168" spans="1:20" x14ac:dyDescent="0.3">
      <c r="A168" s="20">
        <v>167</v>
      </c>
      <c r="B168" s="20" t="s">
        <v>13</v>
      </c>
      <c r="C168" s="20">
        <v>37</v>
      </c>
      <c r="D168" s="20" t="s">
        <v>459</v>
      </c>
      <c r="E168" s="20" t="s">
        <v>429</v>
      </c>
      <c r="F168" s="20">
        <v>4</v>
      </c>
      <c r="G168" s="21">
        <f>_xlfn.XLOOKUP(C168,[1]products!$A$2:$A$71,[1]products!$D$2:$D$71)</f>
        <v>1428</v>
      </c>
      <c r="H168" s="22">
        <v>45234</v>
      </c>
      <c r="I168" s="22" t="str">
        <f t="shared" si="10"/>
        <v>November</v>
      </c>
      <c r="J168" s="22" t="str">
        <f t="shared" si="11"/>
        <v>Saturday</v>
      </c>
      <c r="K168" s="23">
        <v>6.0312499999999998E-2</v>
      </c>
      <c r="L168" s="22">
        <v>45237</v>
      </c>
      <c r="M168" s="24">
        <f>HOUR(orders!$K168)</f>
        <v>1</v>
      </c>
      <c r="N168" s="22" t="str">
        <f t="shared" si="12"/>
        <v>November</v>
      </c>
      <c r="O168" s="23">
        <v>0.63642361111111112</v>
      </c>
      <c r="P168" s="23" t="str">
        <f>_xlfn.XLOOKUP(B168,[2]customers!$A$2:$A$101,[2]customers!$C$2:$C$101)</f>
        <v>Danapur</v>
      </c>
      <c r="Q168" s="20" t="s">
        <v>98</v>
      </c>
      <c r="R168" s="20" t="s">
        <v>15</v>
      </c>
      <c r="S168" s="21">
        <f t="shared" si="13"/>
        <v>5712</v>
      </c>
      <c r="T168" s="25">
        <f t="shared" si="14"/>
        <v>3</v>
      </c>
    </row>
    <row r="169" spans="1:20" x14ac:dyDescent="0.3">
      <c r="A169" s="14">
        <v>168</v>
      </c>
      <c r="B169" s="14" t="s">
        <v>212</v>
      </c>
      <c r="C169" s="14">
        <v>35</v>
      </c>
      <c r="D169" s="14" t="s">
        <v>462</v>
      </c>
      <c r="E169" s="14" t="s">
        <v>429</v>
      </c>
      <c r="F169" s="14">
        <v>2</v>
      </c>
      <c r="G169" s="15">
        <f>_xlfn.XLOOKUP(C169,[1]products!$A$2:$A$71,[1]products!$D$2:$D$71)</f>
        <v>1865</v>
      </c>
      <c r="H169" s="16">
        <v>44989</v>
      </c>
      <c r="I169" s="16" t="str">
        <f t="shared" si="10"/>
        <v>March</v>
      </c>
      <c r="J169" s="16" t="str">
        <f t="shared" si="11"/>
        <v>Saturday</v>
      </c>
      <c r="K169" s="17">
        <v>0.65003472222222225</v>
      </c>
      <c r="L169" s="16">
        <v>44992</v>
      </c>
      <c r="M169" s="18">
        <f>HOUR(orders!$K169)</f>
        <v>15</v>
      </c>
      <c r="N169" s="16" t="str">
        <f t="shared" si="12"/>
        <v>March</v>
      </c>
      <c r="O169" s="17">
        <v>0.46020833333333333</v>
      </c>
      <c r="P169" s="17" t="str">
        <f>_xlfn.XLOOKUP(B169,[2]customers!$A$2:$A$101,[2]customers!$C$2:$C$101)</f>
        <v>Dibrugarh</v>
      </c>
      <c r="Q169" s="14" t="s">
        <v>213</v>
      </c>
      <c r="R169" s="14" t="s">
        <v>36</v>
      </c>
      <c r="S169" s="15">
        <f t="shared" si="13"/>
        <v>3730</v>
      </c>
      <c r="T169" s="19">
        <f t="shared" si="14"/>
        <v>3</v>
      </c>
    </row>
    <row r="170" spans="1:20" x14ac:dyDescent="0.3">
      <c r="A170" s="20">
        <v>169</v>
      </c>
      <c r="B170" s="20" t="s">
        <v>192</v>
      </c>
      <c r="C170" s="20">
        <v>3</v>
      </c>
      <c r="D170" s="20" t="s">
        <v>483</v>
      </c>
      <c r="E170" s="20" t="s">
        <v>429</v>
      </c>
      <c r="F170" s="20">
        <v>2</v>
      </c>
      <c r="G170" s="21">
        <f>_xlfn.XLOOKUP(C170,[1]products!$A$2:$A$71,[1]products!$D$2:$D$71)</f>
        <v>1534</v>
      </c>
      <c r="H170" s="22">
        <v>44963</v>
      </c>
      <c r="I170" s="22" t="str">
        <f t="shared" si="10"/>
        <v>February</v>
      </c>
      <c r="J170" s="22" t="str">
        <f t="shared" si="11"/>
        <v>Monday</v>
      </c>
      <c r="K170" s="23">
        <v>0.43677083333333333</v>
      </c>
      <c r="L170" s="22">
        <v>44973</v>
      </c>
      <c r="M170" s="24">
        <f>HOUR(orders!$K170)</f>
        <v>10</v>
      </c>
      <c r="N170" s="22" t="str">
        <f t="shared" si="12"/>
        <v>February</v>
      </c>
      <c r="O170" s="23">
        <v>5.994212962962963E-2</v>
      </c>
      <c r="P170" s="23" t="str">
        <f>_xlfn.XLOOKUP(B170,[2]customers!$A$2:$A$101,[2]customers!$C$2:$C$101)</f>
        <v>Kota</v>
      </c>
      <c r="Q170" s="20" t="s">
        <v>132</v>
      </c>
      <c r="R170" s="20" t="s">
        <v>23</v>
      </c>
      <c r="S170" s="21">
        <f t="shared" si="13"/>
        <v>3068</v>
      </c>
      <c r="T170" s="25">
        <f t="shared" si="14"/>
        <v>10</v>
      </c>
    </row>
    <row r="171" spans="1:20" x14ac:dyDescent="0.3">
      <c r="A171" s="14">
        <v>170</v>
      </c>
      <c r="B171" s="14" t="s">
        <v>24</v>
      </c>
      <c r="C171" s="14">
        <v>32</v>
      </c>
      <c r="D171" s="14" t="s">
        <v>444</v>
      </c>
      <c r="E171" s="14" t="s">
        <v>445</v>
      </c>
      <c r="F171" s="14">
        <v>2</v>
      </c>
      <c r="G171" s="15">
        <f>_xlfn.XLOOKUP(C171,[1]products!$A$2:$A$71,[1]products!$D$2:$D$71)</f>
        <v>1792</v>
      </c>
      <c r="H171" s="16">
        <v>45006</v>
      </c>
      <c r="I171" s="16" t="str">
        <f t="shared" si="10"/>
        <v>March</v>
      </c>
      <c r="J171" s="16" t="str">
        <f t="shared" si="11"/>
        <v>Tuesday</v>
      </c>
      <c r="K171" s="17">
        <v>0.49876157407407407</v>
      </c>
      <c r="L171" s="16">
        <v>45012</v>
      </c>
      <c r="M171" s="18">
        <f>HOUR(orders!$K171)</f>
        <v>11</v>
      </c>
      <c r="N171" s="16" t="str">
        <f t="shared" si="12"/>
        <v>March</v>
      </c>
      <c r="O171" s="17">
        <v>0.21813657407407408</v>
      </c>
      <c r="P171" s="17" t="str">
        <f>_xlfn.XLOOKUP(B171,[2]customers!$A$2:$A$101,[2]customers!$C$2:$C$101)</f>
        <v>Pallavaram</v>
      </c>
      <c r="Q171" s="14" t="s">
        <v>228</v>
      </c>
      <c r="R171" s="14" t="s">
        <v>20</v>
      </c>
      <c r="S171" s="15">
        <f t="shared" si="13"/>
        <v>3584</v>
      </c>
      <c r="T171" s="19">
        <f t="shared" si="14"/>
        <v>6</v>
      </c>
    </row>
    <row r="172" spans="1:20" x14ac:dyDescent="0.3">
      <c r="A172" s="20">
        <v>171</v>
      </c>
      <c r="B172" s="20" t="s">
        <v>73</v>
      </c>
      <c r="C172" s="20">
        <v>54</v>
      </c>
      <c r="D172" s="20" t="s">
        <v>461</v>
      </c>
      <c r="E172" s="20" t="s">
        <v>431</v>
      </c>
      <c r="F172" s="20">
        <v>3</v>
      </c>
      <c r="G172" s="21">
        <f>_xlfn.XLOOKUP(C172,[1]products!$A$2:$A$71,[1]products!$D$2:$D$71)</f>
        <v>1236</v>
      </c>
      <c r="H172" s="22">
        <v>45107</v>
      </c>
      <c r="I172" s="22" t="str">
        <f t="shared" si="10"/>
        <v>June</v>
      </c>
      <c r="J172" s="22" t="str">
        <f t="shared" si="11"/>
        <v>Friday</v>
      </c>
      <c r="K172" s="23">
        <v>0.49153935185185182</v>
      </c>
      <c r="L172" s="22">
        <v>45115</v>
      </c>
      <c r="M172" s="24">
        <f>HOUR(orders!$K172)</f>
        <v>11</v>
      </c>
      <c r="N172" s="22" t="str">
        <f t="shared" si="12"/>
        <v>July</v>
      </c>
      <c r="O172" s="23">
        <v>0.51881944444444439</v>
      </c>
      <c r="P172" s="23" t="str">
        <f>_xlfn.XLOOKUP(B172,[2]customers!$A$2:$A$101,[2]customers!$C$2:$C$101)</f>
        <v>Tiruppur</v>
      </c>
      <c r="Q172" s="20" t="s">
        <v>229</v>
      </c>
      <c r="R172" s="20" t="s">
        <v>12</v>
      </c>
      <c r="S172" s="21">
        <f t="shared" si="13"/>
        <v>3708</v>
      </c>
      <c r="T172" s="25">
        <f t="shared" si="14"/>
        <v>8</v>
      </c>
    </row>
    <row r="173" spans="1:20" x14ac:dyDescent="0.3">
      <c r="A173" s="14">
        <v>172</v>
      </c>
      <c r="B173" s="14" t="s">
        <v>194</v>
      </c>
      <c r="C173" s="14">
        <v>62</v>
      </c>
      <c r="D173" s="14" t="s">
        <v>442</v>
      </c>
      <c r="E173" s="14" t="s">
        <v>429</v>
      </c>
      <c r="F173" s="14">
        <v>4</v>
      </c>
      <c r="G173" s="15">
        <f>_xlfn.XLOOKUP(C173,[1]products!$A$2:$A$71,[1]products!$D$2:$D$71)</f>
        <v>1356</v>
      </c>
      <c r="H173" s="16">
        <v>44988</v>
      </c>
      <c r="I173" s="16" t="str">
        <f t="shared" si="10"/>
        <v>March</v>
      </c>
      <c r="J173" s="16" t="str">
        <f t="shared" si="11"/>
        <v>Friday</v>
      </c>
      <c r="K173" s="17">
        <v>0.19449074074074071</v>
      </c>
      <c r="L173" s="16">
        <v>44993</v>
      </c>
      <c r="M173" s="18">
        <f>HOUR(orders!$K173)</f>
        <v>4</v>
      </c>
      <c r="N173" s="16" t="str">
        <f t="shared" si="12"/>
        <v>March</v>
      </c>
      <c r="O173" s="17">
        <v>0.21721064814814817</v>
      </c>
      <c r="P173" s="17" t="str">
        <f>_xlfn.XLOOKUP(B173,[2]customers!$A$2:$A$101,[2]customers!$C$2:$C$101)</f>
        <v>Bhatpara</v>
      </c>
      <c r="Q173" s="14" t="s">
        <v>230</v>
      </c>
      <c r="R173" s="14" t="s">
        <v>36</v>
      </c>
      <c r="S173" s="15">
        <f t="shared" si="13"/>
        <v>5424</v>
      </c>
      <c r="T173" s="19">
        <f t="shared" si="14"/>
        <v>5</v>
      </c>
    </row>
    <row r="174" spans="1:20" x14ac:dyDescent="0.3">
      <c r="A174" s="20">
        <v>173</v>
      </c>
      <c r="B174" s="20" t="s">
        <v>47</v>
      </c>
      <c r="C174" s="20">
        <v>58</v>
      </c>
      <c r="D174" s="20" t="s">
        <v>430</v>
      </c>
      <c r="E174" s="20" t="s">
        <v>431</v>
      </c>
      <c r="F174" s="20">
        <v>2</v>
      </c>
      <c r="G174" s="21">
        <f>_xlfn.XLOOKUP(C174,[1]products!$A$2:$A$71,[1]products!$D$2:$D$71)</f>
        <v>1492</v>
      </c>
      <c r="H174" s="22">
        <v>44964</v>
      </c>
      <c r="I174" s="22" t="str">
        <f t="shared" si="10"/>
        <v>February</v>
      </c>
      <c r="J174" s="22" t="str">
        <f t="shared" si="11"/>
        <v>Tuesday</v>
      </c>
      <c r="K174" s="23">
        <v>0.96917824074074066</v>
      </c>
      <c r="L174" s="22">
        <v>44970</v>
      </c>
      <c r="M174" s="24">
        <f>HOUR(orders!$K174)</f>
        <v>23</v>
      </c>
      <c r="N174" s="22" t="str">
        <f t="shared" si="12"/>
        <v>February</v>
      </c>
      <c r="O174" s="23">
        <v>7.7696759259259257E-2</v>
      </c>
      <c r="P174" s="23" t="str">
        <f>_xlfn.XLOOKUP(B174,[2]customers!$A$2:$A$101,[2]customers!$C$2:$C$101)</f>
        <v>Hyderabad</v>
      </c>
      <c r="Q174" s="20" t="s">
        <v>231</v>
      </c>
      <c r="R174" s="20" t="s">
        <v>23</v>
      </c>
      <c r="S174" s="21">
        <f t="shared" si="13"/>
        <v>2984</v>
      </c>
      <c r="T174" s="25">
        <f t="shared" si="14"/>
        <v>6</v>
      </c>
    </row>
    <row r="175" spans="1:20" x14ac:dyDescent="0.3">
      <c r="A175" s="14">
        <v>174</v>
      </c>
      <c r="B175" s="14" t="s">
        <v>182</v>
      </c>
      <c r="C175" s="14">
        <v>4</v>
      </c>
      <c r="D175" s="14" t="s">
        <v>475</v>
      </c>
      <c r="E175" s="14" t="s">
        <v>427</v>
      </c>
      <c r="F175" s="14">
        <v>3</v>
      </c>
      <c r="G175" s="15">
        <f>_xlfn.XLOOKUP(C175,[1]products!$A$2:$A$71,[1]products!$D$2:$D$71)</f>
        <v>1199</v>
      </c>
      <c r="H175" s="16">
        <v>45233</v>
      </c>
      <c r="I175" s="16" t="str">
        <f t="shared" si="10"/>
        <v>November</v>
      </c>
      <c r="J175" s="16" t="str">
        <f t="shared" si="11"/>
        <v>Friday</v>
      </c>
      <c r="K175" s="17">
        <v>0.65231481481481479</v>
      </c>
      <c r="L175" s="16">
        <v>45243</v>
      </c>
      <c r="M175" s="18">
        <f>HOUR(orders!$K175)</f>
        <v>15</v>
      </c>
      <c r="N175" s="16" t="str">
        <f t="shared" si="12"/>
        <v>November</v>
      </c>
      <c r="O175" s="17">
        <v>0.75469907407407411</v>
      </c>
      <c r="P175" s="17" t="str">
        <f>_xlfn.XLOOKUP(B175,[2]customers!$A$2:$A$101,[2]customers!$C$2:$C$101)</f>
        <v>Guntakal</v>
      </c>
      <c r="Q175" s="14" t="s">
        <v>148</v>
      </c>
      <c r="R175" s="14" t="s">
        <v>15</v>
      </c>
      <c r="S175" s="15">
        <f t="shared" si="13"/>
        <v>3597</v>
      </c>
      <c r="T175" s="19">
        <f t="shared" si="14"/>
        <v>10</v>
      </c>
    </row>
    <row r="176" spans="1:20" x14ac:dyDescent="0.3">
      <c r="A176" s="20">
        <v>175</v>
      </c>
      <c r="B176" s="20" t="s">
        <v>40</v>
      </c>
      <c r="C176" s="20">
        <v>31</v>
      </c>
      <c r="D176" s="20" t="s">
        <v>474</v>
      </c>
      <c r="E176" s="20" t="s">
        <v>429</v>
      </c>
      <c r="F176" s="20">
        <v>1</v>
      </c>
      <c r="G176" s="21">
        <f>_xlfn.XLOOKUP(C176,[1]products!$A$2:$A$71,[1]products!$D$2:$D$71)</f>
        <v>1804</v>
      </c>
      <c r="H176" s="22">
        <v>45212</v>
      </c>
      <c r="I176" s="22" t="str">
        <f t="shared" si="10"/>
        <v>October</v>
      </c>
      <c r="J176" s="22" t="str">
        <f t="shared" si="11"/>
        <v>Friday</v>
      </c>
      <c r="K176" s="23">
        <v>5.4016203703703712E-2</v>
      </c>
      <c r="L176" s="22">
        <v>45219</v>
      </c>
      <c r="M176" s="24">
        <f>HOUR(orders!$K176)</f>
        <v>1</v>
      </c>
      <c r="N176" s="22" t="str">
        <f t="shared" si="12"/>
        <v>October</v>
      </c>
      <c r="O176" s="23">
        <v>0.30754629629629632</v>
      </c>
      <c r="P176" s="23" t="str">
        <f>_xlfn.XLOOKUP(B176,[2]customers!$A$2:$A$101,[2]customers!$C$2:$C$101)</f>
        <v>Ajmer</v>
      </c>
      <c r="Q176" s="20" t="s">
        <v>232</v>
      </c>
      <c r="R176" s="20" t="s">
        <v>60</v>
      </c>
      <c r="S176" s="21">
        <f t="shared" si="13"/>
        <v>1804</v>
      </c>
      <c r="T176" s="25">
        <f t="shared" si="14"/>
        <v>7</v>
      </c>
    </row>
    <row r="177" spans="1:20" x14ac:dyDescent="0.3">
      <c r="A177" s="14">
        <v>176</v>
      </c>
      <c r="B177" s="14" t="s">
        <v>159</v>
      </c>
      <c r="C177" s="14">
        <v>17</v>
      </c>
      <c r="D177" s="14" t="s">
        <v>455</v>
      </c>
      <c r="E177" s="14" t="s">
        <v>445</v>
      </c>
      <c r="F177" s="14">
        <v>2</v>
      </c>
      <c r="G177" s="15">
        <f>_xlfn.XLOOKUP(C177,[1]products!$A$2:$A$71,[1]products!$D$2:$D$71)</f>
        <v>1899</v>
      </c>
      <c r="H177" s="16">
        <v>44995</v>
      </c>
      <c r="I177" s="16" t="str">
        <f t="shared" si="10"/>
        <v>March</v>
      </c>
      <c r="J177" s="16" t="str">
        <f t="shared" si="11"/>
        <v>Friday</v>
      </c>
      <c r="K177" s="17">
        <v>0.14914351851851851</v>
      </c>
      <c r="L177" s="16">
        <v>45001</v>
      </c>
      <c r="M177" s="18">
        <f>HOUR(orders!$K177)</f>
        <v>3</v>
      </c>
      <c r="N177" s="16" t="str">
        <f t="shared" si="12"/>
        <v>March</v>
      </c>
      <c r="O177" s="17">
        <v>0.72559027777777774</v>
      </c>
      <c r="P177" s="17" t="str">
        <f>_xlfn.XLOOKUP(B177,[2]customers!$A$2:$A$101,[2]customers!$C$2:$C$101)</f>
        <v>Kamarhati</v>
      </c>
      <c r="Q177" s="14" t="s">
        <v>48</v>
      </c>
      <c r="R177" s="14" t="s">
        <v>12</v>
      </c>
      <c r="S177" s="15">
        <f t="shared" si="13"/>
        <v>3798</v>
      </c>
      <c r="T177" s="19">
        <f t="shared" si="14"/>
        <v>6</v>
      </c>
    </row>
    <row r="178" spans="1:20" x14ac:dyDescent="0.3">
      <c r="A178" s="20">
        <v>177</v>
      </c>
      <c r="B178" s="20" t="s">
        <v>233</v>
      </c>
      <c r="C178" s="20">
        <v>62</v>
      </c>
      <c r="D178" s="20" t="s">
        <v>442</v>
      </c>
      <c r="E178" s="20" t="s">
        <v>429</v>
      </c>
      <c r="F178" s="20">
        <v>4</v>
      </c>
      <c r="G178" s="21">
        <f>_xlfn.XLOOKUP(C178,[1]products!$A$2:$A$71,[1]products!$D$2:$D$71)</f>
        <v>1356</v>
      </c>
      <c r="H178" s="22">
        <v>44990</v>
      </c>
      <c r="I178" s="22" t="str">
        <f t="shared" si="10"/>
        <v>March</v>
      </c>
      <c r="J178" s="22" t="str">
        <f t="shared" si="11"/>
        <v>Sunday</v>
      </c>
      <c r="K178" s="23">
        <v>7.5833333333333336E-2</v>
      </c>
      <c r="L178" s="22">
        <v>44992</v>
      </c>
      <c r="M178" s="24">
        <f>HOUR(orders!$K178)</f>
        <v>1</v>
      </c>
      <c r="N178" s="22" t="str">
        <f t="shared" si="12"/>
        <v>March</v>
      </c>
      <c r="O178" s="23">
        <v>0.61854166666666666</v>
      </c>
      <c r="P178" s="23" t="str">
        <f>_xlfn.XLOOKUP(B178,[2]customers!$A$2:$A$101,[2]customers!$C$2:$C$101)</f>
        <v>Raipur</v>
      </c>
      <c r="Q178" s="20" t="s">
        <v>195</v>
      </c>
      <c r="R178" s="20" t="s">
        <v>36</v>
      </c>
      <c r="S178" s="21">
        <f t="shared" si="13"/>
        <v>5424</v>
      </c>
      <c r="T178" s="25">
        <f t="shared" si="14"/>
        <v>2</v>
      </c>
    </row>
    <row r="179" spans="1:20" x14ac:dyDescent="0.3">
      <c r="A179" s="14">
        <v>178</v>
      </c>
      <c r="B179" s="14" t="s">
        <v>29</v>
      </c>
      <c r="C179" s="14">
        <v>61</v>
      </c>
      <c r="D179" s="14" t="s">
        <v>464</v>
      </c>
      <c r="E179" s="14" t="s">
        <v>447</v>
      </c>
      <c r="F179" s="14">
        <v>1</v>
      </c>
      <c r="G179" s="15">
        <f>_xlfn.XLOOKUP(C179,[1]products!$A$2:$A$71,[1]products!$D$2:$D$71)</f>
        <v>810</v>
      </c>
      <c r="H179" s="16">
        <v>45244</v>
      </c>
      <c r="I179" s="16" t="str">
        <f t="shared" si="10"/>
        <v>November</v>
      </c>
      <c r="J179" s="16" t="str">
        <f t="shared" si="11"/>
        <v>Tuesday</v>
      </c>
      <c r="K179" s="17">
        <v>0.96146990740740745</v>
      </c>
      <c r="L179" s="16">
        <v>45246</v>
      </c>
      <c r="M179" s="18">
        <f>HOUR(orders!$K179)</f>
        <v>23</v>
      </c>
      <c r="N179" s="16" t="str">
        <f t="shared" si="12"/>
        <v>November</v>
      </c>
      <c r="O179" s="17">
        <v>9.3321759259259271E-2</v>
      </c>
      <c r="P179" s="17" t="str">
        <f>_xlfn.XLOOKUP(B179,[2]customers!$A$2:$A$101,[2]customers!$C$2:$C$101)</f>
        <v>Sri Ganganagar</v>
      </c>
      <c r="Q179" s="14" t="s">
        <v>234</v>
      </c>
      <c r="R179" s="14" t="s">
        <v>12</v>
      </c>
      <c r="S179" s="15">
        <f t="shared" si="13"/>
        <v>810</v>
      </c>
      <c r="T179" s="19">
        <f t="shared" si="14"/>
        <v>2</v>
      </c>
    </row>
    <row r="180" spans="1:20" x14ac:dyDescent="0.3">
      <c r="A180" s="20">
        <v>179</v>
      </c>
      <c r="B180" s="20" t="s">
        <v>21</v>
      </c>
      <c r="C180" s="20">
        <v>47</v>
      </c>
      <c r="D180" s="20" t="s">
        <v>480</v>
      </c>
      <c r="E180" s="20" t="s">
        <v>429</v>
      </c>
      <c r="F180" s="20">
        <v>3</v>
      </c>
      <c r="G180" s="21">
        <f>_xlfn.XLOOKUP(C180,[1]products!$A$2:$A$71,[1]products!$D$2:$D$71)</f>
        <v>1638</v>
      </c>
      <c r="H180" s="22">
        <v>44985</v>
      </c>
      <c r="I180" s="22" t="str">
        <f t="shared" si="10"/>
        <v>February</v>
      </c>
      <c r="J180" s="22" t="str">
        <f t="shared" si="11"/>
        <v>Tuesday</v>
      </c>
      <c r="K180" s="23">
        <v>0.63613425925925926</v>
      </c>
      <c r="L180" s="22">
        <v>44995</v>
      </c>
      <c r="M180" s="24">
        <f>HOUR(orders!$K180)</f>
        <v>15</v>
      </c>
      <c r="N180" s="22" t="str">
        <f t="shared" si="12"/>
        <v>March</v>
      </c>
      <c r="O180" s="23">
        <v>0.60494212962962968</v>
      </c>
      <c r="P180" s="23" t="str">
        <f>_xlfn.XLOOKUP(B180,[2]customers!$A$2:$A$101,[2]customers!$C$2:$C$101)</f>
        <v>Bhubaneswar</v>
      </c>
      <c r="Q180" s="20" t="s">
        <v>49</v>
      </c>
      <c r="R180" s="20" t="s">
        <v>36</v>
      </c>
      <c r="S180" s="21">
        <f t="shared" si="13"/>
        <v>4914</v>
      </c>
      <c r="T180" s="25">
        <f t="shared" si="14"/>
        <v>10</v>
      </c>
    </row>
    <row r="181" spans="1:20" x14ac:dyDescent="0.3">
      <c r="A181" s="14">
        <v>180</v>
      </c>
      <c r="B181" s="14" t="s">
        <v>116</v>
      </c>
      <c r="C181" s="14">
        <v>55</v>
      </c>
      <c r="D181" s="14" t="s">
        <v>491</v>
      </c>
      <c r="E181" s="14" t="s">
        <v>445</v>
      </c>
      <c r="F181" s="14">
        <v>2</v>
      </c>
      <c r="G181" s="15">
        <f>_xlfn.XLOOKUP(C181,[1]products!$A$2:$A$71,[1]products!$D$2:$D$71)</f>
        <v>1904</v>
      </c>
      <c r="H181" s="16">
        <v>45162</v>
      </c>
      <c r="I181" s="16" t="str">
        <f t="shared" si="10"/>
        <v>August</v>
      </c>
      <c r="J181" s="16" t="str">
        <f t="shared" si="11"/>
        <v>Thursday</v>
      </c>
      <c r="K181" s="17">
        <v>0.69482638888888892</v>
      </c>
      <c r="L181" s="16">
        <v>45165</v>
      </c>
      <c r="M181" s="18">
        <f>HOUR(orders!$K181)</f>
        <v>16</v>
      </c>
      <c r="N181" s="16" t="str">
        <f t="shared" si="12"/>
        <v>August</v>
      </c>
      <c r="O181" s="17">
        <v>0.36474537037037041</v>
      </c>
      <c r="P181" s="17" t="str">
        <f>_xlfn.XLOOKUP(B181,[2]customers!$A$2:$A$101,[2]customers!$C$2:$C$101)</f>
        <v>Guntakal</v>
      </c>
      <c r="Q181" s="14" t="s">
        <v>235</v>
      </c>
      <c r="R181" s="14" t="s">
        <v>26</v>
      </c>
      <c r="S181" s="15">
        <f t="shared" si="13"/>
        <v>3808</v>
      </c>
      <c r="T181" s="19">
        <f t="shared" si="14"/>
        <v>3</v>
      </c>
    </row>
    <row r="182" spans="1:20" x14ac:dyDescent="0.3">
      <c r="A182" s="20">
        <v>181</v>
      </c>
      <c r="B182" s="20" t="s">
        <v>67</v>
      </c>
      <c r="C182" s="20">
        <v>10</v>
      </c>
      <c r="D182" s="20" t="s">
        <v>452</v>
      </c>
      <c r="E182" s="20" t="s">
        <v>431</v>
      </c>
      <c r="F182" s="20">
        <v>4</v>
      </c>
      <c r="G182" s="21">
        <f>_xlfn.XLOOKUP(C182,[1]products!$A$2:$A$71,[1]products!$D$2:$D$71)</f>
        <v>259</v>
      </c>
      <c r="H182" s="22">
        <v>45166</v>
      </c>
      <c r="I182" s="22" t="str">
        <f t="shared" si="10"/>
        <v>August</v>
      </c>
      <c r="J182" s="22" t="str">
        <f t="shared" si="11"/>
        <v>Monday</v>
      </c>
      <c r="K182" s="23">
        <v>0.24678240740740742</v>
      </c>
      <c r="L182" s="22">
        <v>45175</v>
      </c>
      <c r="M182" s="24">
        <f>HOUR(orders!$K182)</f>
        <v>5</v>
      </c>
      <c r="N182" s="22" t="str">
        <f t="shared" si="12"/>
        <v>September</v>
      </c>
      <c r="O182" s="23">
        <v>0.20379629629629628</v>
      </c>
      <c r="P182" s="23" t="str">
        <f>_xlfn.XLOOKUP(B182,[2]customers!$A$2:$A$101,[2]customers!$C$2:$C$101)</f>
        <v>Srikakulam</v>
      </c>
      <c r="Q182" s="20" t="s">
        <v>178</v>
      </c>
      <c r="R182" s="20" t="s">
        <v>20</v>
      </c>
      <c r="S182" s="21">
        <f t="shared" si="13"/>
        <v>1036</v>
      </c>
      <c r="T182" s="25">
        <f t="shared" si="14"/>
        <v>9</v>
      </c>
    </row>
    <row r="183" spans="1:20" x14ac:dyDescent="0.3">
      <c r="A183" s="14">
        <v>182</v>
      </c>
      <c r="B183" s="14" t="s">
        <v>194</v>
      </c>
      <c r="C183" s="14">
        <v>2</v>
      </c>
      <c r="D183" s="14" t="s">
        <v>481</v>
      </c>
      <c r="E183" s="14" t="s">
        <v>447</v>
      </c>
      <c r="F183" s="14">
        <v>1</v>
      </c>
      <c r="G183" s="15">
        <f>_xlfn.XLOOKUP(C183,[1]products!$A$2:$A$71,[1]products!$D$2:$D$71)</f>
        <v>441</v>
      </c>
      <c r="H183" s="16">
        <v>44965</v>
      </c>
      <c r="I183" s="16" t="str">
        <f t="shared" si="10"/>
        <v>February</v>
      </c>
      <c r="J183" s="16" t="str">
        <f t="shared" si="11"/>
        <v>Wednesday</v>
      </c>
      <c r="K183" s="17">
        <v>0.97326388888888893</v>
      </c>
      <c r="L183" s="16">
        <v>44972</v>
      </c>
      <c r="M183" s="18">
        <f>HOUR(orders!$K183)</f>
        <v>23</v>
      </c>
      <c r="N183" s="16" t="str">
        <f t="shared" si="12"/>
        <v>February</v>
      </c>
      <c r="O183" s="17">
        <v>0.25524305555555554</v>
      </c>
      <c r="P183" s="17" t="str">
        <f>_xlfn.XLOOKUP(B183,[2]customers!$A$2:$A$101,[2]customers!$C$2:$C$101)</f>
        <v>Bhatpara</v>
      </c>
      <c r="Q183" s="14" t="s">
        <v>236</v>
      </c>
      <c r="R183" s="14" t="s">
        <v>23</v>
      </c>
      <c r="S183" s="15">
        <f t="shared" si="13"/>
        <v>441</v>
      </c>
      <c r="T183" s="19">
        <f t="shared" si="14"/>
        <v>7</v>
      </c>
    </row>
    <row r="184" spans="1:20" x14ac:dyDescent="0.3">
      <c r="A184" s="20">
        <v>183</v>
      </c>
      <c r="B184" s="20" t="s">
        <v>167</v>
      </c>
      <c r="C184" s="20">
        <v>48</v>
      </c>
      <c r="D184" s="20" t="s">
        <v>460</v>
      </c>
      <c r="E184" s="20" t="s">
        <v>429</v>
      </c>
      <c r="F184" s="20">
        <v>3</v>
      </c>
      <c r="G184" s="21">
        <f>_xlfn.XLOOKUP(C184,[1]products!$A$2:$A$71,[1]products!$D$2:$D$71)</f>
        <v>433</v>
      </c>
      <c r="H184" s="22">
        <v>45239</v>
      </c>
      <c r="I184" s="22" t="str">
        <f t="shared" si="10"/>
        <v>November</v>
      </c>
      <c r="J184" s="22" t="str">
        <f t="shared" si="11"/>
        <v>Thursday</v>
      </c>
      <c r="K184" s="23">
        <v>0.7581134259259259</v>
      </c>
      <c r="L184" s="22">
        <v>45241</v>
      </c>
      <c r="M184" s="24">
        <f>HOUR(orders!$K184)</f>
        <v>18</v>
      </c>
      <c r="N184" s="22" t="str">
        <f t="shared" si="12"/>
        <v>November</v>
      </c>
      <c r="O184" s="23">
        <v>0.64543981481481483</v>
      </c>
      <c r="P184" s="23" t="str">
        <f>_xlfn.XLOOKUP(B184,[2]customers!$A$2:$A$101,[2]customers!$C$2:$C$101)</f>
        <v>Ahmednagar</v>
      </c>
      <c r="Q184" s="20" t="s">
        <v>237</v>
      </c>
      <c r="R184" s="20" t="s">
        <v>15</v>
      </c>
      <c r="S184" s="21">
        <f t="shared" si="13"/>
        <v>1299</v>
      </c>
      <c r="T184" s="25">
        <f t="shared" si="14"/>
        <v>2</v>
      </c>
    </row>
    <row r="185" spans="1:20" x14ac:dyDescent="0.3">
      <c r="A185" s="14">
        <v>184</v>
      </c>
      <c r="B185" s="14" t="s">
        <v>238</v>
      </c>
      <c r="C185" s="14">
        <v>52</v>
      </c>
      <c r="D185" s="14" t="s">
        <v>443</v>
      </c>
      <c r="E185" s="14" t="s">
        <v>26</v>
      </c>
      <c r="F185" s="14">
        <v>3</v>
      </c>
      <c r="G185" s="15">
        <f>_xlfn.XLOOKUP(C185,[1]products!$A$2:$A$71,[1]products!$D$2:$D$71)</f>
        <v>236</v>
      </c>
      <c r="H185" s="16">
        <v>44968</v>
      </c>
      <c r="I185" s="16" t="str">
        <f t="shared" si="10"/>
        <v>February</v>
      </c>
      <c r="J185" s="16" t="str">
        <f t="shared" si="11"/>
        <v>Saturday</v>
      </c>
      <c r="K185" s="17">
        <v>0.89922453703703698</v>
      </c>
      <c r="L185" s="16">
        <v>44977</v>
      </c>
      <c r="M185" s="18">
        <f>HOUR(orders!$K185)</f>
        <v>21</v>
      </c>
      <c r="N185" s="16" t="str">
        <f t="shared" si="12"/>
        <v>February</v>
      </c>
      <c r="O185" s="17">
        <v>0.2086689814814815</v>
      </c>
      <c r="P185" s="17" t="str">
        <f>_xlfn.XLOOKUP(B185,[2]customers!$A$2:$A$101,[2]customers!$C$2:$C$101)</f>
        <v>Serampore</v>
      </c>
      <c r="Q185" s="14" t="s">
        <v>191</v>
      </c>
      <c r="R185" s="14" t="s">
        <v>23</v>
      </c>
      <c r="S185" s="15">
        <f t="shared" si="13"/>
        <v>708</v>
      </c>
      <c r="T185" s="19">
        <f t="shared" si="14"/>
        <v>9</v>
      </c>
    </row>
    <row r="186" spans="1:20" x14ac:dyDescent="0.3">
      <c r="A186" s="20">
        <v>185</v>
      </c>
      <c r="B186" s="20" t="s">
        <v>239</v>
      </c>
      <c r="C186" s="20">
        <v>18</v>
      </c>
      <c r="D186" s="20" t="s">
        <v>484</v>
      </c>
      <c r="E186" s="20" t="s">
        <v>447</v>
      </c>
      <c r="F186" s="20">
        <v>1</v>
      </c>
      <c r="G186" s="21">
        <f>_xlfn.XLOOKUP(C186,[1]products!$A$2:$A$71,[1]products!$D$2:$D$71)</f>
        <v>781</v>
      </c>
      <c r="H186" s="22">
        <v>45053</v>
      </c>
      <c r="I186" s="22" t="str">
        <f t="shared" si="10"/>
        <v>May</v>
      </c>
      <c r="J186" s="22" t="str">
        <f t="shared" si="11"/>
        <v>Sunday</v>
      </c>
      <c r="K186" s="23">
        <v>0.29913194444444441</v>
      </c>
      <c r="L186" s="22">
        <v>45063</v>
      </c>
      <c r="M186" s="24">
        <f>HOUR(orders!$K186)</f>
        <v>7</v>
      </c>
      <c r="N186" s="22" t="str">
        <f t="shared" si="12"/>
        <v>May</v>
      </c>
      <c r="O186" s="23">
        <v>0.8338310185185186</v>
      </c>
      <c r="P186" s="23" t="str">
        <f>_xlfn.XLOOKUP(B186,[2]customers!$A$2:$A$101,[2]customers!$C$2:$C$101)</f>
        <v>Kalyan-Dombivli</v>
      </c>
      <c r="Q186" s="20" t="s">
        <v>240</v>
      </c>
      <c r="R186" s="20" t="s">
        <v>20</v>
      </c>
      <c r="S186" s="21">
        <f t="shared" si="13"/>
        <v>781</v>
      </c>
      <c r="T186" s="25">
        <f t="shared" si="14"/>
        <v>10</v>
      </c>
    </row>
    <row r="187" spans="1:20" x14ac:dyDescent="0.3">
      <c r="A187" s="14">
        <v>186</v>
      </c>
      <c r="B187" s="14" t="s">
        <v>182</v>
      </c>
      <c r="C187" s="14">
        <v>61</v>
      </c>
      <c r="D187" s="14" t="s">
        <v>464</v>
      </c>
      <c r="E187" s="14" t="s">
        <v>447</v>
      </c>
      <c r="F187" s="14">
        <v>1</v>
      </c>
      <c r="G187" s="15">
        <f>_xlfn.XLOOKUP(C187,[1]products!$A$2:$A$71,[1]products!$D$2:$D$71)</f>
        <v>810</v>
      </c>
      <c r="H187" s="16">
        <v>45055</v>
      </c>
      <c r="I187" s="16" t="str">
        <f t="shared" si="10"/>
        <v>May</v>
      </c>
      <c r="J187" s="16" t="str">
        <f t="shared" si="11"/>
        <v>Tuesday</v>
      </c>
      <c r="K187" s="17">
        <v>0.3817592592592593</v>
      </c>
      <c r="L187" s="16">
        <v>45057</v>
      </c>
      <c r="M187" s="18">
        <f>HOUR(orders!$K187)</f>
        <v>9</v>
      </c>
      <c r="N187" s="16" t="str">
        <f t="shared" si="12"/>
        <v>May</v>
      </c>
      <c r="O187" s="17">
        <v>1.1377314814814814E-2</v>
      </c>
      <c r="P187" s="17" t="str">
        <f>_xlfn.XLOOKUP(B187,[2]customers!$A$2:$A$101,[2]customers!$C$2:$C$101)</f>
        <v>Guntakal</v>
      </c>
      <c r="Q187" s="14" t="s">
        <v>68</v>
      </c>
      <c r="R187" s="14" t="s">
        <v>12</v>
      </c>
      <c r="S187" s="15">
        <f t="shared" si="13"/>
        <v>810</v>
      </c>
      <c r="T187" s="19">
        <f t="shared" si="14"/>
        <v>2</v>
      </c>
    </row>
    <row r="188" spans="1:20" x14ac:dyDescent="0.3">
      <c r="A188" s="20">
        <v>187</v>
      </c>
      <c r="B188" s="20" t="s">
        <v>140</v>
      </c>
      <c r="C188" s="20">
        <v>49</v>
      </c>
      <c r="D188" s="20" t="s">
        <v>463</v>
      </c>
      <c r="E188" s="20" t="s">
        <v>429</v>
      </c>
      <c r="F188" s="20">
        <v>5</v>
      </c>
      <c r="G188" s="21">
        <f>_xlfn.XLOOKUP(C188,[1]products!$A$2:$A$71,[1]products!$D$2:$D$71)</f>
        <v>903</v>
      </c>
      <c r="H188" s="22">
        <v>44968</v>
      </c>
      <c r="I188" s="22" t="str">
        <f t="shared" si="10"/>
        <v>February</v>
      </c>
      <c r="J188" s="22" t="str">
        <f t="shared" si="11"/>
        <v>Saturday</v>
      </c>
      <c r="K188" s="23">
        <v>0.88241898148148146</v>
      </c>
      <c r="L188" s="22">
        <v>44973</v>
      </c>
      <c r="M188" s="24">
        <f>HOUR(orders!$K188)</f>
        <v>21</v>
      </c>
      <c r="N188" s="22" t="str">
        <f t="shared" si="12"/>
        <v>February</v>
      </c>
      <c r="O188" s="23">
        <v>0.39871527777777777</v>
      </c>
      <c r="P188" s="23" t="str">
        <f>_xlfn.XLOOKUP(B188,[2]customers!$A$2:$A$101,[2]customers!$C$2:$C$101)</f>
        <v>Chinsurah</v>
      </c>
      <c r="Q188" s="20" t="s">
        <v>241</v>
      </c>
      <c r="R188" s="20" t="s">
        <v>23</v>
      </c>
      <c r="S188" s="21">
        <f t="shared" si="13"/>
        <v>4515</v>
      </c>
      <c r="T188" s="25">
        <f t="shared" si="14"/>
        <v>5</v>
      </c>
    </row>
    <row r="189" spans="1:20" x14ac:dyDescent="0.3">
      <c r="A189" s="14">
        <v>188</v>
      </c>
      <c r="B189" s="14" t="s">
        <v>80</v>
      </c>
      <c r="C189" s="14">
        <v>22</v>
      </c>
      <c r="D189" s="14" t="s">
        <v>465</v>
      </c>
      <c r="E189" s="14" t="s">
        <v>445</v>
      </c>
      <c r="F189" s="14">
        <v>5</v>
      </c>
      <c r="G189" s="15">
        <f>_xlfn.XLOOKUP(C189,[1]products!$A$2:$A$71,[1]products!$D$2:$D$71)</f>
        <v>1639</v>
      </c>
      <c r="H189" s="16">
        <v>45187</v>
      </c>
      <c r="I189" s="16" t="str">
        <f t="shared" si="10"/>
        <v>September</v>
      </c>
      <c r="J189" s="16" t="str">
        <f t="shared" si="11"/>
        <v>Monday</v>
      </c>
      <c r="K189" s="17">
        <v>6.8437499999999998E-2</v>
      </c>
      <c r="L189" s="16">
        <v>45194</v>
      </c>
      <c r="M189" s="18">
        <f>HOUR(orders!$K189)</f>
        <v>1</v>
      </c>
      <c r="N189" s="16" t="str">
        <f t="shared" si="12"/>
        <v>September</v>
      </c>
      <c r="O189" s="17">
        <v>0.58486111111111116</v>
      </c>
      <c r="P189" s="17" t="str">
        <f>_xlfn.XLOOKUP(B189,[2]customers!$A$2:$A$101,[2]customers!$C$2:$C$101)</f>
        <v>Anand</v>
      </c>
      <c r="Q189" s="14" t="s">
        <v>242</v>
      </c>
      <c r="R189" s="14" t="s">
        <v>60</v>
      </c>
      <c r="S189" s="15">
        <f t="shared" si="13"/>
        <v>8195</v>
      </c>
      <c r="T189" s="19">
        <f t="shared" si="14"/>
        <v>7</v>
      </c>
    </row>
    <row r="190" spans="1:20" x14ac:dyDescent="0.3">
      <c r="A190" s="20">
        <v>189</v>
      </c>
      <c r="B190" s="20" t="s">
        <v>243</v>
      </c>
      <c r="C190" s="20">
        <v>57</v>
      </c>
      <c r="D190" s="20" t="s">
        <v>488</v>
      </c>
      <c r="E190" s="20" t="s">
        <v>429</v>
      </c>
      <c r="F190" s="20">
        <v>1</v>
      </c>
      <c r="G190" s="21">
        <f>_xlfn.XLOOKUP(C190,[1]products!$A$2:$A$71,[1]products!$D$2:$D$71)</f>
        <v>1582</v>
      </c>
      <c r="H190" s="22">
        <v>45249</v>
      </c>
      <c r="I190" s="22" t="str">
        <f t="shared" si="10"/>
        <v>November</v>
      </c>
      <c r="J190" s="22" t="str">
        <f t="shared" si="11"/>
        <v>Sunday</v>
      </c>
      <c r="K190" s="23">
        <v>0.7238310185185185</v>
      </c>
      <c r="L190" s="22">
        <v>45252</v>
      </c>
      <c r="M190" s="24">
        <f>HOUR(orders!$K190)</f>
        <v>17</v>
      </c>
      <c r="N190" s="22" t="str">
        <f t="shared" si="12"/>
        <v>November</v>
      </c>
      <c r="O190" s="23">
        <v>0.55687500000000001</v>
      </c>
      <c r="P190" s="23" t="str">
        <f>_xlfn.XLOOKUP(B190,[2]customers!$A$2:$A$101,[2]customers!$C$2:$C$101)</f>
        <v>Tenali</v>
      </c>
      <c r="Q190" s="20" t="s">
        <v>244</v>
      </c>
      <c r="R190" s="20" t="s">
        <v>20</v>
      </c>
      <c r="S190" s="21">
        <f t="shared" si="13"/>
        <v>1582</v>
      </c>
      <c r="T190" s="25">
        <f t="shared" si="14"/>
        <v>3</v>
      </c>
    </row>
    <row r="191" spans="1:20" x14ac:dyDescent="0.3">
      <c r="A191" s="14">
        <v>190</v>
      </c>
      <c r="B191" s="14" t="s">
        <v>78</v>
      </c>
      <c r="C191" s="14">
        <v>60</v>
      </c>
      <c r="D191" s="14" t="s">
        <v>440</v>
      </c>
      <c r="E191" s="14" t="s">
        <v>427</v>
      </c>
      <c r="F191" s="14">
        <v>5</v>
      </c>
      <c r="G191" s="15">
        <f>_xlfn.XLOOKUP(C191,[1]products!$A$2:$A$71,[1]products!$D$2:$D$71)</f>
        <v>827</v>
      </c>
      <c r="H191" s="16">
        <v>45239</v>
      </c>
      <c r="I191" s="16" t="str">
        <f t="shared" si="10"/>
        <v>November</v>
      </c>
      <c r="J191" s="16" t="str">
        <f t="shared" si="11"/>
        <v>Thursday</v>
      </c>
      <c r="K191" s="17">
        <v>0.52348379629629627</v>
      </c>
      <c r="L191" s="16">
        <v>45243</v>
      </c>
      <c r="M191" s="18">
        <f>HOUR(orders!$K191)</f>
        <v>12</v>
      </c>
      <c r="N191" s="16" t="str">
        <f t="shared" si="12"/>
        <v>November</v>
      </c>
      <c r="O191" s="17">
        <v>0.57041666666666668</v>
      </c>
      <c r="P191" s="17" t="str">
        <f>_xlfn.XLOOKUP(B191,[2]customers!$A$2:$A$101,[2]customers!$C$2:$C$101)</f>
        <v>Medininagar</v>
      </c>
      <c r="Q191" s="14" t="s">
        <v>115</v>
      </c>
      <c r="R191" s="14" t="s">
        <v>15</v>
      </c>
      <c r="S191" s="15">
        <f t="shared" si="13"/>
        <v>4135</v>
      </c>
      <c r="T191" s="19">
        <f t="shared" si="14"/>
        <v>4</v>
      </c>
    </row>
    <row r="192" spans="1:20" x14ac:dyDescent="0.3">
      <c r="A192" s="20">
        <v>191</v>
      </c>
      <c r="B192" s="20" t="s">
        <v>18</v>
      </c>
      <c r="C192" s="20">
        <v>24</v>
      </c>
      <c r="D192" s="20" t="s">
        <v>485</v>
      </c>
      <c r="E192" s="20" t="s">
        <v>458</v>
      </c>
      <c r="F192" s="20">
        <v>3</v>
      </c>
      <c r="G192" s="21">
        <f>_xlfn.XLOOKUP(C192,[1]products!$A$2:$A$71,[1]products!$D$2:$D$71)</f>
        <v>535</v>
      </c>
      <c r="H192" s="22">
        <v>45211</v>
      </c>
      <c r="I192" s="22" t="str">
        <f t="shared" si="10"/>
        <v>October</v>
      </c>
      <c r="J192" s="22" t="str">
        <f t="shared" si="11"/>
        <v>Thursday</v>
      </c>
      <c r="K192" s="23">
        <v>0.7590972222222222</v>
      </c>
      <c r="L192" s="22">
        <v>45216</v>
      </c>
      <c r="M192" s="24">
        <f>HOUR(orders!$K192)</f>
        <v>18</v>
      </c>
      <c r="N192" s="22" t="str">
        <f t="shared" si="12"/>
        <v>October</v>
      </c>
      <c r="O192" s="23">
        <v>0.36807870370370371</v>
      </c>
      <c r="P192" s="23" t="str">
        <f>_xlfn.XLOOKUP(B192,[2]customers!$A$2:$A$101,[2]customers!$C$2:$C$101)</f>
        <v>Bilaspur</v>
      </c>
      <c r="Q192" s="20" t="s">
        <v>245</v>
      </c>
      <c r="R192" s="20" t="s">
        <v>20</v>
      </c>
      <c r="S192" s="21">
        <f t="shared" si="13"/>
        <v>1605</v>
      </c>
      <c r="T192" s="25">
        <f t="shared" si="14"/>
        <v>5</v>
      </c>
    </row>
    <row r="193" spans="1:20" x14ac:dyDescent="0.3">
      <c r="A193" s="14">
        <v>192</v>
      </c>
      <c r="B193" s="14" t="s">
        <v>150</v>
      </c>
      <c r="C193" s="14">
        <v>64</v>
      </c>
      <c r="D193" s="14" t="s">
        <v>492</v>
      </c>
      <c r="E193" s="14" t="s">
        <v>445</v>
      </c>
      <c r="F193" s="14">
        <v>5</v>
      </c>
      <c r="G193" s="15">
        <f>_xlfn.XLOOKUP(C193,[1]products!$A$2:$A$71,[1]products!$D$2:$D$71)</f>
        <v>1878</v>
      </c>
      <c r="H193" s="16">
        <v>45158</v>
      </c>
      <c r="I193" s="16" t="str">
        <f t="shared" si="10"/>
        <v>August</v>
      </c>
      <c r="J193" s="16" t="str">
        <f t="shared" si="11"/>
        <v>Sunday</v>
      </c>
      <c r="K193" s="17">
        <v>0.51981481481481484</v>
      </c>
      <c r="L193" s="16">
        <v>45159</v>
      </c>
      <c r="M193" s="18">
        <f>HOUR(orders!$K193)</f>
        <v>12</v>
      </c>
      <c r="N193" s="16" t="str">
        <f t="shared" si="12"/>
        <v>August</v>
      </c>
      <c r="O193" s="17">
        <v>9.1180555555555556E-2</v>
      </c>
      <c r="P193" s="17" t="str">
        <f>_xlfn.XLOOKUP(B193,[2]customers!$A$2:$A$101,[2]customers!$C$2:$C$101)</f>
        <v>Satara</v>
      </c>
      <c r="Q193" s="14" t="s">
        <v>49</v>
      </c>
      <c r="R193" s="14" t="s">
        <v>26</v>
      </c>
      <c r="S193" s="15">
        <f t="shared" si="13"/>
        <v>9390</v>
      </c>
      <c r="T193" s="19">
        <f t="shared" si="14"/>
        <v>1</v>
      </c>
    </row>
    <row r="194" spans="1:20" x14ac:dyDescent="0.3">
      <c r="A194" s="20">
        <v>193</v>
      </c>
      <c r="B194" s="20" t="s">
        <v>144</v>
      </c>
      <c r="C194" s="20">
        <v>42</v>
      </c>
      <c r="D194" s="20" t="s">
        <v>448</v>
      </c>
      <c r="E194" s="20" t="s">
        <v>427</v>
      </c>
      <c r="F194" s="20">
        <v>4</v>
      </c>
      <c r="G194" s="21">
        <f>_xlfn.XLOOKUP(C194,[1]products!$A$2:$A$71,[1]products!$D$2:$D$71)</f>
        <v>1744</v>
      </c>
      <c r="H194" s="22">
        <v>45154</v>
      </c>
      <c r="I194" s="22" t="str">
        <f t="shared" si="10"/>
        <v>August</v>
      </c>
      <c r="J194" s="22" t="str">
        <f t="shared" si="11"/>
        <v>Wednesday</v>
      </c>
      <c r="K194" s="23">
        <v>0.98922453703703705</v>
      </c>
      <c r="L194" s="22">
        <v>45157</v>
      </c>
      <c r="M194" s="24">
        <f>HOUR(orders!$K194)</f>
        <v>23</v>
      </c>
      <c r="N194" s="22" t="str">
        <f t="shared" si="12"/>
        <v>August</v>
      </c>
      <c r="O194" s="23">
        <v>0.10696759259259259</v>
      </c>
      <c r="P194" s="23" t="str">
        <f>_xlfn.XLOOKUP(B194,[2]customers!$A$2:$A$101,[2]customers!$C$2:$C$101)</f>
        <v>Aizawl</v>
      </c>
      <c r="Q194" s="20" t="s">
        <v>28</v>
      </c>
      <c r="R194" s="20" t="s">
        <v>60</v>
      </c>
      <c r="S194" s="21">
        <f t="shared" si="13"/>
        <v>6976</v>
      </c>
      <c r="T194" s="25">
        <f t="shared" si="14"/>
        <v>3</v>
      </c>
    </row>
    <row r="195" spans="1:20" x14ac:dyDescent="0.3">
      <c r="A195" s="14">
        <v>194</v>
      </c>
      <c r="B195" s="14" t="s">
        <v>188</v>
      </c>
      <c r="C195" s="14">
        <v>58</v>
      </c>
      <c r="D195" s="14" t="s">
        <v>430</v>
      </c>
      <c r="E195" s="14" t="s">
        <v>431</v>
      </c>
      <c r="F195" s="14">
        <v>4</v>
      </c>
      <c r="G195" s="15">
        <f>_xlfn.XLOOKUP(C195,[1]products!$A$2:$A$71,[1]products!$D$2:$D$71)</f>
        <v>1492</v>
      </c>
      <c r="H195" s="16">
        <v>44965</v>
      </c>
      <c r="I195" s="16" t="str">
        <f t="shared" ref="I195:I258" si="15">TEXT(H195,"mmmm")</f>
        <v>February</v>
      </c>
      <c r="J195" s="16" t="str">
        <f t="shared" ref="J195:J258" si="16">TEXT(H195,"dddd")</f>
        <v>Wednesday</v>
      </c>
      <c r="K195" s="17">
        <v>0.48714120370370373</v>
      </c>
      <c r="L195" s="16">
        <v>44966</v>
      </c>
      <c r="M195" s="18">
        <f>HOUR(orders!$K195)</f>
        <v>11</v>
      </c>
      <c r="N195" s="16" t="str">
        <f t="shared" ref="N195:N258" si="17">TEXT(L195,"mmmm")</f>
        <v>February</v>
      </c>
      <c r="O195" s="17">
        <v>0.20451388888888888</v>
      </c>
      <c r="P195" s="17" t="str">
        <f>_xlfn.XLOOKUP(B195,[2]customers!$A$2:$A$101,[2]customers!$C$2:$C$101)</f>
        <v>Sambhal</v>
      </c>
      <c r="Q195" s="14" t="s">
        <v>246</v>
      </c>
      <c r="R195" s="14" t="s">
        <v>23</v>
      </c>
      <c r="S195" s="15">
        <f t="shared" ref="S195:S258" si="18">G195*F195</f>
        <v>5968</v>
      </c>
      <c r="T195" s="19">
        <f t="shared" ref="T195:T258" si="19">L195-H195</f>
        <v>1</v>
      </c>
    </row>
    <row r="196" spans="1:20" x14ac:dyDescent="0.3">
      <c r="A196" s="20">
        <v>195</v>
      </c>
      <c r="B196" s="20" t="s">
        <v>10</v>
      </c>
      <c r="C196" s="20">
        <v>67</v>
      </c>
      <c r="D196" s="20" t="s">
        <v>425</v>
      </c>
      <c r="E196" s="20" t="s">
        <v>26</v>
      </c>
      <c r="F196" s="20">
        <v>5</v>
      </c>
      <c r="G196" s="21">
        <f>_xlfn.XLOOKUP(C196,[1]products!$A$2:$A$71,[1]products!$D$2:$D$71)</f>
        <v>1374</v>
      </c>
      <c r="H196" s="22">
        <v>45026</v>
      </c>
      <c r="I196" s="22" t="str">
        <f t="shared" si="15"/>
        <v>April</v>
      </c>
      <c r="J196" s="22" t="str">
        <f t="shared" si="16"/>
        <v>Monday</v>
      </c>
      <c r="K196" s="23">
        <v>0.23186342592592593</v>
      </c>
      <c r="L196" s="22">
        <v>45033</v>
      </c>
      <c r="M196" s="24">
        <f>HOUR(orders!$K196)</f>
        <v>5</v>
      </c>
      <c r="N196" s="22" t="str">
        <f t="shared" si="17"/>
        <v>April</v>
      </c>
      <c r="O196" s="23">
        <v>0.32754629629629628</v>
      </c>
      <c r="P196" s="23" t="str">
        <f>_xlfn.XLOOKUP(B196,[2]customers!$A$2:$A$101,[2]customers!$C$2:$C$101)</f>
        <v>Davanagere</v>
      </c>
      <c r="Q196" s="20" t="s">
        <v>100</v>
      </c>
      <c r="R196" s="20" t="s">
        <v>12</v>
      </c>
      <c r="S196" s="21">
        <f t="shared" si="18"/>
        <v>6870</v>
      </c>
      <c r="T196" s="25">
        <f t="shared" si="19"/>
        <v>7</v>
      </c>
    </row>
    <row r="197" spans="1:20" x14ac:dyDescent="0.3">
      <c r="A197" s="14">
        <v>196</v>
      </c>
      <c r="B197" s="14" t="s">
        <v>64</v>
      </c>
      <c r="C197" s="14">
        <v>30</v>
      </c>
      <c r="D197" s="14" t="s">
        <v>449</v>
      </c>
      <c r="E197" s="14" t="s">
        <v>429</v>
      </c>
      <c r="F197" s="14">
        <v>2</v>
      </c>
      <c r="G197" s="15">
        <f>_xlfn.XLOOKUP(C197,[1]products!$A$2:$A$71,[1]products!$D$2:$D$71)</f>
        <v>751</v>
      </c>
      <c r="H197" s="16">
        <v>45143</v>
      </c>
      <c r="I197" s="16" t="str">
        <f t="shared" si="15"/>
        <v>August</v>
      </c>
      <c r="J197" s="16" t="str">
        <f t="shared" si="16"/>
        <v>Saturday</v>
      </c>
      <c r="K197" s="17">
        <v>0.40127314814814818</v>
      </c>
      <c r="L197" s="16">
        <v>45151</v>
      </c>
      <c r="M197" s="18">
        <f>HOUR(orders!$K197)</f>
        <v>9</v>
      </c>
      <c r="N197" s="16" t="str">
        <f t="shared" si="17"/>
        <v>August</v>
      </c>
      <c r="O197" s="17">
        <v>0.37368055555555557</v>
      </c>
      <c r="P197" s="17" t="str">
        <f>_xlfn.XLOOKUP(B197,[2]customers!$A$2:$A$101,[2]customers!$C$2:$C$101)</f>
        <v>Jamnagar</v>
      </c>
      <c r="Q197" s="14" t="s">
        <v>247</v>
      </c>
      <c r="R197" s="14" t="s">
        <v>12</v>
      </c>
      <c r="S197" s="15">
        <f t="shared" si="18"/>
        <v>1502</v>
      </c>
      <c r="T197" s="19">
        <f t="shared" si="19"/>
        <v>8</v>
      </c>
    </row>
    <row r="198" spans="1:20" x14ac:dyDescent="0.3">
      <c r="A198" s="20">
        <v>197</v>
      </c>
      <c r="B198" s="20" t="s">
        <v>109</v>
      </c>
      <c r="C198" s="20">
        <v>45</v>
      </c>
      <c r="D198" s="20" t="s">
        <v>433</v>
      </c>
      <c r="E198" s="20" t="s">
        <v>26</v>
      </c>
      <c r="F198" s="20">
        <v>2</v>
      </c>
      <c r="G198" s="21">
        <f>_xlfn.XLOOKUP(C198,[1]products!$A$2:$A$71,[1]products!$D$2:$D$71)</f>
        <v>722</v>
      </c>
      <c r="H198" s="22">
        <v>45007</v>
      </c>
      <c r="I198" s="22" t="str">
        <f t="shared" si="15"/>
        <v>March</v>
      </c>
      <c r="J198" s="22" t="str">
        <f t="shared" si="16"/>
        <v>Wednesday</v>
      </c>
      <c r="K198" s="23">
        <v>0.77687499999999998</v>
      </c>
      <c r="L198" s="22">
        <v>45011</v>
      </c>
      <c r="M198" s="24">
        <f>HOUR(orders!$K198)</f>
        <v>18</v>
      </c>
      <c r="N198" s="22" t="str">
        <f t="shared" si="17"/>
        <v>March</v>
      </c>
      <c r="O198" s="23">
        <v>0.1459027777777778</v>
      </c>
      <c r="P198" s="23" t="str">
        <f>_xlfn.XLOOKUP(B198,[2]customers!$A$2:$A$101,[2]customers!$C$2:$C$101)</f>
        <v>Warangal</v>
      </c>
      <c r="Q198" s="20" t="s">
        <v>245</v>
      </c>
      <c r="R198" s="20" t="s">
        <v>20</v>
      </c>
      <c r="S198" s="21">
        <f t="shared" si="18"/>
        <v>1444</v>
      </c>
      <c r="T198" s="25">
        <f t="shared" si="19"/>
        <v>4</v>
      </c>
    </row>
    <row r="199" spans="1:20" x14ac:dyDescent="0.3">
      <c r="A199" s="14">
        <v>198</v>
      </c>
      <c r="B199" s="14" t="s">
        <v>52</v>
      </c>
      <c r="C199" s="14">
        <v>24</v>
      </c>
      <c r="D199" s="14" t="s">
        <v>485</v>
      </c>
      <c r="E199" s="14" t="s">
        <v>458</v>
      </c>
      <c r="F199" s="14">
        <v>2</v>
      </c>
      <c r="G199" s="15">
        <f>_xlfn.XLOOKUP(C199,[1]products!$A$2:$A$71,[1]products!$D$2:$D$71)</f>
        <v>535</v>
      </c>
      <c r="H199" s="16">
        <v>45165</v>
      </c>
      <c r="I199" s="16" t="str">
        <f t="shared" si="15"/>
        <v>August</v>
      </c>
      <c r="J199" s="16" t="str">
        <f t="shared" si="16"/>
        <v>Sunday</v>
      </c>
      <c r="K199" s="17">
        <v>0.9400115740740741</v>
      </c>
      <c r="L199" s="16">
        <v>45173</v>
      </c>
      <c r="M199" s="18">
        <f>HOUR(orders!$K199)</f>
        <v>22</v>
      </c>
      <c r="N199" s="16" t="str">
        <f t="shared" si="17"/>
        <v>September</v>
      </c>
      <c r="O199" s="17">
        <v>4.8495370370370376E-2</v>
      </c>
      <c r="P199" s="17" t="str">
        <f>_xlfn.XLOOKUP(B199,[2]customers!$A$2:$A$101,[2]customers!$C$2:$C$101)</f>
        <v>Anantapuram</v>
      </c>
      <c r="Q199" s="14" t="s">
        <v>248</v>
      </c>
      <c r="R199" s="14" t="s">
        <v>20</v>
      </c>
      <c r="S199" s="15">
        <f t="shared" si="18"/>
        <v>1070</v>
      </c>
      <c r="T199" s="19">
        <f t="shared" si="19"/>
        <v>8</v>
      </c>
    </row>
    <row r="200" spans="1:20" x14ac:dyDescent="0.3">
      <c r="A200" s="20">
        <v>199</v>
      </c>
      <c r="B200" s="20" t="s">
        <v>249</v>
      </c>
      <c r="C200" s="20">
        <v>70</v>
      </c>
      <c r="D200" s="20" t="s">
        <v>466</v>
      </c>
      <c r="E200" s="20" t="s">
        <v>427</v>
      </c>
      <c r="F200" s="20">
        <v>5</v>
      </c>
      <c r="G200" s="21">
        <f>_xlfn.XLOOKUP(C200,[1]products!$A$2:$A$71,[1]products!$D$2:$D$71)</f>
        <v>866</v>
      </c>
      <c r="H200" s="22">
        <v>45154</v>
      </c>
      <c r="I200" s="22" t="str">
        <f t="shared" si="15"/>
        <v>August</v>
      </c>
      <c r="J200" s="22" t="str">
        <f t="shared" si="16"/>
        <v>Wednesday</v>
      </c>
      <c r="K200" s="23">
        <v>7.9513888888888884E-2</v>
      </c>
      <c r="L200" s="22">
        <v>45157</v>
      </c>
      <c r="M200" s="24">
        <f>HOUR(orders!$K200)</f>
        <v>1</v>
      </c>
      <c r="N200" s="22" t="str">
        <f t="shared" si="17"/>
        <v>August</v>
      </c>
      <c r="O200" s="23">
        <v>0.68401620370370375</v>
      </c>
      <c r="P200" s="23" t="str">
        <f>_xlfn.XLOOKUP(B200,[2]customers!$A$2:$A$101,[2]customers!$C$2:$C$101)</f>
        <v>Tumkur</v>
      </c>
      <c r="Q200" s="20" t="s">
        <v>250</v>
      </c>
      <c r="R200" s="20" t="s">
        <v>20</v>
      </c>
      <c r="S200" s="21">
        <f t="shared" si="18"/>
        <v>4330</v>
      </c>
      <c r="T200" s="25">
        <f t="shared" si="19"/>
        <v>3</v>
      </c>
    </row>
    <row r="201" spans="1:20" x14ac:dyDescent="0.3">
      <c r="A201" s="14">
        <v>200</v>
      </c>
      <c r="B201" s="14" t="s">
        <v>80</v>
      </c>
      <c r="C201" s="14">
        <v>23</v>
      </c>
      <c r="D201" s="14" t="s">
        <v>441</v>
      </c>
      <c r="E201" s="14" t="s">
        <v>427</v>
      </c>
      <c r="F201" s="14">
        <v>5</v>
      </c>
      <c r="G201" s="15">
        <f>_xlfn.XLOOKUP(C201,[1]products!$A$2:$A$71,[1]products!$D$2:$D$71)</f>
        <v>1098</v>
      </c>
      <c r="H201" s="16">
        <v>44929</v>
      </c>
      <c r="I201" s="16" t="str">
        <f t="shared" si="15"/>
        <v>January</v>
      </c>
      <c r="J201" s="16" t="str">
        <f t="shared" si="16"/>
        <v>Tuesday</v>
      </c>
      <c r="K201" s="17">
        <v>0.83629629629629632</v>
      </c>
      <c r="L201" s="16">
        <v>44934</v>
      </c>
      <c r="M201" s="18">
        <f>HOUR(orders!$K201)</f>
        <v>20</v>
      </c>
      <c r="N201" s="16" t="str">
        <f t="shared" si="17"/>
        <v>January</v>
      </c>
      <c r="O201" s="17">
        <v>0.97143518518518512</v>
      </c>
      <c r="P201" s="17" t="str">
        <f>_xlfn.XLOOKUP(B201,[2]customers!$A$2:$A$101,[2]customers!$C$2:$C$101)</f>
        <v>Anand</v>
      </c>
      <c r="Q201" s="14" t="s">
        <v>102</v>
      </c>
      <c r="R201" s="14" t="s">
        <v>12</v>
      </c>
      <c r="S201" s="15">
        <f t="shared" si="18"/>
        <v>5490</v>
      </c>
      <c r="T201" s="19">
        <f t="shared" si="19"/>
        <v>5</v>
      </c>
    </row>
    <row r="202" spans="1:20" x14ac:dyDescent="0.3">
      <c r="A202" s="20">
        <v>201</v>
      </c>
      <c r="B202" s="20" t="s">
        <v>251</v>
      </c>
      <c r="C202" s="20">
        <v>55</v>
      </c>
      <c r="D202" s="20" t="s">
        <v>491</v>
      </c>
      <c r="E202" s="20" t="s">
        <v>445</v>
      </c>
      <c r="F202" s="20">
        <v>4</v>
      </c>
      <c r="G202" s="21">
        <f>_xlfn.XLOOKUP(C202,[1]products!$A$2:$A$71,[1]products!$D$2:$D$71)</f>
        <v>1904</v>
      </c>
      <c r="H202" s="22">
        <v>45162</v>
      </c>
      <c r="I202" s="22" t="str">
        <f t="shared" si="15"/>
        <v>August</v>
      </c>
      <c r="J202" s="22" t="str">
        <f t="shared" si="16"/>
        <v>Thursday</v>
      </c>
      <c r="K202" s="23">
        <v>0.19460648148148149</v>
      </c>
      <c r="L202" s="22">
        <v>45168</v>
      </c>
      <c r="M202" s="24">
        <f>HOUR(orders!$K202)</f>
        <v>4</v>
      </c>
      <c r="N202" s="22" t="str">
        <f t="shared" si="17"/>
        <v>August</v>
      </c>
      <c r="O202" s="23">
        <v>0.16143518518518518</v>
      </c>
      <c r="P202" s="23" t="str">
        <f>_xlfn.XLOOKUP(B202,[2]customers!$A$2:$A$101,[2]customers!$C$2:$C$101)</f>
        <v>Miryalaguda</v>
      </c>
      <c r="Q202" s="20" t="s">
        <v>252</v>
      </c>
      <c r="R202" s="20" t="s">
        <v>26</v>
      </c>
      <c r="S202" s="21">
        <f t="shared" si="18"/>
        <v>7616</v>
      </c>
      <c r="T202" s="25">
        <f t="shared" si="19"/>
        <v>6</v>
      </c>
    </row>
    <row r="203" spans="1:20" x14ac:dyDescent="0.3">
      <c r="A203" s="14">
        <v>202</v>
      </c>
      <c r="B203" s="14" t="s">
        <v>253</v>
      </c>
      <c r="C203" s="14">
        <v>36</v>
      </c>
      <c r="D203" s="14" t="s">
        <v>468</v>
      </c>
      <c r="E203" s="14" t="s">
        <v>447</v>
      </c>
      <c r="F203" s="14">
        <v>5</v>
      </c>
      <c r="G203" s="15">
        <f>_xlfn.XLOOKUP(C203,[1]products!$A$2:$A$71,[1]products!$D$2:$D$71)</f>
        <v>203</v>
      </c>
      <c r="H203" s="16">
        <v>45134</v>
      </c>
      <c r="I203" s="16" t="str">
        <f t="shared" si="15"/>
        <v>July</v>
      </c>
      <c r="J203" s="16" t="str">
        <f t="shared" si="16"/>
        <v>Thursday</v>
      </c>
      <c r="K203" s="17">
        <v>0.3429166666666667</v>
      </c>
      <c r="L203" s="16">
        <v>45139</v>
      </c>
      <c r="M203" s="18">
        <f>HOUR(orders!$K203)</f>
        <v>8</v>
      </c>
      <c r="N203" s="16" t="str">
        <f t="shared" si="17"/>
        <v>August</v>
      </c>
      <c r="O203" s="17">
        <v>0.12640046296296295</v>
      </c>
      <c r="P203" s="17" t="str">
        <f>_xlfn.XLOOKUP(B203,[2]customers!$A$2:$A$101,[2]customers!$C$2:$C$101)</f>
        <v>Nellore</v>
      </c>
      <c r="Q203" s="14" t="s">
        <v>254</v>
      </c>
      <c r="R203" s="14" t="s">
        <v>20</v>
      </c>
      <c r="S203" s="15">
        <f t="shared" si="18"/>
        <v>1015</v>
      </c>
      <c r="T203" s="19">
        <f t="shared" si="19"/>
        <v>5</v>
      </c>
    </row>
    <row r="204" spans="1:20" x14ac:dyDescent="0.3">
      <c r="A204" s="20">
        <v>203</v>
      </c>
      <c r="B204" s="20" t="s">
        <v>159</v>
      </c>
      <c r="C204" s="20">
        <v>9</v>
      </c>
      <c r="D204" s="20" t="s">
        <v>451</v>
      </c>
      <c r="E204" s="20" t="s">
        <v>429</v>
      </c>
      <c r="F204" s="20">
        <v>5</v>
      </c>
      <c r="G204" s="21">
        <f>_xlfn.XLOOKUP(C204,[1]products!$A$2:$A$71,[1]products!$D$2:$D$71)</f>
        <v>1605</v>
      </c>
      <c r="H204" s="22">
        <v>45167</v>
      </c>
      <c r="I204" s="22" t="str">
        <f t="shared" si="15"/>
        <v>August</v>
      </c>
      <c r="J204" s="22" t="str">
        <f t="shared" si="16"/>
        <v>Tuesday</v>
      </c>
      <c r="K204" s="23">
        <v>0.23541666666666669</v>
      </c>
      <c r="L204" s="22">
        <v>45177</v>
      </c>
      <c r="M204" s="24">
        <f>HOUR(orders!$K204)</f>
        <v>5</v>
      </c>
      <c r="N204" s="22" t="str">
        <f t="shared" si="17"/>
        <v>September</v>
      </c>
      <c r="O204" s="23">
        <v>0.94460648148148152</v>
      </c>
      <c r="P204" s="23" t="str">
        <f>_xlfn.XLOOKUP(B204,[2]customers!$A$2:$A$101,[2]customers!$C$2:$C$101)</f>
        <v>Kamarhati</v>
      </c>
      <c r="Q204" s="20" t="s">
        <v>49</v>
      </c>
      <c r="R204" s="20" t="s">
        <v>26</v>
      </c>
      <c r="S204" s="21">
        <f t="shared" si="18"/>
        <v>8025</v>
      </c>
      <c r="T204" s="25">
        <f t="shared" si="19"/>
        <v>10</v>
      </c>
    </row>
    <row r="205" spans="1:20" x14ac:dyDescent="0.3">
      <c r="A205" s="14">
        <v>204</v>
      </c>
      <c r="B205" s="14" t="s">
        <v>136</v>
      </c>
      <c r="C205" s="14">
        <v>10</v>
      </c>
      <c r="D205" s="14" t="s">
        <v>452</v>
      </c>
      <c r="E205" s="14" t="s">
        <v>431</v>
      </c>
      <c r="F205" s="14">
        <v>4</v>
      </c>
      <c r="G205" s="15">
        <f>_xlfn.XLOOKUP(C205,[1]products!$A$2:$A$71,[1]products!$D$2:$D$71)</f>
        <v>259</v>
      </c>
      <c r="H205" s="16">
        <v>45110</v>
      </c>
      <c r="I205" s="16" t="str">
        <f t="shared" si="15"/>
        <v>July</v>
      </c>
      <c r="J205" s="16" t="str">
        <f t="shared" si="16"/>
        <v>Monday</v>
      </c>
      <c r="K205" s="17">
        <v>0.4491087962962963</v>
      </c>
      <c r="L205" s="16">
        <v>45116</v>
      </c>
      <c r="M205" s="18">
        <f>HOUR(orders!$K205)</f>
        <v>10</v>
      </c>
      <c r="N205" s="16" t="str">
        <f t="shared" si="17"/>
        <v>July</v>
      </c>
      <c r="O205" s="17">
        <v>0.2701736111111111</v>
      </c>
      <c r="P205" s="17" t="str">
        <f>_xlfn.XLOOKUP(B205,[2]customers!$A$2:$A$101,[2]customers!$C$2:$C$101)</f>
        <v>Nagpur</v>
      </c>
      <c r="Q205" s="14" t="s">
        <v>14</v>
      </c>
      <c r="R205" s="14" t="s">
        <v>20</v>
      </c>
      <c r="S205" s="15">
        <f t="shared" si="18"/>
        <v>1036</v>
      </c>
      <c r="T205" s="19">
        <f t="shared" si="19"/>
        <v>6</v>
      </c>
    </row>
    <row r="206" spans="1:20" x14ac:dyDescent="0.3">
      <c r="A206" s="20">
        <v>205</v>
      </c>
      <c r="B206" s="20" t="s">
        <v>200</v>
      </c>
      <c r="C206" s="20">
        <v>46</v>
      </c>
      <c r="D206" s="20" t="s">
        <v>493</v>
      </c>
      <c r="E206" s="20" t="s">
        <v>431</v>
      </c>
      <c r="F206" s="20">
        <v>5</v>
      </c>
      <c r="G206" s="21">
        <f>_xlfn.XLOOKUP(C206,[1]products!$A$2:$A$71,[1]products!$D$2:$D$71)</f>
        <v>758</v>
      </c>
      <c r="H206" s="22">
        <v>45113</v>
      </c>
      <c r="I206" s="22" t="str">
        <f t="shared" si="15"/>
        <v>July</v>
      </c>
      <c r="J206" s="22" t="str">
        <f t="shared" si="16"/>
        <v>Thursday</v>
      </c>
      <c r="K206" s="23">
        <v>0.22038194444444445</v>
      </c>
      <c r="L206" s="22">
        <v>45116</v>
      </c>
      <c r="M206" s="24">
        <f>HOUR(orders!$K206)</f>
        <v>5</v>
      </c>
      <c r="N206" s="22" t="str">
        <f t="shared" si="17"/>
        <v>July</v>
      </c>
      <c r="O206" s="23">
        <v>0.49111111111111111</v>
      </c>
      <c r="P206" s="23" t="str">
        <f>_xlfn.XLOOKUP(B206,[2]customers!$A$2:$A$101,[2]customers!$C$2:$C$101)</f>
        <v>Khandwa</v>
      </c>
      <c r="Q206" s="20" t="s">
        <v>222</v>
      </c>
      <c r="R206" s="20" t="s">
        <v>12</v>
      </c>
      <c r="S206" s="21">
        <f t="shared" si="18"/>
        <v>3790</v>
      </c>
      <c r="T206" s="25">
        <f t="shared" si="19"/>
        <v>3</v>
      </c>
    </row>
    <row r="207" spans="1:20" x14ac:dyDescent="0.3">
      <c r="A207" s="14">
        <v>206</v>
      </c>
      <c r="B207" s="14" t="s">
        <v>32</v>
      </c>
      <c r="C207" s="14">
        <v>68</v>
      </c>
      <c r="D207" s="14" t="s">
        <v>494</v>
      </c>
      <c r="E207" s="14" t="s">
        <v>445</v>
      </c>
      <c r="F207" s="14">
        <v>3</v>
      </c>
      <c r="G207" s="15">
        <f>_xlfn.XLOOKUP(C207,[1]products!$A$2:$A$71,[1]products!$D$2:$D$71)</f>
        <v>597</v>
      </c>
      <c r="H207" s="16">
        <v>44968</v>
      </c>
      <c r="I207" s="16" t="str">
        <f t="shared" si="15"/>
        <v>February</v>
      </c>
      <c r="J207" s="16" t="str">
        <f t="shared" si="16"/>
        <v>Saturday</v>
      </c>
      <c r="K207" s="17">
        <v>0.92518518518518522</v>
      </c>
      <c r="L207" s="16">
        <v>44970</v>
      </c>
      <c r="M207" s="18">
        <f>HOUR(orders!$K207)</f>
        <v>22</v>
      </c>
      <c r="N207" s="16" t="str">
        <f t="shared" si="17"/>
        <v>February</v>
      </c>
      <c r="O207" s="17">
        <v>0.52917824074074071</v>
      </c>
      <c r="P207" s="17" t="str">
        <f>_xlfn.XLOOKUP(B207,[2]customers!$A$2:$A$101,[2]customers!$C$2:$C$101)</f>
        <v>Dhanbad</v>
      </c>
      <c r="Q207" s="14" t="s">
        <v>255</v>
      </c>
      <c r="R207" s="14" t="s">
        <v>23</v>
      </c>
      <c r="S207" s="15">
        <f t="shared" si="18"/>
        <v>1791</v>
      </c>
      <c r="T207" s="19">
        <f t="shared" si="19"/>
        <v>2</v>
      </c>
    </row>
    <row r="208" spans="1:20" x14ac:dyDescent="0.3">
      <c r="A208" s="20">
        <v>207</v>
      </c>
      <c r="B208" s="20" t="s">
        <v>21</v>
      </c>
      <c r="C208" s="20">
        <v>6</v>
      </c>
      <c r="D208" s="20" t="s">
        <v>450</v>
      </c>
      <c r="E208" s="20" t="s">
        <v>431</v>
      </c>
      <c r="F208" s="20">
        <v>2</v>
      </c>
      <c r="G208" s="21">
        <f>_xlfn.XLOOKUP(C208,[1]products!$A$2:$A$71,[1]products!$D$2:$D$71)</f>
        <v>1112</v>
      </c>
      <c r="H208" s="22">
        <v>44990</v>
      </c>
      <c r="I208" s="22" t="str">
        <f t="shared" si="15"/>
        <v>March</v>
      </c>
      <c r="J208" s="22" t="str">
        <f t="shared" si="16"/>
        <v>Sunday</v>
      </c>
      <c r="K208" s="23">
        <v>5.0879629629629629E-2</v>
      </c>
      <c r="L208" s="22">
        <v>44992</v>
      </c>
      <c r="M208" s="24">
        <f>HOUR(orders!$K208)</f>
        <v>1</v>
      </c>
      <c r="N208" s="22" t="str">
        <f t="shared" si="17"/>
        <v>March</v>
      </c>
      <c r="O208" s="23">
        <v>0.51106481481481481</v>
      </c>
      <c r="P208" s="23" t="str">
        <f>_xlfn.XLOOKUP(B208,[2]customers!$A$2:$A$101,[2]customers!$C$2:$C$101)</f>
        <v>Bhubaneswar</v>
      </c>
      <c r="Q208" s="20" t="s">
        <v>113</v>
      </c>
      <c r="R208" s="20" t="s">
        <v>36</v>
      </c>
      <c r="S208" s="21">
        <f t="shared" si="18"/>
        <v>2224</v>
      </c>
      <c r="T208" s="25">
        <f t="shared" si="19"/>
        <v>2</v>
      </c>
    </row>
    <row r="209" spans="1:20" x14ac:dyDescent="0.3">
      <c r="A209" s="14">
        <v>208</v>
      </c>
      <c r="B209" s="14" t="s">
        <v>256</v>
      </c>
      <c r="C209" s="14">
        <v>18</v>
      </c>
      <c r="D209" s="14" t="s">
        <v>484</v>
      </c>
      <c r="E209" s="14" t="s">
        <v>447</v>
      </c>
      <c r="F209" s="14">
        <v>5</v>
      </c>
      <c r="G209" s="15">
        <f>_xlfn.XLOOKUP(C209,[1]products!$A$2:$A$71,[1]products!$D$2:$D$71)</f>
        <v>781</v>
      </c>
      <c r="H209" s="16">
        <v>45018</v>
      </c>
      <c r="I209" s="16" t="str">
        <f t="shared" si="15"/>
        <v>April</v>
      </c>
      <c r="J209" s="16" t="str">
        <f t="shared" si="16"/>
        <v>Sunday</v>
      </c>
      <c r="K209" s="17">
        <v>0.18804398148148149</v>
      </c>
      <c r="L209" s="16">
        <v>45028</v>
      </c>
      <c r="M209" s="18">
        <f>HOUR(orders!$K209)</f>
        <v>4</v>
      </c>
      <c r="N209" s="16" t="str">
        <f t="shared" si="17"/>
        <v>April</v>
      </c>
      <c r="O209" s="17">
        <v>0.29625000000000001</v>
      </c>
      <c r="P209" s="17" t="str">
        <f>_xlfn.XLOOKUP(B209,[2]customers!$A$2:$A$101,[2]customers!$C$2:$C$101)</f>
        <v>Panchkula</v>
      </c>
      <c r="Q209" s="14" t="s">
        <v>257</v>
      </c>
      <c r="R209" s="14" t="s">
        <v>20</v>
      </c>
      <c r="S209" s="15">
        <f t="shared" si="18"/>
        <v>3905</v>
      </c>
      <c r="T209" s="19">
        <f t="shared" si="19"/>
        <v>10</v>
      </c>
    </row>
    <row r="210" spans="1:20" x14ac:dyDescent="0.3">
      <c r="A210" s="20">
        <v>209</v>
      </c>
      <c r="B210" s="20" t="s">
        <v>73</v>
      </c>
      <c r="C210" s="20">
        <v>70</v>
      </c>
      <c r="D210" s="20" t="s">
        <v>466</v>
      </c>
      <c r="E210" s="20" t="s">
        <v>427</v>
      </c>
      <c r="F210" s="20">
        <v>2</v>
      </c>
      <c r="G210" s="21">
        <f>_xlfn.XLOOKUP(C210,[1]products!$A$2:$A$71,[1]products!$D$2:$D$71)</f>
        <v>866</v>
      </c>
      <c r="H210" s="22">
        <v>45099</v>
      </c>
      <c r="I210" s="22" t="str">
        <f t="shared" si="15"/>
        <v>June</v>
      </c>
      <c r="J210" s="22" t="str">
        <f t="shared" si="16"/>
        <v>Thursday</v>
      </c>
      <c r="K210" s="23">
        <v>3.0925925925925926E-2</v>
      </c>
      <c r="L210" s="22">
        <v>45100</v>
      </c>
      <c r="M210" s="24">
        <f>HOUR(orders!$K210)</f>
        <v>0</v>
      </c>
      <c r="N210" s="22" t="str">
        <f t="shared" si="17"/>
        <v>June</v>
      </c>
      <c r="O210" s="23">
        <v>0.90592592592592591</v>
      </c>
      <c r="P210" s="23" t="str">
        <f>_xlfn.XLOOKUP(B210,[2]customers!$A$2:$A$101,[2]customers!$C$2:$C$101)</f>
        <v>Tiruppur</v>
      </c>
      <c r="Q210" s="20" t="s">
        <v>258</v>
      </c>
      <c r="R210" s="20" t="s">
        <v>20</v>
      </c>
      <c r="S210" s="21">
        <f t="shared" si="18"/>
        <v>1732</v>
      </c>
      <c r="T210" s="25">
        <f t="shared" si="19"/>
        <v>1</v>
      </c>
    </row>
    <row r="211" spans="1:20" x14ac:dyDescent="0.3">
      <c r="A211" s="14">
        <v>210</v>
      </c>
      <c r="B211" s="14" t="s">
        <v>109</v>
      </c>
      <c r="C211" s="14">
        <v>32</v>
      </c>
      <c r="D211" s="14" t="s">
        <v>444</v>
      </c>
      <c r="E211" s="14" t="s">
        <v>445</v>
      </c>
      <c r="F211" s="14">
        <v>4</v>
      </c>
      <c r="G211" s="15">
        <f>_xlfn.XLOOKUP(C211,[1]products!$A$2:$A$71,[1]products!$D$2:$D$71)</f>
        <v>1792</v>
      </c>
      <c r="H211" s="16">
        <v>45270</v>
      </c>
      <c r="I211" s="16" t="str">
        <f t="shared" si="15"/>
        <v>December</v>
      </c>
      <c r="J211" s="16" t="str">
        <f t="shared" si="16"/>
        <v>Sunday</v>
      </c>
      <c r="K211" s="17">
        <v>3.2314814814814817E-2</v>
      </c>
      <c r="L211" s="16">
        <v>45275</v>
      </c>
      <c r="M211" s="18">
        <f>HOUR(orders!$K211)</f>
        <v>0</v>
      </c>
      <c r="N211" s="16" t="str">
        <f t="shared" si="17"/>
        <v>December</v>
      </c>
      <c r="O211" s="17">
        <v>0.33512731481481484</v>
      </c>
      <c r="P211" s="17" t="str">
        <f>_xlfn.XLOOKUP(B211,[2]customers!$A$2:$A$101,[2]customers!$C$2:$C$101)</f>
        <v>Warangal</v>
      </c>
      <c r="Q211" s="14" t="s">
        <v>259</v>
      </c>
      <c r="R211" s="14" t="s">
        <v>20</v>
      </c>
      <c r="S211" s="15">
        <f t="shared" si="18"/>
        <v>7168</v>
      </c>
      <c r="T211" s="19">
        <f t="shared" si="19"/>
        <v>5</v>
      </c>
    </row>
    <row r="212" spans="1:20" x14ac:dyDescent="0.3">
      <c r="A212" s="20">
        <v>211</v>
      </c>
      <c r="B212" s="20" t="s">
        <v>260</v>
      </c>
      <c r="C212" s="20">
        <v>31</v>
      </c>
      <c r="D212" s="20" t="s">
        <v>474</v>
      </c>
      <c r="E212" s="20" t="s">
        <v>429</v>
      </c>
      <c r="F212" s="20">
        <v>5</v>
      </c>
      <c r="G212" s="21">
        <f>_xlfn.XLOOKUP(C212,[1]products!$A$2:$A$71,[1]products!$D$2:$D$71)</f>
        <v>1804</v>
      </c>
      <c r="H212" s="22">
        <v>45221</v>
      </c>
      <c r="I212" s="22" t="str">
        <f t="shared" si="15"/>
        <v>October</v>
      </c>
      <c r="J212" s="22" t="str">
        <f t="shared" si="16"/>
        <v>Sunday</v>
      </c>
      <c r="K212" s="23">
        <v>0.76040509259259259</v>
      </c>
      <c r="L212" s="22">
        <v>45228</v>
      </c>
      <c r="M212" s="24">
        <f>HOUR(orders!$K212)</f>
        <v>18</v>
      </c>
      <c r="N212" s="22" t="str">
        <f t="shared" si="17"/>
        <v>October</v>
      </c>
      <c r="O212" s="23">
        <v>0.73614583333333339</v>
      </c>
      <c r="P212" s="23" t="str">
        <f>_xlfn.XLOOKUP(B212,[2]customers!$A$2:$A$101,[2]customers!$C$2:$C$101)</f>
        <v>Vellore</v>
      </c>
      <c r="Q212" s="20" t="s">
        <v>261</v>
      </c>
      <c r="R212" s="20" t="s">
        <v>60</v>
      </c>
      <c r="S212" s="21">
        <f t="shared" si="18"/>
        <v>9020</v>
      </c>
      <c r="T212" s="25">
        <f t="shared" si="19"/>
        <v>7</v>
      </c>
    </row>
    <row r="213" spans="1:20" x14ac:dyDescent="0.3">
      <c r="A213" s="14">
        <v>212</v>
      </c>
      <c r="B213" s="14" t="s">
        <v>249</v>
      </c>
      <c r="C213" s="14">
        <v>7</v>
      </c>
      <c r="D213" s="14" t="s">
        <v>453</v>
      </c>
      <c r="E213" s="14" t="s">
        <v>445</v>
      </c>
      <c r="F213" s="14">
        <v>2</v>
      </c>
      <c r="G213" s="15">
        <f>_xlfn.XLOOKUP(C213,[1]products!$A$2:$A$71,[1]products!$D$2:$D$71)</f>
        <v>409</v>
      </c>
      <c r="H213" s="16">
        <v>44985</v>
      </c>
      <c r="I213" s="16" t="str">
        <f t="shared" si="15"/>
        <v>February</v>
      </c>
      <c r="J213" s="16" t="str">
        <f t="shared" si="16"/>
        <v>Tuesday</v>
      </c>
      <c r="K213" s="17">
        <v>0.30185185185185187</v>
      </c>
      <c r="L213" s="16">
        <v>44990</v>
      </c>
      <c r="M213" s="18">
        <f>HOUR(orders!$K213)</f>
        <v>7</v>
      </c>
      <c r="N213" s="16" t="str">
        <f t="shared" si="17"/>
        <v>March</v>
      </c>
      <c r="O213" s="17">
        <v>0.83454861111111101</v>
      </c>
      <c r="P213" s="17" t="str">
        <f>_xlfn.XLOOKUP(B213,[2]customers!$A$2:$A$101,[2]customers!$C$2:$C$101)</f>
        <v>Tumkur</v>
      </c>
      <c r="Q213" s="14" t="s">
        <v>165</v>
      </c>
      <c r="R213" s="14" t="s">
        <v>36</v>
      </c>
      <c r="S213" s="15">
        <f t="shared" si="18"/>
        <v>818</v>
      </c>
      <c r="T213" s="19">
        <f t="shared" si="19"/>
        <v>5</v>
      </c>
    </row>
    <row r="214" spans="1:20" x14ac:dyDescent="0.3">
      <c r="A214" s="20">
        <v>213</v>
      </c>
      <c r="B214" s="20" t="s">
        <v>200</v>
      </c>
      <c r="C214" s="20">
        <v>42</v>
      </c>
      <c r="D214" s="20" t="s">
        <v>448</v>
      </c>
      <c r="E214" s="20" t="s">
        <v>427</v>
      </c>
      <c r="F214" s="20">
        <v>5</v>
      </c>
      <c r="G214" s="21">
        <f>_xlfn.XLOOKUP(C214,[1]products!$A$2:$A$71,[1]products!$D$2:$D$71)</f>
        <v>1744</v>
      </c>
      <c r="H214" s="22">
        <v>44971</v>
      </c>
      <c r="I214" s="22" t="str">
        <f t="shared" si="15"/>
        <v>February</v>
      </c>
      <c r="J214" s="22" t="str">
        <f t="shared" si="16"/>
        <v>Tuesday</v>
      </c>
      <c r="K214" s="23">
        <v>0.35159722222222217</v>
      </c>
      <c r="L214" s="22">
        <v>44981</v>
      </c>
      <c r="M214" s="24">
        <f>HOUR(orders!$K214)</f>
        <v>8</v>
      </c>
      <c r="N214" s="22" t="str">
        <f t="shared" si="17"/>
        <v>February</v>
      </c>
      <c r="O214" s="23">
        <v>0.37373842592592593</v>
      </c>
      <c r="P214" s="23" t="str">
        <f>_xlfn.XLOOKUP(B214,[2]customers!$A$2:$A$101,[2]customers!$C$2:$C$101)</f>
        <v>Khandwa</v>
      </c>
      <c r="Q214" s="20" t="s">
        <v>262</v>
      </c>
      <c r="R214" s="20" t="s">
        <v>60</v>
      </c>
      <c r="S214" s="21">
        <f t="shared" si="18"/>
        <v>8720</v>
      </c>
      <c r="T214" s="25">
        <f t="shared" si="19"/>
        <v>10</v>
      </c>
    </row>
    <row r="215" spans="1:20" x14ac:dyDescent="0.3">
      <c r="A215" s="14">
        <v>214</v>
      </c>
      <c r="B215" s="14" t="s">
        <v>32</v>
      </c>
      <c r="C215" s="14">
        <v>13</v>
      </c>
      <c r="D215" s="14" t="s">
        <v>495</v>
      </c>
      <c r="E215" s="14" t="s">
        <v>458</v>
      </c>
      <c r="F215" s="14">
        <v>3</v>
      </c>
      <c r="G215" s="15">
        <f>_xlfn.XLOOKUP(C215,[1]products!$A$2:$A$71,[1]products!$D$2:$D$71)</f>
        <v>1141</v>
      </c>
      <c r="H215" s="16">
        <v>44986</v>
      </c>
      <c r="I215" s="16" t="str">
        <f t="shared" si="15"/>
        <v>March</v>
      </c>
      <c r="J215" s="16" t="str">
        <f t="shared" si="16"/>
        <v>Wednesday</v>
      </c>
      <c r="K215" s="17">
        <v>0.32633101851851848</v>
      </c>
      <c r="L215" s="16">
        <v>44992</v>
      </c>
      <c r="M215" s="18">
        <f>HOUR(orders!$K215)</f>
        <v>7</v>
      </c>
      <c r="N215" s="16" t="str">
        <f t="shared" si="17"/>
        <v>March</v>
      </c>
      <c r="O215" s="17">
        <v>0.35237268518518516</v>
      </c>
      <c r="P215" s="17" t="str">
        <f>_xlfn.XLOOKUP(B215,[2]customers!$A$2:$A$101,[2]customers!$C$2:$C$101)</f>
        <v>Dhanbad</v>
      </c>
      <c r="Q215" s="14" t="s">
        <v>263</v>
      </c>
      <c r="R215" s="14" t="s">
        <v>36</v>
      </c>
      <c r="S215" s="15">
        <f t="shared" si="18"/>
        <v>3423</v>
      </c>
      <c r="T215" s="19">
        <f t="shared" si="19"/>
        <v>6</v>
      </c>
    </row>
    <row r="216" spans="1:20" x14ac:dyDescent="0.3">
      <c r="A216" s="20">
        <v>215</v>
      </c>
      <c r="B216" s="20" t="s">
        <v>264</v>
      </c>
      <c r="C216" s="20">
        <v>17</v>
      </c>
      <c r="D216" s="20" t="s">
        <v>455</v>
      </c>
      <c r="E216" s="20" t="s">
        <v>445</v>
      </c>
      <c r="F216" s="20">
        <v>1</v>
      </c>
      <c r="G216" s="21">
        <f>_xlfn.XLOOKUP(C216,[1]products!$A$2:$A$71,[1]products!$D$2:$D$71)</f>
        <v>1899</v>
      </c>
      <c r="H216" s="22">
        <v>45067</v>
      </c>
      <c r="I216" s="22" t="str">
        <f t="shared" si="15"/>
        <v>May</v>
      </c>
      <c r="J216" s="22" t="str">
        <f t="shared" si="16"/>
        <v>Sunday</v>
      </c>
      <c r="K216" s="23">
        <v>0.1628009259259259</v>
      </c>
      <c r="L216" s="22">
        <v>45070</v>
      </c>
      <c r="M216" s="24">
        <f>HOUR(orders!$K216)</f>
        <v>3</v>
      </c>
      <c r="N216" s="22" t="str">
        <f t="shared" si="17"/>
        <v>May</v>
      </c>
      <c r="O216" s="23">
        <v>0.52608796296296301</v>
      </c>
      <c r="P216" s="23" t="str">
        <f>_xlfn.XLOOKUP(B216,[2]customers!$A$2:$A$101,[2]customers!$C$2:$C$101)</f>
        <v>Cuttack</v>
      </c>
      <c r="Q216" s="20" t="s">
        <v>79</v>
      </c>
      <c r="R216" s="20" t="s">
        <v>12</v>
      </c>
      <c r="S216" s="21">
        <f t="shared" si="18"/>
        <v>1899</v>
      </c>
      <c r="T216" s="25">
        <f t="shared" si="19"/>
        <v>3</v>
      </c>
    </row>
    <row r="217" spans="1:20" x14ac:dyDescent="0.3">
      <c r="A217" s="14">
        <v>216</v>
      </c>
      <c r="B217" s="14" t="s">
        <v>251</v>
      </c>
      <c r="C217" s="14">
        <v>23</v>
      </c>
      <c r="D217" s="14" t="s">
        <v>441</v>
      </c>
      <c r="E217" s="14" t="s">
        <v>427</v>
      </c>
      <c r="F217" s="14">
        <v>1</v>
      </c>
      <c r="G217" s="15">
        <f>_xlfn.XLOOKUP(C217,[1]products!$A$2:$A$71,[1]products!$D$2:$D$71)</f>
        <v>1098</v>
      </c>
      <c r="H217" s="16">
        <v>45202</v>
      </c>
      <c r="I217" s="16" t="str">
        <f t="shared" si="15"/>
        <v>October</v>
      </c>
      <c r="J217" s="16" t="str">
        <f t="shared" si="16"/>
        <v>Tuesday</v>
      </c>
      <c r="K217" s="17">
        <v>0.65734953703703702</v>
      </c>
      <c r="L217" s="16">
        <v>45207</v>
      </c>
      <c r="M217" s="18">
        <f>HOUR(orders!$K217)</f>
        <v>15</v>
      </c>
      <c r="N217" s="16" t="str">
        <f t="shared" si="17"/>
        <v>October</v>
      </c>
      <c r="O217" s="17">
        <v>0.8656018518518519</v>
      </c>
      <c r="P217" s="17" t="str">
        <f>_xlfn.XLOOKUP(B217,[2]customers!$A$2:$A$101,[2]customers!$C$2:$C$101)</f>
        <v>Miryalaguda</v>
      </c>
      <c r="Q217" s="14" t="s">
        <v>265</v>
      </c>
      <c r="R217" s="14" t="s">
        <v>12</v>
      </c>
      <c r="S217" s="15">
        <f t="shared" si="18"/>
        <v>1098</v>
      </c>
      <c r="T217" s="19">
        <f t="shared" si="19"/>
        <v>5</v>
      </c>
    </row>
    <row r="218" spans="1:20" x14ac:dyDescent="0.3">
      <c r="A218" s="20">
        <v>217</v>
      </c>
      <c r="B218" s="20" t="s">
        <v>40</v>
      </c>
      <c r="C218" s="20">
        <v>53</v>
      </c>
      <c r="D218" s="20" t="s">
        <v>496</v>
      </c>
      <c r="E218" s="20" t="s">
        <v>427</v>
      </c>
      <c r="F218" s="20">
        <v>4</v>
      </c>
      <c r="G218" s="21">
        <f>_xlfn.XLOOKUP(C218,[1]products!$A$2:$A$71,[1]products!$D$2:$D$71)</f>
        <v>1672</v>
      </c>
      <c r="H218" s="22">
        <v>45165</v>
      </c>
      <c r="I218" s="22" t="str">
        <f t="shared" si="15"/>
        <v>August</v>
      </c>
      <c r="J218" s="22" t="str">
        <f t="shared" si="16"/>
        <v>Sunday</v>
      </c>
      <c r="K218" s="23">
        <v>0.12817129629629628</v>
      </c>
      <c r="L218" s="22">
        <v>45168</v>
      </c>
      <c r="M218" s="24">
        <f>HOUR(orders!$K218)</f>
        <v>3</v>
      </c>
      <c r="N218" s="22" t="str">
        <f t="shared" si="17"/>
        <v>August</v>
      </c>
      <c r="O218" s="23">
        <v>0.69605324074074071</v>
      </c>
      <c r="P218" s="23" t="str">
        <f>_xlfn.XLOOKUP(B218,[2]customers!$A$2:$A$101,[2]customers!$C$2:$C$101)</f>
        <v>Ajmer</v>
      </c>
      <c r="Q218" s="20" t="s">
        <v>22</v>
      </c>
      <c r="R218" s="20" t="s">
        <v>26</v>
      </c>
      <c r="S218" s="21">
        <f t="shared" si="18"/>
        <v>6688</v>
      </c>
      <c r="T218" s="25">
        <f t="shared" si="19"/>
        <v>3</v>
      </c>
    </row>
    <row r="219" spans="1:20" x14ac:dyDescent="0.3">
      <c r="A219" s="14">
        <v>218</v>
      </c>
      <c r="B219" s="14" t="s">
        <v>153</v>
      </c>
      <c r="C219" s="14">
        <v>31</v>
      </c>
      <c r="D219" s="14" t="s">
        <v>474</v>
      </c>
      <c r="E219" s="14" t="s">
        <v>429</v>
      </c>
      <c r="F219" s="14">
        <v>4</v>
      </c>
      <c r="G219" s="15">
        <f>_xlfn.XLOOKUP(C219,[1]products!$A$2:$A$71,[1]products!$D$2:$D$71)</f>
        <v>1804</v>
      </c>
      <c r="H219" s="16">
        <v>45090</v>
      </c>
      <c r="I219" s="16" t="str">
        <f t="shared" si="15"/>
        <v>June</v>
      </c>
      <c r="J219" s="16" t="str">
        <f t="shared" si="16"/>
        <v>Tuesday</v>
      </c>
      <c r="K219" s="17">
        <v>0.95498842592592592</v>
      </c>
      <c r="L219" s="16">
        <v>45093</v>
      </c>
      <c r="M219" s="18">
        <f>HOUR(orders!$K219)</f>
        <v>22</v>
      </c>
      <c r="N219" s="16" t="str">
        <f t="shared" si="17"/>
        <v>June</v>
      </c>
      <c r="O219" s="17">
        <v>0.12917824074074075</v>
      </c>
      <c r="P219" s="17" t="str">
        <f>_xlfn.XLOOKUP(B219,[2]customers!$A$2:$A$101,[2]customers!$C$2:$C$101)</f>
        <v>Kavali</v>
      </c>
      <c r="Q219" s="14" t="s">
        <v>266</v>
      </c>
      <c r="R219" s="14" t="s">
        <v>60</v>
      </c>
      <c r="S219" s="15">
        <f t="shared" si="18"/>
        <v>7216</v>
      </c>
      <c r="T219" s="19">
        <f t="shared" si="19"/>
        <v>3</v>
      </c>
    </row>
    <row r="220" spans="1:20" x14ac:dyDescent="0.3">
      <c r="A220" s="20">
        <v>219</v>
      </c>
      <c r="B220" s="20" t="s">
        <v>238</v>
      </c>
      <c r="C220" s="20">
        <v>16</v>
      </c>
      <c r="D220" s="20" t="s">
        <v>437</v>
      </c>
      <c r="E220" s="20" t="s">
        <v>427</v>
      </c>
      <c r="F220" s="20">
        <v>5</v>
      </c>
      <c r="G220" s="21">
        <f>_xlfn.XLOOKUP(C220,[1]products!$A$2:$A$71,[1]products!$D$2:$D$71)</f>
        <v>1721</v>
      </c>
      <c r="H220" s="22">
        <v>44990</v>
      </c>
      <c r="I220" s="22" t="str">
        <f t="shared" si="15"/>
        <v>March</v>
      </c>
      <c r="J220" s="22" t="str">
        <f t="shared" si="16"/>
        <v>Sunday</v>
      </c>
      <c r="K220" s="23">
        <v>2.508101851851852E-2</v>
      </c>
      <c r="L220" s="22">
        <v>44996</v>
      </c>
      <c r="M220" s="24">
        <f>HOUR(orders!$K220)</f>
        <v>0</v>
      </c>
      <c r="N220" s="22" t="str">
        <f t="shared" si="17"/>
        <v>March</v>
      </c>
      <c r="O220" s="23">
        <v>0.44172453703703707</v>
      </c>
      <c r="P220" s="23" t="str">
        <f>_xlfn.XLOOKUP(B220,[2]customers!$A$2:$A$101,[2]customers!$C$2:$C$101)</f>
        <v>Serampore</v>
      </c>
      <c r="Q220" s="20" t="s">
        <v>254</v>
      </c>
      <c r="R220" s="20" t="s">
        <v>36</v>
      </c>
      <c r="S220" s="21">
        <f t="shared" si="18"/>
        <v>8605</v>
      </c>
      <c r="T220" s="25">
        <f t="shared" si="19"/>
        <v>6</v>
      </c>
    </row>
    <row r="221" spans="1:20" x14ac:dyDescent="0.3">
      <c r="A221" s="14">
        <v>220</v>
      </c>
      <c r="B221" s="14" t="s">
        <v>256</v>
      </c>
      <c r="C221" s="14">
        <v>26</v>
      </c>
      <c r="D221" s="14" t="s">
        <v>473</v>
      </c>
      <c r="E221" s="14" t="s">
        <v>429</v>
      </c>
      <c r="F221" s="14">
        <v>3</v>
      </c>
      <c r="G221" s="15">
        <f>_xlfn.XLOOKUP(C221,[1]products!$A$2:$A$71,[1]products!$D$2:$D$71)</f>
        <v>289</v>
      </c>
      <c r="H221" s="16">
        <v>44991</v>
      </c>
      <c r="I221" s="16" t="str">
        <f t="shared" si="15"/>
        <v>March</v>
      </c>
      <c r="J221" s="16" t="str">
        <f t="shared" si="16"/>
        <v>Monday</v>
      </c>
      <c r="K221" s="17">
        <v>0.51868055555555559</v>
      </c>
      <c r="L221" s="16">
        <v>45000</v>
      </c>
      <c r="M221" s="18">
        <f>HOUR(orders!$K221)</f>
        <v>12</v>
      </c>
      <c r="N221" s="16" t="str">
        <f t="shared" si="17"/>
        <v>March</v>
      </c>
      <c r="O221" s="17">
        <v>0.6124074074074074</v>
      </c>
      <c r="P221" s="17" t="str">
        <f>_xlfn.XLOOKUP(B221,[2]customers!$A$2:$A$101,[2]customers!$C$2:$C$101)</f>
        <v>Panchkula</v>
      </c>
      <c r="Q221" s="14" t="s">
        <v>267</v>
      </c>
      <c r="R221" s="14" t="s">
        <v>36</v>
      </c>
      <c r="S221" s="15">
        <f t="shared" si="18"/>
        <v>867</v>
      </c>
      <c r="T221" s="19">
        <f t="shared" si="19"/>
        <v>9</v>
      </c>
    </row>
    <row r="222" spans="1:20" x14ac:dyDescent="0.3">
      <c r="A222" s="20">
        <v>221</v>
      </c>
      <c r="B222" s="20" t="s">
        <v>268</v>
      </c>
      <c r="C222" s="20">
        <v>28</v>
      </c>
      <c r="D222" s="20" t="s">
        <v>432</v>
      </c>
      <c r="E222" s="20" t="s">
        <v>427</v>
      </c>
      <c r="F222" s="20">
        <v>4</v>
      </c>
      <c r="G222" s="21">
        <f>_xlfn.XLOOKUP(C222,[1]products!$A$2:$A$71,[1]products!$D$2:$D$71)</f>
        <v>1778</v>
      </c>
      <c r="H222" s="22">
        <v>45159</v>
      </c>
      <c r="I222" s="22" t="str">
        <f t="shared" si="15"/>
        <v>August</v>
      </c>
      <c r="J222" s="22" t="str">
        <f t="shared" si="16"/>
        <v>Monday</v>
      </c>
      <c r="K222" s="23">
        <v>9.1018518518518512E-2</v>
      </c>
      <c r="L222" s="22">
        <v>45168</v>
      </c>
      <c r="M222" s="24">
        <f>HOUR(orders!$K222)</f>
        <v>2</v>
      </c>
      <c r="N222" s="22" t="str">
        <f t="shared" si="17"/>
        <v>August</v>
      </c>
      <c r="O222" s="23">
        <v>0.58373842592592595</v>
      </c>
      <c r="P222" s="23" t="str">
        <f>_xlfn.XLOOKUP(B222,[2]customers!$A$2:$A$101,[2]customers!$C$2:$C$101)</f>
        <v>Gaya</v>
      </c>
      <c r="Q222" s="20" t="s">
        <v>269</v>
      </c>
      <c r="R222" s="20" t="s">
        <v>26</v>
      </c>
      <c r="S222" s="21">
        <f t="shared" si="18"/>
        <v>7112</v>
      </c>
      <c r="T222" s="25">
        <f t="shared" si="19"/>
        <v>9</v>
      </c>
    </row>
    <row r="223" spans="1:20" x14ac:dyDescent="0.3">
      <c r="A223" s="14">
        <v>222</v>
      </c>
      <c r="B223" s="14" t="s">
        <v>32</v>
      </c>
      <c r="C223" s="14">
        <v>6</v>
      </c>
      <c r="D223" s="14" t="s">
        <v>450</v>
      </c>
      <c r="E223" s="14" t="s">
        <v>431</v>
      </c>
      <c r="F223" s="14">
        <v>5</v>
      </c>
      <c r="G223" s="15">
        <f>_xlfn.XLOOKUP(C223,[1]products!$A$2:$A$71,[1]products!$D$2:$D$71)</f>
        <v>1112</v>
      </c>
      <c r="H223" s="16">
        <v>44983</v>
      </c>
      <c r="I223" s="16" t="str">
        <f t="shared" si="15"/>
        <v>February</v>
      </c>
      <c r="J223" s="16" t="str">
        <f t="shared" si="16"/>
        <v>Sunday</v>
      </c>
      <c r="K223" s="17">
        <v>0.24820601851851851</v>
      </c>
      <c r="L223" s="16">
        <v>44992</v>
      </c>
      <c r="M223" s="18">
        <f>HOUR(orders!$K223)</f>
        <v>5</v>
      </c>
      <c r="N223" s="16" t="str">
        <f t="shared" si="17"/>
        <v>March</v>
      </c>
      <c r="O223" s="17">
        <v>0.76446759259259256</v>
      </c>
      <c r="P223" s="17" t="str">
        <f>_xlfn.XLOOKUP(B223,[2]customers!$A$2:$A$101,[2]customers!$C$2:$C$101)</f>
        <v>Dhanbad</v>
      </c>
      <c r="Q223" s="14" t="s">
        <v>183</v>
      </c>
      <c r="R223" s="14" t="s">
        <v>36</v>
      </c>
      <c r="S223" s="15">
        <f t="shared" si="18"/>
        <v>5560</v>
      </c>
      <c r="T223" s="19">
        <f t="shared" si="19"/>
        <v>9</v>
      </c>
    </row>
    <row r="224" spans="1:20" x14ac:dyDescent="0.3">
      <c r="A224" s="20">
        <v>223</v>
      </c>
      <c r="B224" s="20" t="s">
        <v>192</v>
      </c>
      <c r="C224" s="20">
        <v>49</v>
      </c>
      <c r="D224" s="20" t="s">
        <v>463</v>
      </c>
      <c r="E224" s="20" t="s">
        <v>429</v>
      </c>
      <c r="F224" s="20">
        <v>2</v>
      </c>
      <c r="G224" s="21">
        <f>_xlfn.XLOOKUP(C224,[1]products!$A$2:$A$71,[1]products!$D$2:$D$71)</f>
        <v>903</v>
      </c>
      <c r="H224" s="22">
        <v>44962</v>
      </c>
      <c r="I224" s="22" t="str">
        <f t="shared" si="15"/>
        <v>February</v>
      </c>
      <c r="J224" s="22" t="str">
        <f t="shared" si="16"/>
        <v>Sunday</v>
      </c>
      <c r="K224" s="23">
        <v>0.36417824074074073</v>
      </c>
      <c r="L224" s="22">
        <v>44970</v>
      </c>
      <c r="M224" s="24">
        <f>HOUR(orders!$K224)</f>
        <v>8</v>
      </c>
      <c r="N224" s="22" t="str">
        <f t="shared" si="17"/>
        <v>February</v>
      </c>
      <c r="O224" s="23">
        <v>0.4291550925925926</v>
      </c>
      <c r="P224" s="23" t="str">
        <f>_xlfn.XLOOKUP(B224,[2]customers!$A$2:$A$101,[2]customers!$C$2:$C$101)</f>
        <v>Kota</v>
      </c>
      <c r="Q224" s="20" t="s">
        <v>270</v>
      </c>
      <c r="R224" s="20" t="s">
        <v>23</v>
      </c>
      <c r="S224" s="21">
        <f t="shared" si="18"/>
        <v>1806</v>
      </c>
      <c r="T224" s="25">
        <f t="shared" si="19"/>
        <v>8</v>
      </c>
    </row>
    <row r="225" spans="1:20" x14ac:dyDescent="0.3">
      <c r="A225" s="14">
        <v>224</v>
      </c>
      <c r="B225" s="14" t="s">
        <v>134</v>
      </c>
      <c r="C225" s="14">
        <v>34</v>
      </c>
      <c r="D225" s="14" t="s">
        <v>472</v>
      </c>
      <c r="E225" s="14" t="s">
        <v>445</v>
      </c>
      <c r="F225" s="14">
        <v>1</v>
      </c>
      <c r="G225" s="15">
        <f>_xlfn.XLOOKUP(C225,[1]products!$A$2:$A$71,[1]products!$D$2:$D$71)</f>
        <v>1335</v>
      </c>
      <c r="H225" s="16">
        <v>45162</v>
      </c>
      <c r="I225" s="16" t="str">
        <f t="shared" si="15"/>
        <v>August</v>
      </c>
      <c r="J225" s="16" t="str">
        <f t="shared" si="16"/>
        <v>Thursday</v>
      </c>
      <c r="K225" s="17">
        <v>0.8763657407407407</v>
      </c>
      <c r="L225" s="16">
        <v>45167</v>
      </c>
      <c r="M225" s="18">
        <f>HOUR(orders!$K225)</f>
        <v>21</v>
      </c>
      <c r="N225" s="16" t="str">
        <f t="shared" si="17"/>
        <v>August</v>
      </c>
      <c r="O225" s="17">
        <v>8.7962962962962965E-2</v>
      </c>
      <c r="P225" s="17" t="str">
        <f>_xlfn.XLOOKUP(B225,[2]customers!$A$2:$A$101,[2]customers!$C$2:$C$101)</f>
        <v>Noida</v>
      </c>
      <c r="Q225" s="14" t="s">
        <v>271</v>
      </c>
      <c r="R225" s="14" t="s">
        <v>26</v>
      </c>
      <c r="S225" s="15">
        <f t="shared" si="18"/>
        <v>1335</v>
      </c>
      <c r="T225" s="19">
        <f t="shared" si="19"/>
        <v>5</v>
      </c>
    </row>
    <row r="226" spans="1:20" x14ac:dyDescent="0.3">
      <c r="A226" s="20">
        <v>225</v>
      </c>
      <c r="B226" s="20" t="s">
        <v>249</v>
      </c>
      <c r="C226" s="20">
        <v>52</v>
      </c>
      <c r="D226" s="20" t="s">
        <v>443</v>
      </c>
      <c r="E226" s="20" t="s">
        <v>26</v>
      </c>
      <c r="F226" s="20">
        <v>5</v>
      </c>
      <c r="G226" s="21">
        <f>_xlfn.XLOOKUP(C226,[1]products!$A$2:$A$71,[1]products!$D$2:$D$71)</f>
        <v>236</v>
      </c>
      <c r="H226" s="22">
        <v>44962</v>
      </c>
      <c r="I226" s="22" t="str">
        <f t="shared" si="15"/>
        <v>February</v>
      </c>
      <c r="J226" s="22" t="str">
        <f t="shared" si="16"/>
        <v>Sunday</v>
      </c>
      <c r="K226" s="23">
        <v>0.50863425925925931</v>
      </c>
      <c r="L226" s="22">
        <v>44963</v>
      </c>
      <c r="M226" s="24">
        <f>HOUR(orders!$K226)</f>
        <v>12</v>
      </c>
      <c r="N226" s="22" t="str">
        <f t="shared" si="17"/>
        <v>February</v>
      </c>
      <c r="O226" s="23">
        <v>0.7507638888888889</v>
      </c>
      <c r="P226" s="23" t="str">
        <f>_xlfn.XLOOKUP(B226,[2]customers!$A$2:$A$101,[2]customers!$C$2:$C$101)</f>
        <v>Tumkur</v>
      </c>
      <c r="Q226" s="20" t="s">
        <v>272</v>
      </c>
      <c r="R226" s="20" t="s">
        <v>23</v>
      </c>
      <c r="S226" s="21">
        <f t="shared" si="18"/>
        <v>1180</v>
      </c>
      <c r="T226" s="25">
        <f t="shared" si="19"/>
        <v>1</v>
      </c>
    </row>
    <row r="227" spans="1:20" x14ac:dyDescent="0.3">
      <c r="A227" s="14">
        <v>226</v>
      </c>
      <c r="B227" s="14" t="s">
        <v>67</v>
      </c>
      <c r="C227" s="14">
        <v>14</v>
      </c>
      <c r="D227" s="14" t="s">
        <v>428</v>
      </c>
      <c r="E227" s="14" t="s">
        <v>429</v>
      </c>
      <c r="F227" s="14">
        <v>2</v>
      </c>
      <c r="G227" s="15">
        <f>_xlfn.XLOOKUP(C227,[1]products!$A$2:$A$71,[1]products!$D$2:$D$71)</f>
        <v>1915</v>
      </c>
      <c r="H227" s="16">
        <v>45177</v>
      </c>
      <c r="I227" s="16" t="str">
        <f t="shared" si="15"/>
        <v>September</v>
      </c>
      <c r="J227" s="16" t="str">
        <f t="shared" si="16"/>
        <v>Friday</v>
      </c>
      <c r="K227" s="17">
        <v>0.36724537037037036</v>
      </c>
      <c r="L227" s="16">
        <v>45181</v>
      </c>
      <c r="M227" s="18">
        <f>HOUR(orders!$K227)</f>
        <v>8</v>
      </c>
      <c r="N227" s="16" t="str">
        <f t="shared" si="17"/>
        <v>September</v>
      </c>
      <c r="O227" s="17">
        <v>0.47263888888888889</v>
      </c>
      <c r="P227" s="17" t="str">
        <f>_xlfn.XLOOKUP(B227,[2]customers!$A$2:$A$101,[2]customers!$C$2:$C$101)</f>
        <v>Srikakulam</v>
      </c>
      <c r="Q227" s="14" t="s">
        <v>104</v>
      </c>
      <c r="R227" s="14" t="s">
        <v>20</v>
      </c>
      <c r="S227" s="15">
        <f t="shared" si="18"/>
        <v>3830</v>
      </c>
      <c r="T227" s="19">
        <f t="shared" si="19"/>
        <v>4</v>
      </c>
    </row>
    <row r="228" spans="1:20" x14ac:dyDescent="0.3">
      <c r="A228" s="20">
        <v>227</v>
      </c>
      <c r="B228" s="20" t="s">
        <v>251</v>
      </c>
      <c r="C228" s="20">
        <v>24</v>
      </c>
      <c r="D228" s="20" t="s">
        <v>485</v>
      </c>
      <c r="E228" s="20" t="s">
        <v>458</v>
      </c>
      <c r="F228" s="20">
        <v>4</v>
      </c>
      <c r="G228" s="21">
        <f>_xlfn.XLOOKUP(C228,[1]products!$A$2:$A$71,[1]products!$D$2:$D$71)</f>
        <v>535</v>
      </c>
      <c r="H228" s="22">
        <v>45285</v>
      </c>
      <c r="I228" s="22" t="str">
        <f t="shared" si="15"/>
        <v>December</v>
      </c>
      <c r="J228" s="22" t="str">
        <f t="shared" si="16"/>
        <v>Monday</v>
      </c>
      <c r="K228" s="23">
        <v>0.78520833333333329</v>
      </c>
      <c r="L228" s="22">
        <v>45286</v>
      </c>
      <c r="M228" s="24">
        <f>HOUR(orders!$K228)</f>
        <v>18</v>
      </c>
      <c r="N228" s="22" t="str">
        <f t="shared" si="17"/>
        <v>December</v>
      </c>
      <c r="O228" s="23">
        <v>0.59009259259259261</v>
      </c>
      <c r="P228" s="23" t="str">
        <f>_xlfn.XLOOKUP(B228,[2]customers!$A$2:$A$101,[2]customers!$C$2:$C$101)</f>
        <v>Miryalaguda</v>
      </c>
      <c r="Q228" s="20" t="s">
        <v>273</v>
      </c>
      <c r="R228" s="20" t="s">
        <v>20</v>
      </c>
      <c r="S228" s="21">
        <f t="shared" si="18"/>
        <v>2140</v>
      </c>
      <c r="T228" s="25">
        <f t="shared" si="19"/>
        <v>1</v>
      </c>
    </row>
    <row r="229" spans="1:20" x14ac:dyDescent="0.3">
      <c r="A229" s="14">
        <v>228</v>
      </c>
      <c r="B229" s="14" t="s">
        <v>180</v>
      </c>
      <c r="C229" s="14">
        <v>36</v>
      </c>
      <c r="D229" s="14" t="s">
        <v>468</v>
      </c>
      <c r="E229" s="14" t="s">
        <v>447</v>
      </c>
      <c r="F229" s="14">
        <v>1</v>
      </c>
      <c r="G229" s="15">
        <f>_xlfn.XLOOKUP(C229,[1]products!$A$2:$A$71,[1]products!$D$2:$D$71)</f>
        <v>203</v>
      </c>
      <c r="H229" s="16">
        <v>44995</v>
      </c>
      <c r="I229" s="16" t="str">
        <f t="shared" si="15"/>
        <v>March</v>
      </c>
      <c r="J229" s="16" t="str">
        <f t="shared" si="16"/>
        <v>Friday</v>
      </c>
      <c r="K229" s="17">
        <v>0.77837962962962959</v>
      </c>
      <c r="L229" s="16">
        <v>44996</v>
      </c>
      <c r="M229" s="18">
        <f>HOUR(orders!$K229)</f>
        <v>18</v>
      </c>
      <c r="N229" s="16" t="str">
        <f t="shared" si="17"/>
        <v>March</v>
      </c>
      <c r="O229" s="17">
        <v>0.4375</v>
      </c>
      <c r="P229" s="17" t="str">
        <f>_xlfn.XLOOKUP(B229,[2]customers!$A$2:$A$101,[2]customers!$C$2:$C$101)</f>
        <v>Vellore</v>
      </c>
      <c r="Q229" s="14" t="s">
        <v>274</v>
      </c>
      <c r="R229" s="14" t="s">
        <v>20</v>
      </c>
      <c r="S229" s="15">
        <f t="shared" si="18"/>
        <v>203</v>
      </c>
      <c r="T229" s="19">
        <f t="shared" si="19"/>
        <v>1</v>
      </c>
    </row>
    <row r="230" spans="1:20" x14ac:dyDescent="0.3">
      <c r="A230" s="20">
        <v>229</v>
      </c>
      <c r="B230" s="20" t="s">
        <v>275</v>
      </c>
      <c r="C230" s="20">
        <v>49</v>
      </c>
      <c r="D230" s="20" t="s">
        <v>463</v>
      </c>
      <c r="E230" s="20" t="s">
        <v>429</v>
      </c>
      <c r="F230" s="20">
        <v>3</v>
      </c>
      <c r="G230" s="21">
        <f>_xlfn.XLOOKUP(C230,[1]products!$A$2:$A$71,[1]products!$D$2:$D$71)</f>
        <v>903</v>
      </c>
      <c r="H230" s="22">
        <v>44968</v>
      </c>
      <c r="I230" s="22" t="str">
        <f t="shared" si="15"/>
        <v>February</v>
      </c>
      <c r="J230" s="22" t="str">
        <f t="shared" si="16"/>
        <v>Saturday</v>
      </c>
      <c r="K230" s="23">
        <v>0.8719675925925926</v>
      </c>
      <c r="L230" s="22">
        <v>44977</v>
      </c>
      <c r="M230" s="24">
        <f>HOUR(orders!$K230)</f>
        <v>20</v>
      </c>
      <c r="N230" s="22" t="str">
        <f t="shared" si="17"/>
        <v>February</v>
      </c>
      <c r="O230" s="23">
        <v>0.39780092592592592</v>
      </c>
      <c r="P230" s="23" t="str">
        <f>_xlfn.XLOOKUP(B230,[2]customers!$A$2:$A$101,[2]customers!$C$2:$C$101)</f>
        <v>Bhilai</v>
      </c>
      <c r="Q230" s="20" t="s">
        <v>276</v>
      </c>
      <c r="R230" s="20" t="s">
        <v>23</v>
      </c>
      <c r="S230" s="21">
        <f t="shared" si="18"/>
        <v>2709</v>
      </c>
      <c r="T230" s="25">
        <f t="shared" si="19"/>
        <v>9</v>
      </c>
    </row>
    <row r="231" spans="1:20" x14ac:dyDescent="0.3">
      <c r="A231" s="14">
        <v>230</v>
      </c>
      <c r="B231" s="14" t="s">
        <v>142</v>
      </c>
      <c r="C231" s="14">
        <v>64</v>
      </c>
      <c r="D231" s="14" t="s">
        <v>492</v>
      </c>
      <c r="E231" s="14" t="s">
        <v>445</v>
      </c>
      <c r="F231" s="14">
        <v>3</v>
      </c>
      <c r="G231" s="15">
        <f>_xlfn.XLOOKUP(C231,[1]products!$A$2:$A$71,[1]products!$D$2:$D$71)</f>
        <v>1878</v>
      </c>
      <c r="H231" s="16">
        <v>45165</v>
      </c>
      <c r="I231" s="16" t="str">
        <f t="shared" si="15"/>
        <v>August</v>
      </c>
      <c r="J231" s="16" t="str">
        <f t="shared" si="16"/>
        <v>Sunday</v>
      </c>
      <c r="K231" s="17">
        <v>0.35266203703703702</v>
      </c>
      <c r="L231" s="16">
        <v>45170</v>
      </c>
      <c r="M231" s="18">
        <f>HOUR(orders!$K231)</f>
        <v>8</v>
      </c>
      <c r="N231" s="16" t="str">
        <f t="shared" si="17"/>
        <v>September</v>
      </c>
      <c r="O231" s="17">
        <v>6.653935185185185E-2</v>
      </c>
      <c r="P231" s="17" t="str">
        <f>_xlfn.XLOOKUP(B231,[2]customers!$A$2:$A$101,[2]customers!$C$2:$C$101)</f>
        <v>Bharatpur</v>
      </c>
      <c r="Q231" s="14" t="s">
        <v>277</v>
      </c>
      <c r="R231" s="14" t="s">
        <v>26</v>
      </c>
      <c r="S231" s="15">
        <f t="shared" si="18"/>
        <v>5634</v>
      </c>
      <c r="T231" s="19">
        <f t="shared" si="19"/>
        <v>5</v>
      </c>
    </row>
    <row r="232" spans="1:20" x14ac:dyDescent="0.3">
      <c r="A232" s="20">
        <v>231</v>
      </c>
      <c r="B232" s="20" t="s">
        <v>249</v>
      </c>
      <c r="C232" s="20">
        <v>64</v>
      </c>
      <c r="D232" s="20" t="s">
        <v>492</v>
      </c>
      <c r="E232" s="20" t="s">
        <v>445</v>
      </c>
      <c r="F232" s="20">
        <v>3</v>
      </c>
      <c r="G232" s="21">
        <f>_xlfn.XLOOKUP(C232,[1]products!$A$2:$A$71,[1]products!$D$2:$D$71)</f>
        <v>1878</v>
      </c>
      <c r="H232" s="22">
        <v>45162</v>
      </c>
      <c r="I232" s="22" t="str">
        <f t="shared" si="15"/>
        <v>August</v>
      </c>
      <c r="J232" s="22" t="str">
        <f t="shared" si="16"/>
        <v>Thursday</v>
      </c>
      <c r="K232" s="23">
        <v>0.38562500000000005</v>
      </c>
      <c r="L232" s="22">
        <v>45166</v>
      </c>
      <c r="M232" s="24">
        <f>HOUR(orders!$K232)</f>
        <v>9</v>
      </c>
      <c r="N232" s="22" t="str">
        <f t="shared" si="17"/>
        <v>August</v>
      </c>
      <c r="O232" s="23">
        <v>0.88403935185185178</v>
      </c>
      <c r="P232" s="23" t="str">
        <f>_xlfn.XLOOKUP(B232,[2]customers!$A$2:$A$101,[2]customers!$C$2:$C$101)</f>
        <v>Tumkur</v>
      </c>
      <c r="Q232" s="20" t="s">
        <v>278</v>
      </c>
      <c r="R232" s="20" t="s">
        <v>26</v>
      </c>
      <c r="S232" s="21">
        <f t="shared" si="18"/>
        <v>5634</v>
      </c>
      <c r="T232" s="25">
        <f t="shared" si="19"/>
        <v>4</v>
      </c>
    </row>
    <row r="233" spans="1:20" x14ac:dyDescent="0.3">
      <c r="A233" s="14">
        <v>232</v>
      </c>
      <c r="B233" s="14" t="s">
        <v>31</v>
      </c>
      <c r="C233" s="14">
        <v>28</v>
      </c>
      <c r="D233" s="14" t="s">
        <v>432</v>
      </c>
      <c r="E233" s="14" t="s">
        <v>427</v>
      </c>
      <c r="F233" s="14">
        <v>3</v>
      </c>
      <c r="G233" s="15">
        <f>_xlfn.XLOOKUP(C233,[1]products!$A$2:$A$71,[1]products!$D$2:$D$71)</f>
        <v>1778</v>
      </c>
      <c r="H233" s="16">
        <v>45160</v>
      </c>
      <c r="I233" s="16" t="str">
        <f t="shared" si="15"/>
        <v>August</v>
      </c>
      <c r="J233" s="16" t="str">
        <f t="shared" si="16"/>
        <v>Tuesday</v>
      </c>
      <c r="K233" s="17">
        <v>0.50427083333333333</v>
      </c>
      <c r="L233" s="16">
        <v>45161</v>
      </c>
      <c r="M233" s="18">
        <f>HOUR(orders!$K233)</f>
        <v>12</v>
      </c>
      <c r="N233" s="16" t="str">
        <f t="shared" si="17"/>
        <v>August</v>
      </c>
      <c r="O233" s="17">
        <v>0.37502314814814813</v>
      </c>
      <c r="P233" s="17" t="str">
        <f>_xlfn.XLOOKUP(B233,[2]customers!$A$2:$A$101,[2]customers!$C$2:$C$101)</f>
        <v>Agra</v>
      </c>
      <c r="Q233" s="14" t="s">
        <v>279</v>
      </c>
      <c r="R233" s="14" t="s">
        <v>26</v>
      </c>
      <c r="S233" s="15">
        <f t="shared" si="18"/>
        <v>5334</v>
      </c>
      <c r="T233" s="19">
        <f t="shared" si="19"/>
        <v>1</v>
      </c>
    </row>
    <row r="234" spans="1:20" x14ac:dyDescent="0.3">
      <c r="A234" s="20">
        <v>233</v>
      </c>
      <c r="B234" s="20" t="s">
        <v>264</v>
      </c>
      <c r="C234" s="20">
        <v>64</v>
      </c>
      <c r="D234" s="20" t="s">
        <v>492</v>
      </c>
      <c r="E234" s="20" t="s">
        <v>445</v>
      </c>
      <c r="F234" s="20">
        <v>4</v>
      </c>
      <c r="G234" s="21">
        <f>_xlfn.XLOOKUP(C234,[1]products!$A$2:$A$71,[1]products!$D$2:$D$71)</f>
        <v>1878</v>
      </c>
      <c r="H234" s="22">
        <v>45164</v>
      </c>
      <c r="I234" s="22" t="str">
        <f t="shared" si="15"/>
        <v>August</v>
      </c>
      <c r="J234" s="22" t="str">
        <f t="shared" si="16"/>
        <v>Saturday</v>
      </c>
      <c r="K234" s="23">
        <v>0.92730324074074078</v>
      </c>
      <c r="L234" s="22">
        <v>45168</v>
      </c>
      <c r="M234" s="24">
        <f>HOUR(orders!$K234)</f>
        <v>22</v>
      </c>
      <c r="N234" s="22" t="str">
        <f t="shared" si="17"/>
        <v>August</v>
      </c>
      <c r="O234" s="23">
        <v>0.17197916666666668</v>
      </c>
      <c r="P234" s="23" t="str">
        <f>_xlfn.XLOOKUP(B234,[2]customers!$A$2:$A$101,[2]customers!$C$2:$C$101)</f>
        <v>Cuttack</v>
      </c>
      <c r="Q234" s="20" t="s">
        <v>280</v>
      </c>
      <c r="R234" s="20" t="s">
        <v>26</v>
      </c>
      <c r="S234" s="21">
        <f t="shared" si="18"/>
        <v>7512</v>
      </c>
      <c r="T234" s="25">
        <f t="shared" si="19"/>
        <v>4</v>
      </c>
    </row>
    <row r="235" spans="1:20" x14ac:dyDescent="0.3">
      <c r="A235" s="14">
        <v>234</v>
      </c>
      <c r="B235" s="14" t="s">
        <v>29</v>
      </c>
      <c r="C235" s="14">
        <v>42</v>
      </c>
      <c r="D235" s="14" t="s">
        <v>448</v>
      </c>
      <c r="E235" s="14" t="s">
        <v>427</v>
      </c>
      <c r="F235" s="14">
        <v>1</v>
      </c>
      <c r="G235" s="15">
        <f>_xlfn.XLOOKUP(C235,[1]products!$A$2:$A$71,[1]products!$D$2:$D$71)</f>
        <v>1744</v>
      </c>
      <c r="H235" s="16">
        <v>45009</v>
      </c>
      <c r="I235" s="16" t="str">
        <f t="shared" si="15"/>
        <v>March</v>
      </c>
      <c r="J235" s="16" t="str">
        <f t="shared" si="16"/>
        <v>Friday</v>
      </c>
      <c r="K235" s="17">
        <v>0.88763888888888898</v>
      </c>
      <c r="L235" s="16">
        <v>45017</v>
      </c>
      <c r="M235" s="18">
        <f>HOUR(orders!$K235)</f>
        <v>21</v>
      </c>
      <c r="N235" s="16" t="str">
        <f t="shared" si="17"/>
        <v>April</v>
      </c>
      <c r="O235" s="17">
        <v>2.5613425925925925E-2</v>
      </c>
      <c r="P235" s="17" t="str">
        <f>_xlfn.XLOOKUP(B235,[2]customers!$A$2:$A$101,[2]customers!$C$2:$C$101)</f>
        <v>Sri Ganganagar</v>
      </c>
      <c r="Q235" s="14" t="s">
        <v>281</v>
      </c>
      <c r="R235" s="14" t="s">
        <v>60</v>
      </c>
      <c r="S235" s="15">
        <f t="shared" si="18"/>
        <v>1744</v>
      </c>
      <c r="T235" s="19">
        <f t="shared" si="19"/>
        <v>8</v>
      </c>
    </row>
    <row r="236" spans="1:20" x14ac:dyDescent="0.3">
      <c r="A236" s="20">
        <v>235</v>
      </c>
      <c r="B236" s="20" t="s">
        <v>73</v>
      </c>
      <c r="C236" s="20">
        <v>56</v>
      </c>
      <c r="D236" s="20" t="s">
        <v>436</v>
      </c>
      <c r="E236" s="20" t="s">
        <v>26</v>
      </c>
      <c r="F236" s="20">
        <v>2</v>
      </c>
      <c r="G236" s="21">
        <f>_xlfn.XLOOKUP(C236,[1]products!$A$2:$A$71,[1]products!$D$2:$D$71)</f>
        <v>1272</v>
      </c>
      <c r="H236" s="22">
        <v>44983</v>
      </c>
      <c r="I236" s="22" t="str">
        <f t="shared" si="15"/>
        <v>February</v>
      </c>
      <c r="J236" s="22" t="str">
        <f t="shared" si="16"/>
        <v>Sunday</v>
      </c>
      <c r="K236" s="23">
        <v>0.60192129629629632</v>
      </c>
      <c r="L236" s="22">
        <v>44988</v>
      </c>
      <c r="M236" s="24">
        <f>HOUR(orders!$K236)</f>
        <v>14</v>
      </c>
      <c r="N236" s="22" t="str">
        <f t="shared" si="17"/>
        <v>March</v>
      </c>
      <c r="O236" s="23">
        <v>0.97665509259259264</v>
      </c>
      <c r="P236" s="23" t="str">
        <f>_xlfn.XLOOKUP(B236,[2]customers!$A$2:$A$101,[2]customers!$C$2:$C$101)</f>
        <v>Tiruppur</v>
      </c>
      <c r="Q236" s="20" t="s">
        <v>234</v>
      </c>
      <c r="R236" s="20" t="s">
        <v>12</v>
      </c>
      <c r="S236" s="21">
        <f t="shared" si="18"/>
        <v>2544</v>
      </c>
      <c r="T236" s="25">
        <f t="shared" si="19"/>
        <v>5</v>
      </c>
    </row>
    <row r="237" spans="1:20" x14ac:dyDescent="0.3">
      <c r="A237" s="14">
        <v>236</v>
      </c>
      <c r="B237" s="14" t="s">
        <v>31</v>
      </c>
      <c r="C237" s="14">
        <v>23</v>
      </c>
      <c r="D237" s="14" t="s">
        <v>441</v>
      </c>
      <c r="E237" s="14" t="s">
        <v>427</v>
      </c>
      <c r="F237" s="14">
        <v>5</v>
      </c>
      <c r="G237" s="15">
        <f>_xlfn.XLOOKUP(C237,[1]products!$A$2:$A$71,[1]products!$D$2:$D$71)</f>
        <v>1098</v>
      </c>
      <c r="H237" s="16">
        <v>45172</v>
      </c>
      <c r="I237" s="16" t="str">
        <f t="shared" si="15"/>
        <v>September</v>
      </c>
      <c r="J237" s="16" t="str">
        <f t="shared" si="16"/>
        <v>Sunday</v>
      </c>
      <c r="K237" s="17">
        <v>0.27351851851851855</v>
      </c>
      <c r="L237" s="16">
        <v>45180</v>
      </c>
      <c r="M237" s="18">
        <f>HOUR(orders!$K237)</f>
        <v>6</v>
      </c>
      <c r="N237" s="16" t="str">
        <f t="shared" si="17"/>
        <v>September</v>
      </c>
      <c r="O237" s="17">
        <v>9.0486111111111114E-2</v>
      </c>
      <c r="P237" s="17" t="str">
        <f>_xlfn.XLOOKUP(B237,[2]customers!$A$2:$A$101,[2]customers!$C$2:$C$101)</f>
        <v>Agra</v>
      </c>
      <c r="Q237" s="14" t="s">
        <v>282</v>
      </c>
      <c r="R237" s="14" t="s">
        <v>12</v>
      </c>
      <c r="S237" s="15">
        <f t="shared" si="18"/>
        <v>5490</v>
      </c>
      <c r="T237" s="19">
        <f t="shared" si="19"/>
        <v>8</v>
      </c>
    </row>
    <row r="238" spans="1:20" x14ac:dyDescent="0.3">
      <c r="A238" s="20">
        <v>237</v>
      </c>
      <c r="B238" s="20" t="s">
        <v>38</v>
      </c>
      <c r="C238" s="20">
        <v>55</v>
      </c>
      <c r="D238" s="20" t="s">
        <v>491</v>
      </c>
      <c r="E238" s="20" t="s">
        <v>445</v>
      </c>
      <c r="F238" s="20">
        <v>1</v>
      </c>
      <c r="G238" s="21">
        <f>_xlfn.XLOOKUP(C238,[1]products!$A$2:$A$71,[1]products!$D$2:$D$71)</f>
        <v>1904</v>
      </c>
      <c r="H238" s="22">
        <v>45164</v>
      </c>
      <c r="I238" s="22" t="str">
        <f t="shared" si="15"/>
        <v>August</v>
      </c>
      <c r="J238" s="22" t="str">
        <f t="shared" si="16"/>
        <v>Saturday</v>
      </c>
      <c r="K238" s="23">
        <v>0.39158564814814811</v>
      </c>
      <c r="L238" s="22">
        <v>45168</v>
      </c>
      <c r="M238" s="24">
        <f>HOUR(orders!$K238)</f>
        <v>9</v>
      </c>
      <c r="N238" s="22" t="str">
        <f t="shared" si="17"/>
        <v>August</v>
      </c>
      <c r="O238" s="23">
        <v>0.34675925925925927</v>
      </c>
      <c r="P238" s="23" t="str">
        <f>_xlfn.XLOOKUP(B238,[2]customers!$A$2:$A$101,[2]customers!$C$2:$C$101)</f>
        <v>Kavali</v>
      </c>
      <c r="Q238" s="20" t="s">
        <v>283</v>
      </c>
      <c r="R238" s="20" t="s">
        <v>26</v>
      </c>
      <c r="S238" s="21">
        <f t="shared" si="18"/>
        <v>1904</v>
      </c>
      <c r="T238" s="25">
        <f t="shared" si="19"/>
        <v>4</v>
      </c>
    </row>
    <row r="239" spans="1:20" x14ac:dyDescent="0.3">
      <c r="A239" s="14">
        <v>238</v>
      </c>
      <c r="B239" s="14" t="s">
        <v>184</v>
      </c>
      <c r="C239" s="14">
        <v>26</v>
      </c>
      <c r="D239" s="14" t="s">
        <v>473</v>
      </c>
      <c r="E239" s="14" t="s">
        <v>429</v>
      </c>
      <c r="F239" s="14">
        <v>4</v>
      </c>
      <c r="G239" s="15">
        <f>_xlfn.XLOOKUP(C239,[1]products!$A$2:$A$71,[1]products!$D$2:$D$71)</f>
        <v>289</v>
      </c>
      <c r="H239" s="16">
        <v>44990</v>
      </c>
      <c r="I239" s="16" t="str">
        <f t="shared" si="15"/>
        <v>March</v>
      </c>
      <c r="J239" s="16" t="str">
        <f t="shared" si="16"/>
        <v>Sunday</v>
      </c>
      <c r="K239" s="17">
        <v>0.33105324074074077</v>
      </c>
      <c r="L239" s="16">
        <v>44996</v>
      </c>
      <c r="M239" s="18">
        <f>HOUR(orders!$K239)</f>
        <v>7</v>
      </c>
      <c r="N239" s="16" t="str">
        <f t="shared" si="17"/>
        <v>March</v>
      </c>
      <c r="O239" s="17">
        <v>0.84603009259259254</v>
      </c>
      <c r="P239" s="17" t="str">
        <f>_xlfn.XLOOKUP(B239,[2]customers!$A$2:$A$101,[2]customers!$C$2:$C$101)</f>
        <v>Raurkela Industrial Township</v>
      </c>
      <c r="Q239" s="14" t="s">
        <v>284</v>
      </c>
      <c r="R239" s="14" t="s">
        <v>36</v>
      </c>
      <c r="S239" s="15">
        <f t="shared" si="18"/>
        <v>1156</v>
      </c>
      <c r="T239" s="19">
        <f t="shared" si="19"/>
        <v>6</v>
      </c>
    </row>
    <row r="240" spans="1:20" x14ac:dyDescent="0.3">
      <c r="A240" s="20">
        <v>239</v>
      </c>
      <c r="B240" s="20" t="s">
        <v>66</v>
      </c>
      <c r="C240" s="20">
        <v>27</v>
      </c>
      <c r="D240" s="20" t="s">
        <v>435</v>
      </c>
      <c r="E240" s="20" t="s">
        <v>431</v>
      </c>
      <c r="F240" s="20">
        <v>3</v>
      </c>
      <c r="G240" s="21">
        <f>_xlfn.XLOOKUP(C240,[1]products!$A$2:$A$71,[1]products!$D$2:$D$71)</f>
        <v>548</v>
      </c>
      <c r="H240" s="22">
        <v>45167</v>
      </c>
      <c r="I240" s="22" t="str">
        <f t="shared" si="15"/>
        <v>August</v>
      </c>
      <c r="J240" s="22" t="str">
        <f t="shared" si="16"/>
        <v>Tuesday</v>
      </c>
      <c r="K240" s="23">
        <v>0.35677083333333331</v>
      </c>
      <c r="L240" s="22">
        <v>45175</v>
      </c>
      <c r="M240" s="24">
        <f>HOUR(orders!$K240)</f>
        <v>8</v>
      </c>
      <c r="N240" s="22" t="str">
        <f t="shared" si="17"/>
        <v>September</v>
      </c>
      <c r="O240" s="23">
        <v>0.55773148148148144</v>
      </c>
      <c r="P240" s="23" t="str">
        <f>_xlfn.XLOOKUP(B240,[2]customers!$A$2:$A$101,[2]customers!$C$2:$C$101)</f>
        <v xml:space="preserve">Khora </v>
      </c>
      <c r="Q240" s="20" t="s">
        <v>266</v>
      </c>
      <c r="R240" s="20" t="s">
        <v>26</v>
      </c>
      <c r="S240" s="21">
        <f t="shared" si="18"/>
        <v>1644</v>
      </c>
      <c r="T240" s="25">
        <f t="shared" si="19"/>
        <v>8</v>
      </c>
    </row>
    <row r="241" spans="1:20" x14ac:dyDescent="0.3">
      <c r="A241" s="14">
        <v>240</v>
      </c>
      <c r="B241" s="14" t="s">
        <v>118</v>
      </c>
      <c r="C241" s="14">
        <v>5</v>
      </c>
      <c r="D241" s="14" t="s">
        <v>467</v>
      </c>
      <c r="E241" s="14" t="s">
        <v>429</v>
      </c>
      <c r="F241" s="14">
        <v>5</v>
      </c>
      <c r="G241" s="15">
        <f>_xlfn.XLOOKUP(C241,[1]products!$A$2:$A$71,[1]products!$D$2:$D$71)</f>
        <v>1444</v>
      </c>
      <c r="H241" s="16">
        <v>45010</v>
      </c>
      <c r="I241" s="16" t="str">
        <f t="shared" si="15"/>
        <v>March</v>
      </c>
      <c r="J241" s="16" t="str">
        <f t="shared" si="16"/>
        <v>Saturday</v>
      </c>
      <c r="K241" s="17">
        <v>0.25252314814814814</v>
      </c>
      <c r="L241" s="16">
        <v>45015</v>
      </c>
      <c r="M241" s="18">
        <f>HOUR(orders!$K241)</f>
        <v>6</v>
      </c>
      <c r="N241" s="16" t="str">
        <f t="shared" si="17"/>
        <v>March</v>
      </c>
      <c r="O241" s="17">
        <v>0.6551851851851852</v>
      </c>
      <c r="P241" s="17" t="str">
        <f>_xlfn.XLOOKUP(B241,[2]customers!$A$2:$A$101,[2]customers!$C$2:$C$101)</f>
        <v>Sultan Pur Majra</v>
      </c>
      <c r="Q241" s="14" t="s">
        <v>115</v>
      </c>
      <c r="R241" s="14" t="s">
        <v>60</v>
      </c>
      <c r="S241" s="15">
        <f t="shared" si="18"/>
        <v>7220</v>
      </c>
      <c r="T241" s="19">
        <f t="shared" si="19"/>
        <v>5</v>
      </c>
    </row>
    <row r="242" spans="1:20" x14ac:dyDescent="0.3">
      <c r="A242" s="20">
        <v>241</v>
      </c>
      <c r="B242" s="20" t="s">
        <v>80</v>
      </c>
      <c r="C242" s="20">
        <v>20</v>
      </c>
      <c r="D242" s="20" t="s">
        <v>439</v>
      </c>
      <c r="E242" s="20" t="s">
        <v>429</v>
      </c>
      <c r="F242" s="20">
        <v>2</v>
      </c>
      <c r="G242" s="21">
        <f>_xlfn.XLOOKUP(C242,[1]products!$A$2:$A$71,[1]products!$D$2:$D$71)</f>
        <v>697</v>
      </c>
      <c r="H242" s="22">
        <v>45174</v>
      </c>
      <c r="I242" s="22" t="str">
        <f t="shared" si="15"/>
        <v>September</v>
      </c>
      <c r="J242" s="22" t="str">
        <f t="shared" si="16"/>
        <v>Tuesday</v>
      </c>
      <c r="K242" s="23">
        <v>0.41129629629629627</v>
      </c>
      <c r="L242" s="22">
        <v>45176</v>
      </c>
      <c r="M242" s="24">
        <f>HOUR(orders!$K242)</f>
        <v>9</v>
      </c>
      <c r="N242" s="22" t="str">
        <f t="shared" si="17"/>
        <v>September</v>
      </c>
      <c r="O242" s="23">
        <v>0.37385416666666665</v>
      </c>
      <c r="P242" s="23" t="str">
        <f>_xlfn.XLOOKUP(B242,[2]customers!$A$2:$A$101,[2]customers!$C$2:$C$101)</f>
        <v>Anand</v>
      </c>
      <c r="Q242" s="20" t="s">
        <v>81</v>
      </c>
      <c r="R242" s="20" t="s">
        <v>12</v>
      </c>
      <c r="S242" s="21">
        <f t="shared" si="18"/>
        <v>1394</v>
      </c>
      <c r="T242" s="25">
        <f t="shared" si="19"/>
        <v>2</v>
      </c>
    </row>
    <row r="243" spans="1:20" x14ac:dyDescent="0.3">
      <c r="A243" s="14">
        <v>242</v>
      </c>
      <c r="B243" s="14" t="s">
        <v>18</v>
      </c>
      <c r="C243" s="14">
        <v>21</v>
      </c>
      <c r="D243" s="14" t="s">
        <v>436</v>
      </c>
      <c r="E243" s="14" t="s">
        <v>429</v>
      </c>
      <c r="F243" s="14">
        <v>1</v>
      </c>
      <c r="G243" s="15">
        <f>_xlfn.XLOOKUP(C243,[1]products!$A$2:$A$71,[1]products!$D$2:$D$71)</f>
        <v>1561</v>
      </c>
      <c r="H243" s="16">
        <v>45161</v>
      </c>
      <c r="I243" s="16" t="str">
        <f t="shared" si="15"/>
        <v>August</v>
      </c>
      <c r="J243" s="16" t="str">
        <f t="shared" si="16"/>
        <v>Wednesday</v>
      </c>
      <c r="K243" s="17">
        <v>0.43386574074074075</v>
      </c>
      <c r="L243" s="16">
        <v>45169</v>
      </c>
      <c r="M243" s="18">
        <f>HOUR(orders!$K243)</f>
        <v>10</v>
      </c>
      <c r="N243" s="16" t="str">
        <f t="shared" si="17"/>
        <v>August</v>
      </c>
      <c r="O243" s="17">
        <v>0.66842592592592587</v>
      </c>
      <c r="P243" s="17" t="str">
        <f>_xlfn.XLOOKUP(B243,[2]customers!$A$2:$A$101,[2]customers!$C$2:$C$101)</f>
        <v>Bilaspur</v>
      </c>
      <c r="Q243" s="14" t="s">
        <v>63</v>
      </c>
      <c r="R243" s="14" t="s">
        <v>26</v>
      </c>
      <c r="S243" s="15">
        <f t="shared" si="18"/>
        <v>1561</v>
      </c>
      <c r="T243" s="19">
        <f t="shared" si="19"/>
        <v>8</v>
      </c>
    </row>
    <row r="244" spans="1:20" x14ac:dyDescent="0.3">
      <c r="A244" s="20">
        <v>243</v>
      </c>
      <c r="B244" s="20" t="s">
        <v>260</v>
      </c>
      <c r="C244" s="20">
        <v>3</v>
      </c>
      <c r="D244" s="20" t="s">
        <v>483</v>
      </c>
      <c r="E244" s="20" t="s">
        <v>429</v>
      </c>
      <c r="F244" s="20">
        <v>1</v>
      </c>
      <c r="G244" s="21">
        <f>_xlfn.XLOOKUP(C244,[1]products!$A$2:$A$71,[1]products!$D$2:$D$71)</f>
        <v>1534</v>
      </c>
      <c r="H244" s="22">
        <v>44962</v>
      </c>
      <c r="I244" s="22" t="str">
        <f t="shared" si="15"/>
        <v>February</v>
      </c>
      <c r="J244" s="22" t="str">
        <f t="shared" si="16"/>
        <v>Sunday</v>
      </c>
      <c r="K244" s="23">
        <v>0.86848379629629635</v>
      </c>
      <c r="L244" s="22">
        <v>44967</v>
      </c>
      <c r="M244" s="24">
        <f>HOUR(orders!$K244)</f>
        <v>20</v>
      </c>
      <c r="N244" s="22" t="str">
        <f t="shared" si="17"/>
        <v>February</v>
      </c>
      <c r="O244" s="23">
        <v>0.52145833333333336</v>
      </c>
      <c r="P244" s="23" t="str">
        <f>_xlfn.XLOOKUP(B244,[2]customers!$A$2:$A$101,[2]customers!$C$2:$C$101)</f>
        <v>Vellore</v>
      </c>
      <c r="Q244" s="20" t="s">
        <v>285</v>
      </c>
      <c r="R244" s="20" t="s">
        <v>23</v>
      </c>
      <c r="S244" s="21">
        <f t="shared" si="18"/>
        <v>1534</v>
      </c>
      <c r="T244" s="25">
        <f t="shared" si="19"/>
        <v>5</v>
      </c>
    </row>
    <row r="245" spans="1:20" x14ac:dyDescent="0.3">
      <c r="A245" s="14">
        <v>244</v>
      </c>
      <c r="B245" s="14" t="s">
        <v>56</v>
      </c>
      <c r="C245" s="14">
        <v>65</v>
      </c>
      <c r="D245" s="14" t="s">
        <v>466</v>
      </c>
      <c r="E245" s="14" t="s">
        <v>26</v>
      </c>
      <c r="F245" s="14">
        <v>3</v>
      </c>
      <c r="G245" s="15">
        <f>_xlfn.XLOOKUP(C245,[1]products!$A$2:$A$71,[1]products!$D$2:$D$71)</f>
        <v>1895</v>
      </c>
      <c r="H245" s="16">
        <v>45005</v>
      </c>
      <c r="I245" s="16" t="str">
        <f t="shared" si="15"/>
        <v>March</v>
      </c>
      <c r="J245" s="16" t="str">
        <f t="shared" si="16"/>
        <v>Monday</v>
      </c>
      <c r="K245" s="17">
        <v>0.6291782407407408</v>
      </c>
      <c r="L245" s="16">
        <v>45015</v>
      </c>
      <c r="M245" s="18">
        <f>HOUR(orders!$K245)</f>
        <v>15</v>
      </c>
      <c r="N245" s="16" t="str">
        <f t="shared" si="17"/>
        <v>March</v>
      </c>
      <c r="O245" s="17">
        <v>0.29629629629629628</v>
      </c>
      <c r="P245" s="17" t="str">
        <f>_xlfn.XLOOKUP(B245,[2]customers!$A$2:$A$101,[2]customers!$C$2:$C$101)</f>
        <v>Karaikudi</v>
      </c>
      <c r="Q245" s="14" t="s">
        <v>286</v>
      </c>
      <c r="R245" s="14" t="s">
        <v>60</v>
      </c>
      <c r="S245" s="15">
        <f t="shared" si="18"/>
        <v>5685</v>
      </c>
      <c r="T245" s="19">
        <f t="shared" si="19"/>
        <v>10</v>
      </c>
    </row>
    <row r="246" spans="1:20" x14ac:dyDescent="0.3">
      <c r="A246" s="20">
        <v>245</v>
      </c>
      <c r="B246" s="20" t="s">
        <v>97</v>
      </c>
      <c r="C246" s="20">
        <v>50</v>
      </c>
      <c r="D246" s="20" t="s">
        <v>487</v>
      </c>
      <c r="E246" s="20" t="s">
        <v>447</v>
      </c>
      <c r="F246" s="20">
        <v>3</v>
      </c>
      <c r="G246" s="21">
        <f>_xlfn.XLOOKUP(C246,[1]products!$A$2:$A$71,[1]products!$D$2:$D$71)</f>
        <v>422</v>
      </c>
      <c r="H246" s="22">
        <v>44990</v>
      </c>
      <c r="I246" s="22" t="str">
        <f t="shared" si="15"/>
        <v>March</v>
      </c>
      <c r="J246" s="22" t="str">
        <f t="shared" si="16"/>
        <v>Sunday</v>
      </c>
      <c r="K246" s="23">
        <v>0.267662037037037</v>
      </c>
      <c r="L246" s="22">
        <v>44996</v>
      </c>
      <c r="M246" s="24">
        <f>HOUR(orders!$K246)</f>
        <v>6</v>
      </c>
      <c r="N246" s="22" t="str">
        <f t="shared" si="17"/>
        <v>March</v>
      </c>
      <c r="O246" s="23">
        <v>0.39618055555555554</v>
      </c>
      <c r="P246" s="23" t="str">
        <f>_xlfn.XLOOKUP(B246,[2]customers!$A$2:$A$101,[2]customers!$C$2:$C$101)</f>
        <v>Machilipatnam</v>
      </c>
      <c r="Q246" s="20" t="s">
        <v>287</v>
      </c>
      <c r="R246" s="20" t="s">
        <v>36</v>
      </c>
      <c r="S246" s="21">
        <f t="shared" si="18"/>
        <v>1266</v>
      </c>
      <c r="T246" s="25">
        <f t="shared" si="19"/>
        <v>6</v>
      </c>
    </row>
    <row r="247" spans="1:20" x14ac:dyDescent="0.3">
      <c r="A247" s="14">
        <v>246</v>
      </c>
      <c r="B247" s="14" t="s">
        <v>125</v>
      </c>
      <c r="C247" s="14">
        <v>69</v>
      </c>
      <c r="D247" s="14" t="s">
        <v>486</v>
      </c>
      <c r="E247" s="14" t="s">
        <v>431</v>
      </c>
      <c r="F247" s="14">
        <v>5</v>
      </c>
      <c r="G247" s="15">
        <f>_xlfn.XLOOKUP(C247,[1]products!$A$2:$A$71,[1]products!$D$2:$D$71)</f>
        <v>998</v>
      </c>
      <c r="H247" s="16">
        <v>44985</v>
      </c>
      <c r="I247" s="16" t="str">
        <f t="shared" si="15"/>
        <v>February</v>
      </c>
      <c r="J247" s="16" t="str">
        <f t="shared" si="16"/>
        <v>Tuesday</v>
      </c>
      <c r="K247" s="17">
        <v>0.97538194444444448</v>
      </c>
      <c r="L247" s="16">
        <v>44993</v>
      </c>
      <c r="M247" s="18">
        <f>HOUR(orders!$K247)</f>
        <v>23</v>
      </c>
      <c r="N247" s="16" t="str">
        <f t="shared" si="17"/>
        <v>March</v>
      </c>
      <c r="O247" s="17">
        <v>2.6956018518518522E-2</v>
      </c>
      <c r="P247" s="17" t="str">
        <f>_xlfn.XLOOKUP(B247,[2]customers!$A$2:$A$101,[2]customers!$C$2:$C$101)</f>
        <v>Gangtok</v>
      </c>
      <c r="Q247" s="14" t="s">
        <v>147</v>
      </c>
      <c r="R247" s="14" t="s">
        <v>36</v>
      </c>
      <c r="S247" s="15">
        <f t="shared" si="18"/>
        <v>4990</v>
      </c>
      <c r="T247" s="19">
        <f t="shared" si="19"/>
        <v>8</v>
      </c>
    </row>
    <row r="248" spans="1:20" x14ac:dyDescent="0.3">
      <c r="A248" s="20">
        <v>247</v>
      </c>
      <c r="B248" s="20" t="s">
        <v>288</v>
      </c>
      <c r="C248" s="20">
        <v>23</v>
      </c>
      <c r="D248" s="20" t="s">
        <v>441</v>
      </c>
      <c r="E248" s="20" t="s">
        <v>427</v>
      </c>
      <c r="F248" s="20">
        <v>4</v>
      </c>
      <c r="G248" s="21">
        <f>_xlfn.XLOOKUP(C248,[1]products!$A$2:$A$71,[1]products!$D$2:$D$71)</f>
        <v>1098</v>
      </c>
      <c r="H248" s="22">
        <v>45210</v>
      </c>
      <c r="I248" s="22" t="str">
        <f t="shared" si="15"/>
        <v>October</v>
      </c>
      <c r="J248" s="22" t="str">
        <f t="shared" si="16"/>
        <v>Wednesday</v>
      </c>
      <c r="K248" s="23">
        <v>0.24916666666666668</v>
      </c>
      <c r="L248" s="22">
        <v>45215</v>
      </c>
      <c r="M248" s="24">
        <f>HOUR(orders!$K248)</f>
        <v>5</v>
      </c>
      <c r="N248" s="22" t="str">
        <f t="shared" si="17"/>
        <v>October</v>
      </c>
      <c r="O248" s="23">
        <v>0.12414351851851851</v>
      </c>
      <c r="P248" s="23" t="str">
        <f>_xlfn.XLOOKUP(B248,[2]customers!$A$2:$A$101,[2]customers!$C$2:$C$101)</f>
        <v>Dhanbad</v>
      </c>
      <c r="Q248" s="20" t="s">
        <v>289</v>
      </c>
      <c r="R248" s="20" t="s">
        <v>12</v>
      </c>
      <c r="S248" s="21">
        <f t="shared" si="18"/>
        <v>4392</v>
      </c>
      <c r="T248" s="25">
        <f t="shared" si="19"/>
        <v>5</v>
      </c>
    </row>
    <row r="249" spans="1:20" x14ac:dyDescent="0.3">
      <c r="A249" s="14">
        <v>248</v>
      </c>
      <c r="B249" s="14" t="s">
        <v>31</v>
      </c>
      <c r="C249" s="14">
        <v>19</v>
      </c>
      <c r="D249" s="14" t="s">
        <v>457</v>
      </c>
      <c r="E249" s="14" t="s">
        <v>458</v>
      </c>
      <c r="F249" s="14">
        <v>5</v>
      </c>
      <c r="G249" s="15">
        <f>_xlfn.XLOOKUP(C249,[1]products!$A$2:$A$71,[1]products!$D$2:$D$71)</f>
        <v>1234</v>
      </c>
      <c r="H249" s="16">
        <v>44965</v>
      </c>
      <c r="I249" s="16" t="str">
        <f t="shared" si="15"/>
        <v>February</v>
      </c>
      <c r="J249" s="16" t="str">
        <f t="shared" si="16"/>
        <v>Wednesday</v>
      </c>
      <c r="K249" s="17">
        <v>0.36366898148148147</v>
      </c>
      <c r="L249" s="16">
        <v>44967</v>
      </c>
      <c r="M249" s="18">
        <f>HOUR(orders!$K249)</f>
        <v>8</v>
      </c>
      <c r="N249" s="16" t="str">
        <f t="shared" si="17"/>
        <v>February</v>
      </c>
      <c r="O249" s="17">
        <v>0.17709490740740741</v>
      </c>
      <c r="P249" s="17" t="str">
        <f>_xlfn.XLOOKUP(B249,[2]customers!$A$2:$A$101,[2]customers!$C$2:$C$101)</f>
        <v>Agra</v>
      </c>
      <c r="Q249" s="14" t="s">
        <v>290</v>
      </c>
      <c r="R249" s="14" t="s">
        <v>23</v>
      </c>
      <c r="S249" s="15">
        <f t="shared" si="18"/>
        <v>6170</v>
      </c>
      <c r="T249" s="19">
        <f t="shared" si="19"/>
        <v>2</v>
      </c>
    </row>
    <row r="250" spans="1:20" x14ac:dyDescent="0.3">
      <c r="A250" s="20">
        <v>249</v>
      </c>
      <c r="B250" s="20" t="s">
        <v>291</v>
      </c>
      <c r="C250" s="20">
        <v>14</v>
      </c>
      <c r="D250" s="20" t="s">
        <v>428</v>
      </c>
      <c r="E250" s="20" t="s">
        <v>429</v>
      </c>
      <c r="F250" s="20">
        <v>2</v>
      </c>
      <c r="G250" s="21">
        <f>_xlfn.XLOOKUP(C250,[1]products!$A$2:$A$71,[1]products!$D$2:$D$71)</f>
        <v>1915</v>
      </c>
      <c r="H250" s="22">
        <v>45179</v>
      </c>
      <c r="I250" s="22" t="str">
        <f t="shared" si="15"/>
        <v>September</v>
      </c>
      <c r="J250" s="22" t="str">
        <f t="shared" si="16"/>
        <v>Sunday</v>
      </c>
      <c r="K250" s="23">
        <v>0.93212962962962964</v>
      </c>
      <c r="L250" s="22">
        <v>45188</v>
      </c>
      <c r="M250" s="24">
        <f>HOUR(orders!$K250)</f>
        <v>22</v>
      </c>
      <c r="N250" s="22" t="str">
        <f t="shared" si="17"/>
        <v>September</v>
      </c>
      <c r="O250" s="23">
        <v>0.9705555555555555</v>
      </c>
      <c r="P250" s="23" t="str">
        <f>_xlfn.XLOOKUP(B250,[2]customers!$A$2:$A$101,[2]customers!$C$2:$C$101)</f>
        <v>Bilaspur</v>
      </c>
      <c r="Q250" s="20" t="s">
        <v>250</v>
      </c>
      <c r="R250" s="20" t="s">
        <v>20</v>
      </c>
      <c r="S250" s="21">
        <f t="shared" si="18"/>
        <v>3830</v>
      </c>
      <c r="T250" s="25">
        <f t="shared" si="19"/>
        <v>9</v>
      </c>
    </row>
    <row r="251" spans="1:20" x14ac:dyDescent="0.3">
      <c r="A251" s="14">
        <v>250</v>
      </c>
      <c r="B251" s="14" t="s">
        <v>292</v>
      </c>
      <c r="C251" s="14">
        <v>37</v>
      </c>
      <c r="D251" s="14" t="s">
        <v>459</v>
      </c>
      <c r="E251" s="14" t="s">
        <v>429</v>
      </c>
      <c r="F251" s="14">
        <v>5</v>
      </c>
      <c r="G251" s="15">
        <f>_xlfn.XLOOKUP(C251,[1]products!$A$2:$A$71,[1]products!$D$2:$D$71)</f>
        <v>1428</v>
      </c>
      <c r="H251" s="16">
        <v>45238</v>
      </c>
      <c r="I251" s="16" t="str">
        <f t="shared" si="15"/>
        <v>November</v>
      </c>
      <c r="J251" s="16" t="str">
        <f t="shared" si="16"/>
        <v>Wednesday</v>
      </c>
      <c r="K251" s="17">
        <v>0.63017361111111114</v>
      </c>
      <c r="L251" s="16">
        <v>45239</v>
      </c>
      <c r="M251" s="18">
        <f>HOUR(orders!$K251)</f>
        <v>15</v>
      </c>
      <c r="N251" s="16" t="str">
        <f t="shared" si="17"/>
        <v>November</v>
      </c>
      <c r="O251" s="17">
        <v>6.3958333333333339E-2</v>
      </c>
      <c r="P251" s="17" t="str">
        <f>_xlfn.XLOOKUP(B251,[2]customers!$A$2:$A$101,[2]customers!$C$2:$C$101)</f>
        <v>Purnia</v>
      </c>
      <c r="Q251" s="14" t="s">
        <v>293</v>
      </c>
      <c r="R251" s="14" t="s">
        <v>15</v>
      </c>
      <c r="S251" s="15">
        <f t="shared" si="18"/>
        <v>7140</v>
      </c>
      <c r="T251" s="19">
        <f t="shared" si="19"/>
        <v>1</v>
      </c>
    </row>
    <row r="252" spans="1:20" x14ac:dyDescent="0.3">
      <c r="A252" s="20">
        <v>251</v>
      </c>
      <c r="B252" s="20" t="s">
        <v>192</v>
      </c>
      <c r="C252" s="20">
        <v>7</v>
      </c>
      <c r="D252" s="20" t="s">
        <v>453</v>
      </c>
      <c r="E252" s="20" t="s">
        <v>445</v>
      </c>
      <c r="F252" s="20">
        <v>4</v>
      </c>
      <c r="G252" s="21">
        <f>_xlfn.XLOOKUP(C252,[1]products!$A$2:$A$71,[1]products!$D$2:$D$71)</f>
        <v>409</v>
      </c>
      <c r="H252" s="22">
        <v>44985</v>
      </c>
      <c r="I252" s="22" t="str">
        <f t="shared" si="15"/>
        <v>February</v>
      </c>
      <c r="J252" s="22" t="str">
        <f t="shared" si="16"/>
        <v>Tuesday</v>
      </c>
      <c r="K252" s="23">
        <v>2.2083333333333333E-2</v>
      </c>
      <c r="L252" s="22">
        <v>44987</v>
      </c>
      <c r="M252" s="24">
        <f>HOUR(orders!$K252)</f>
        <v>0</v>
      </c>
      <c r="N252" s="22" t="str">
        <f t="shared" si="17"/>
        <v>March</v>
      </c>
      <c r="O252" s="23">
        <v>1.3703703703703704E-2</v>
      </c>
      <c r="P252" s="23" t="str">
        <f>_xlfn.XLOOKUP(B252,[2]customers!$A$2:$A$101,[2]customers!$C$2:$C$101)</f>
        <v>Kota</v>
      </c>
      <c r="Q252" s="20" t="s">
        <v>294</v>
      </c>
      <c r="R252" s="20" t="s">
        <v>36</v>
      </c>
      <c r="S252" s="21">
        <f t="shared" si="18"/>
        <v>1636</v>
      </c>
      <c r="T252" s="25">
        <f t="shared" si="19"/>
        <v>2</v>
      </c>
    </row>
    <row r="253" spans="1:20" x14ac:dyDescent="0.3">
      <c r="A253" s="14">
        <v>252</v>
      </c>
      <c r="B253" s="14" t="s">
        <v>24</v>
      </c>
      <c r="C253" s="14">
        <v>69</v>
      </c>
      <c r="D253" s="14" t="s">
        <v>486</v>
      </c>
      <c r="E253" s="14" t="s">
        <v>431</v>
      </c>
      <c r="F253" s="14">
        <v>2</v>
      </c>
      <c r="G253" s="15">
        <f>_xlfn.XLOOKUP(C253,[1]products!$A$2:$A$71,[1]products!$D$2:$D$71)</f>
        <v>998</v>
      </c>
      <c r="H253" s="16">
        <v>44983</v>
      </c>
      <c r="I253" s="16" t="str">
        <f t="shared" si="15"/>
        <v>February</v>
      </c>
      <c r="J253" s="16" t="str">
        <f t="shared" si="16"/>
        <v>Sunday</v>
      </c>
      <c r="K253" s="17">
        <v>0.23712962962962961</v>
      </c>
      <c r="L253" s="16">
        <v>44985</v>
      </c>
      <c r="M253" s="18">
        <f>HOUR(orders!$K253)</f>
        <v>5</v>
      </c>
      <c r="N253" s="16" t="str">
        <f t="shared" si="17"/>
        <v>February</v>
      </c>
      <c r="O253" s="17">
        <v>0.34115740740740735</v>
      </c>
      <c r="P253" s="17" t="str">
        <f>_xlfn.XLOOKUP(B253,[2]customers!$A$2:$A$101,[2]customers!$C$2:$C$101)</f>
        <v>Pallavaram</v>
      </c>
      <c r="Q253" s="14" t="s">
        <v>70</v>
      </c>
      <c r="R253" s="14" t="s">
        <v>36</v>
      </c>
      <c r="S253" s="15">
        <f t="shared" si="18"/>
        <v>1996</v>
      </c>
      <c r="T253" s="19">
        <f t="shared" si="19"/>
        <v>2</v>
      </c>
    </row>
    <row r="254" spans="1:20" x14ac:dyDescent="0.3">
      <c r="A254" s="20">
        <v>253</v>
      </c>
      <c r="B254" s="20" t="s">
        <v>138</v>
      </c>
      <c r="C254" s="20">
        <v>68</v>
      </c>
      <c r="D254" s="20" t="s">
        <v>494</v>
      </c>
      <c r="E254" s="20" t="s">
        <v>445</v>
      </c>
      <c r="F254" s="20">
        <v>2</v>
      </c>
      <c r="G254" s="21">
        <f>_xlfn.XLOOKUP(C254,[1]products!$A$2:$A$71,[1]products!$D$2:$D$71)</f>
        <v>597</v>
      </c>
      <c r="H254" s="22">
        <v>44969</v>
      </c>
      <c r="I254" s="22" t="str">
        <f t="shared" si="15"/>
        <v>February</v>
      </c>
      <c r="J254" s="22" t="str">
        <f t="shared" si="16"/>
        <v>Sunday</v>
      </c>
      <c r="K254" s="23">
        <v>0.60053240740740743</v>
      </c>
      <c r="L254" s="22">
        <v>44971</v>
      </c>
      <c r="M254" s="24">
        <f>HOUR(orders!$K254)</f>
        <v>14</v>
      </c>
      <c r="N254" s="22" t="str">
        <f t="shared" si="17"/>
        <v>February</v>
      </c>
      <c r="O254" s="23">
        <v>0.23572916666666666</v>
      </c>
      <c r="P254" s="23" t="str">
        <f>_xlfn.XLOOKUP(B254,[2]customers!$A$2:$A$101,[2]customers!$C$2:$C$101)</f>
        <v>Kanpur</v>
      </c>
      <c r="Q254" s="20" t="s">
        <v>295</v>
      </c>
      <c r="R254" s="20" t="s">
        <v>23</v>
      </c>
      <c r="S254" s="21">
        <f t="shared" si="18"/>
        <v>1194</v>
      </c>
      <c r="T254" s="25">
        <f t="shared" si="19"/>
        <v>2</v>
      </c>
    </row>
    <row r="255" spans="1:20" x14ac:dyDescent="0.3">
      <c r="A255" s="14">
        <v>254</v>
      </c>
      <c r="B255" s="14" t="s">
        <v>249</v>
      </c>
      <c r="C255" s="14">
        <v>1</v>
      </c>
      <c r="D255" s="14" t="s">
        <v>479</v>
      </c>
      <c r="E255" s="14" t="s">
        <v>445</v>
      </c>
      <c r="F255" s="14">
        <v>5</v>
      </c>
      <c r="G255" s="15">
        <f>_xlfn.XLOOKUP(C255,[1]products!$A$2:$A$71,[1]products!$D$2:$D$71)</f>
        <v>1935</v>
      </c>
      <c r="H255" s="16">
        <v>45114</v>
      </c>
      <c r="I255" s="16" t="str">
        <f t="shared" si="15"/>
        <v>July</v>
      </c>
      <c r="J255" s="16" t="str">
        <f t="shared" si="16"/>
        <v>Friday</v>
      </c>
      <c r="K255" s="17">
        <v>6.7592592592592591E-3</v>
      </c>
      <c r="L255" s="16">
        <v>45122</v>
      </c>
      <c r="M255" s="18">
        <f>HOUR(orders!$K255)</f>
        <v>0</v>
      </c>
      <c r="N255" s="16" t="str">
        <f t="shared" si="17"/>
        <v>July</v>
      </c>
      <c r="O255" s="17">
        <v>0.22765046296296296</v>
      </c>
      <c r="P255" s="17" t="str">
        <f>_xlfn.XLOOKUP(B255,[2]customers!$A$2:$A$101,[2]customers!$C$2:$C$101)</f>
        <v>Tumkur</v>
      </c>
      <c r="Q255" s="14" t="s">
        <v>234</v>
      </c>
      <c r="R255" s="14" t="s">
        <v>60</v>
      </c>
      <c r="S255" s="15">
        <f t="shared" si="18"/>
        <v>9675</v>
      </c>
      <c r="T255" s="19">
        <f t="shared" si="19"/>
        <v>8</v>
      </c>
    </row>
    <row r="256" spans="1:20" x14ac:dyDescent="0.3">
      <c r="A256" s="20">
        <v>255</v>
      </c>
      <c r="B256" s="20" t="s">
        <v>212</v>
      </c>
      <c r="C256" s="20">
        <v>45</v>
      </c>
      <c r="D256" s="20" t="s">
        <v>433</v>
      </c>
      <c r="E256" s="20" t="s">
        <v>26</v>
      </c>
      <c r="F256" s="20">
        <v>2</v>
      </c>
      <c r="G256" s="21">
        <f>_xlfn.XLOOKUP(C256,[1]products!$A$2:$A$71,[1]products!$D$2:$D$71)</f>
        <v>722</v>
      </c>
      <c r="H256" s="22">
        <v>45287</v>
      </c>
      <c r="I256" s="22" t="str">
        <f t="shared" si="15"/>
        <v>December</v>
      </c>
      <c r="J256" s="22" t="str">
        <f t="shared" si="16"/>
        <v>Wednesday</v>
      </c>
      <c r="K256" s="23">
        <v>0.15457175925925926</v>
      </c>
      <c r="L256" s="22">
        <v>45297</v>
      </c>
      <c r="M256" s="24">
        <f>HOUR(orders!$K256)</f>
        <v>3</v>
      </c>
      <c r="N256" s="22" t="str">
        <f t="shared" si="17"/>
        <v>January</v>
      </c>
      <c r="O256" s="23">
        <v>0.39113425925925926</v>
      </c>
      <c r="P256" s="23" t="str">
        <f>_xlfn.XLOOKUP(B256,[2]customers!$A$2:$A$101,[2]customers!$C$2:$C$101)</f>
        <v>Dibrugarh</v>
      </c>
      <c r="Q256" s="20" t="s">
        <v>271</v>
      </c>
      <c r="R256" s="20" t="s">
        <v>20</v>
      </c>
      <c r="S256" s="21">
        <f t="shared" si="18"/>
        <v>1444</v>
      </c>
      <c r="T256" s="25">
        <f t="shared" si="19"/>
        <v>10</v>
      </c>
    </row>
    <row r="257" spans="1:20" x14ac:dyDescent="0.3">
      <c r="A257" s="14">
        <v>256</v>
      </c>
      <c r="B257" s="14" t="s">
        <v>34</v>
      </c>
      <c r="C257" s="14">
        <v>4</v>
      </c>
      <c r="D257" s="14" t="s">
        <v>475</v>
      </c>
      <c r="E257" s="14" t="s">
        <v>427</v>
      </c>
      <c r="F257" s="14">
        <v>5</v>
      </c>
      <c r="G257" s="15">
        <f>_xlfn.XLOOKUP(C257,[1]products!$A$2:$A$71,[1]products!$D$2:$D$71)</f>
        <v>1199</v>
      </c>
      <c r="H257" s="16">
        <v>45236</v>
      </c>
      <c r="I257" s="16" t="str">
        <f t="shared" si="15"/>
        <v>November</v>
      </c>
      <c r="J257" s="16" t="str">
        <f t="shared" si="16"/>
        <v>Monday</v>
      </c>
      <c r="K257" s="17">
        <v>0.80126157407407417</v>
      </c>
      <c r="L257" s="16">
        <v>45244</v>
      </c>
      <c r="M257" s="18">
        <f>HOUR(orders!$K257)</f>
        <v>19</v>
      </c>
      <c r="N257" s="16" t="str">
        <f t="shared" si="17"/>
        <v>November</v>
      </c>
      <c r="O257" s="17">
        <v>0.75410879629629635</v>
      </c>
      <c r="P257" s="17" t="str">
        <f>_xlfn.XLOOKUP(B257,[2]customers!$A$2:$A$101,[2]customers!$C$2:$C$101)</f>
        <v>North Dumdum</v>
      </c>
      <c r="Q257" s="14" t="s">
        <v>271</v>
      </c>
      <c r="R257" s="14" t="s">
        <v>15</v>
      </c>
      <c r="S257" s="15">
        <f t="shared" si="18"/>
        <v>5995</v>
      </c>
      <c r="T257" s="19">
        <f t="shared" si="19"/>
        <v>8</v>
      </c>
    </row>
    <row r="258" spans="1:20" x14ac:dyDescent="0.3">
      <c r="A258" s="20">
        <v>257</v>
      </c>
      <c r="B258" s="20" t="s">
        <v>112</v>
      </c>
      <c r="C258" s="20">
        <v>21</v>
      </c>
      <c r="D258" s="20" t="s">
        <v>436</v>
      </c>
      <c r="E258" s="20" t="s">
        <v>429</v>
      </c>
      <c r="F258" s="20">
        <v>3</v>
      </c>
      <c r="G258" s="21">
        <f>_xlfn.XLOOKUP(C258,[1]products!$A$2:$A$71,[1]products!$D$2:$D$71)</f>
        <v>1561</v>
      </c>
      <c r="H258" s="22">
        <v>45160</v>
      </c>
      <c r="I258" s="22" t="str">
        <f t="shared" si="15"/>
        <v>August</v>
      </c>
      <c r="J258" s="22" t="str">
        <f t="shared" si="16"/>
        <v>Tuesday</v>
      </c>
      <c r="K258" s="23">
        <v>0.65484953703703697</v>
      </c>
      <c r="L258" s="22">
        <v>45162</v>
      </c>
      <c r="M258" s="24">
        <f>HOUR(orders!$K258)</f>
        <v>15</v>
      </c>
      <c r="N258" s="22" t="str">
        <f t="shared" si="17"/>
        <v>August</v>
      </c>
      <c r="O258" s="23">
        <v>0.94420138888888883</v>
      </c>
      <c r="P258" s="23" t="str">
        <f>_xlfn.XLOOKUP(B258,[2]customers!$A$2:$A$101,[2]customers!$C$2:$C$101)</f>
        <v>Panchkula</v>
      </c>
      <c r="Q258" s="20" t="s">
        <v>169</v>
      </c>
      <c r="R258" s="20" t="s">
        <v>26</v>
      </c>
      <c r="S258" s="21">
        <f t="shared" si="18"/>
        <v>4683</v>
      </c>
      <c r="T258" s="25">
        <f t="shared" si="19"/>
        <v>2</v>
      </c>
    </row>
    <row r="259" spans="1:20" x14ac:dyDescent="0.3">
      <c r="A259" s="14">
        <v>258</v>
      </c>
      <c r="B259" s="14" t="s">
        <v>31</v>
      </c>
      <c r="C259" s="14">
        <v>46</v>
      </c>
      <c r="D259" s="14" t="s">
        <v>493</v>
      </c>
      <c r="E259" s="14" t="s">
        <v>431</v>
      </c>
      <c r="F259" s="14">
        <v>5</v>
      </c>
      <c r="G259" s="15">
        <f>_xlfn.XLOOKUP(C259,[1]products!$A$2:$A$71,[1]products!$D$2:$D$71)</f>
        <v>758</v>
      </c>
      <c r="H259" s="16">
        <v>45032</v>
      </c>
      <c r="I259" s="16" t="str">
        <f t="shared" ref="I259:I322" si="20">TEXT(H259,"mmmm")</f>
        <v>April</v>
      </c>
      <c r="J259" s="16" t="str">
        <f t="shared" ref="J259:J322" si="21">TEXT(H259,"dddd")</f>
        <v>Sunday</v>
      </c>
      <c r="K259" s="17">
        <v>0.23656250000000001</v>
      </c>
      <c r="L259" s="16">
        <v>45036</v>
      </c>
      <c r="M259" s="18">
        <f>HOUR(orders!$K259)</f>
        <v>5</v>
      </c>
      <c r="N259" s="16" t="str">
        <f t="shared" ref="N259:N322" si="22">TEXT(L259,"mmmm")</f>
        <v>April</v>
      </c>
      <c r="O259" s="17">
        <v>0.83717592592592593</v>
      </c>
      <c r="P259" s="17" t="str">
        <f>_xlfn.XLOOKUP(B259,[2]customers!$A$2:$A$101,[2]customers!$C$2:$C$101)</f>
        <v>Agra</v>
      </c>
      <c r="Q259" s="14" t="s">
        <v>208</v>
      </c>
      <c r="R259" s="14" t="s">
        <v>12</v>
      </c>
      <c r="S259" s="15">
        <f t="shared" ref="S259:S322" si="23">G259*F259</f>
        <v>3790</v>
      </c>
      <c r="T259" s="19">
        <f t="shared" ref="T259:T322" si="24">L259-H259</f>
        <v>4</v>
      </c>
    </row>
    <row r="260" spans="1:20" x14ac:dyDescent="0.3">
      <c r="A260" s="20">
        <v>259</v>
      </c>
      <c r="B260" s="20" t="s">
        <v>256</v>
      </c>
      <c r="C260" s="20">
        <v>62</v>
      </c>
      <c r="D260" s="20" t="s">
        <v>442</v>
      </c>
      <c r="E260" s="20" t="s">
        <v>429</v>
      </c>
      <c r="F260" s="20">
        <v>1</v>
      </c>
      <c r="G260" s="21">
        <f>_xlfn.XLOOKUP(C260,[1]products!$A$2:$A$71,[1]products!$D$2:$D$71)</f>
        <v>1356</v>
      </c>
      <c r="H260" s="22">
        <v>44990</v>
      </c>
      <c r="I260" s="22" t="str">
        <f t="shared" si="20"/>
        <v>March</v>
      </c>
      <c r="J260" s="22" t="str">
        <f t="shared" si="21"/>
        <v>Sunday</v>
      </c>
      <c r="K260" s="23">
        <v>0.64020833333333338</v>
      </c>
      <c r="L260" s="22">
        <v>44995</v>
      </c>
      <c r="M260" s="24">
        <f>HOUR(orders!$K260)</f>
        <v>15</v>
      </c>
      <c r="N260" s="22" t="str">
        <f t="shared" si="22"/>
        <v>March</v>
      </c>
      <c r="O260" s="23">
        <v>2.7893518518518519E-3</v>
      </c>
      <c r="P260" s="23" t="str">
        <f>_xlfn.XLOOKUP(B260,[2]customers!$A$2:$A$101,[2]customers!$C$2:$C$101)</f>
        <v>Panchkula</v>
      </c>
      <c r="Q260" s="20" t="s">
        <v>25</v>
      </c>
      <c r="R260" s="20" t="s">
        <v>36</v>
      </c>
      <c r="S260" s="21">
        <f t="shared" si="23"/>
        <v>1356</v>
      </c>
      <c r="T260" s="25">
        <f t="shared" si="24"/>
        <v>5</v>
      </c>
    </row>
    <row r="261" spans="1:20" x14ac:dyDescent="0.3">
      <c r="A261" s="14">
        <v>260</v>
      </c>
      <c r="B261" s="14" t="s">
        <v>155</v>
      </c>
      <c r="C261" s="14">
        <v>69</v>
      </c>
      <c r="D261" s="14" t="s">
        <v>486</v>
      </c>
      <c r="E261" s="14" t="s">
        <v>431</v>
      </c>
      <c r="F261" s="14">
        <v>5</v>
      </c>
      <c r="G261" s="15">
        <f>_xlfn.XLOOKUP(C261,[1]products!$A$2:$A$71,[1]products!$D$2:$D$71)</f>
        <v>998</v>
      </c>
      <c r="H261" s="16">
        <v>44991</v>
      </c>
      <c r="I261" s="16" t="str">
        <f t="shared" si="20"/>
        <v>March</v>
      </c>
      <c r="J261" s="16" t="str">
        <f t="shared" si="21"/>
        <v>Monday</v>
      </c>
      <c r="K261" s="17">
        <v>0.54596064814814815</v>
      </c>
      <c r="L261" s="16">
        <v>45001</v>
      </c>
      <c r="M261" s="18">
        <f>HOUR(orders!$K261)</f>
        <v>13</v>
      </c>
      <c r="N261" s="16" t="str">
        <f t="shared" si="22"/>
        <v>March</v>
      </c>
      <c r="O261" s="17">
        <v>0.93229166666666663</v>
      </c>
      <c r="P261" s="17" t="str">
        <f>_xlfn.XLOOKUP(B261,[2]customers!$A$2:$A$101,[2]customers!$C$2:$C$101)</f>
        <v>Phagwara</v>
      </c>
      <c r="Q261" s="14" t="s">
        <v>195</v>
      </c>
      <c r="R261" s="14" t="s">
        <v>36</v>
      </c>
      <c r="S261" s="15">
        <f t="shared" si="23"/>
        <v>4990</v>
      </c>
      <c r="T261" s="19">
        <f t="shared" si="24"/>
        <v>10</v>
      </c>
    </row>
    <row r="262" spans="1:20" x14ac:dyDescent="0.3">
      <c r="A262" s="20">
        <v>261</v>
      </c>
      <c r="B262" s="20" t="s">
        <v>56</v>
      </c>
      <c r="C262" s="20">
        <v>37</v>
      </c>
      <c r="D262" s="20" t="s">
        <v>459</v>
      </c>
      <c r="E262" s="20" t="s">
        <v>429</v>
      </c>
      <c r="F262" s="20">
        <v>3</v>
      </c>
      <c r="G262" s="21">
        <f>_xlfn.XLOOKUP(C262,[1]products!$A$2:$A$71,[1]products!$D$2:$D$71)</f>
        <v>1428</v>
      </c>
      <c r="H262" s="22">
        <v>45236</v>
      </c>
      <c r="I262" s="22" t="str">
        <f t="shared" si="20"/>
        <v>November</v>
      </c>
      <c r="J262" s="22" t="str">
        <f t="shared" si="21"/>
        <v>Monday</v>
      </c>
      <c r="K262" s="23">
        <v>0.58599537037037031</v>
      </c>
      <c r="L262" s="22">
        <v>45242</v>
      </c>
      <c r="M262" s="24">
        <f>HOUR(orders!$K262)</f>
        <v>14</v>
      </c>
      <c r="N262" s="22" t="str">
        <f t="shared" si="22"/>
        <v>November</v>
      </c>
      <c r="O262" s="23">
        <v>0.84568287037037038</v>
      </c>
      <c r="P262" s="23" t="str">
        <f>_xlfn.XLOOKUP(B262,[2]customers!$A$2:$A$101,[2]customers!$C$2:$C$101)</f>
        <v>Karaikudi</v>
      </c>
      <c r="Q262" s="20" t="s">
        <v>187</v>
      </c>
      <c r="R262" s="20" t="s">
        <v>15</v>
      </c>
      <c r="S262" s="21">
        <f t="shared" si="23"/>
        <v>4284</v>
      </c>
      <c r="T262" s="25">
        <f t="shared" si="24"/>
        <v>6</v>
      </c>
    </row>
    <row r="263" spans="1:20" x14ac:dyDescent="0.3">
      <c r="A263" s="14">
        <v>262</v>
      </c>
      <c r="B263" s="14" t="s">
        <v>144</v>
      </c>
      <c r="C263" s="14">
        <v>49</v>
      </c>
      <c r="D263" s="14" t="s">
        <v>463</v>
      </c>
      <c r="E263" s="14" t="s">
        <v>429</v>
      </c>
      <c r="F263" s="14">
        <v>3</v>
      </c>
      <c r="G263" s="15">
        <f>_xlfn.XLOOKUP(C263,[1]products!$A$2:$A$71,[1]products!$D$2:$D$71)</f>
        <v>903</v>
      </c>
      <c r="H263" s="16">
        <v>44964</v>
      </c>
      <c r="I263" s="16" t="str">
        <f t="shared" si="20"/>
        <v>February</v>
      </c>
      <c r="J263" s="16" t="str">
        <f t="shared" si="21"/>
        <v>Tuesday</v>
      </c>
      <c r="K263" s="17">
        <v>0.3369907407407407</v>
      </c>
      <c r="L263" s="16">
        <v>44968</v>
      </c>
      <c r="M263" s="18">
        <f>HOUR(orders!$K263)</f>
        <v>8</v>
      </c>
      <c r="N263" s="16" t="str">
        <f t="shared" si="22"/>
        <v>February</v>
      </c>
      <c r="O263" s="17">
        <v>4.6493055555555551E-2</v>
      </c>
      <c r="P263" s="17" t="str">
        <f>_xlfn.XLOOKUP(B263,[2]customers!$A$2:$A$101,[2]customers!$C$2:$C$101)</f>
        <v>Aizawl</v>
      </c>
      <c r="Q263" s="14" t="s">
        <v>296</v>
      </c>
      <c r="R263" s="14" t="s">
        <v>23</v>
      </c>
      <c r="S263" s="15">
        <f t="shared" si="23"/>
        <v>2709</v>
      </c>
      <c r="T263" s="19">
        <f t="shared" si="24"/>
        <v>4</v>
      </c>
    </row>
    <row r="264" spans="1:20" x14ac:dyDescent="0.3">
      <c r="A264" s="20">
        <v>263</v>
      </c>
      <c r="B264" s="20" t="s">
        <v>164</v>
      </c>
      <c r="C264" s="20">
        <v>57</v>
      </c>
      <c r="D264" s="20" t="s">
        <v>488</v>
      </c>
      <c r="E264" s="20" t="s">
        <v>429</v>
      </c>
      <c r="F264" s="20">
        <v>4</v>
      </c>
      <c r="G264" s="21">
        <f>_xlfn.XLOOKUP(C264,[1]products!$A$2:$A$71,[1]products!$D$2:$D$71)</f>
        <v>1582</v>
      </c>
      <c r="H264" s="22">
        <v>44997</v>
      </c>
      <c r="I264" s="22" t="str">
        <f t="shared" si="20"/>
        <v>March</v>
      </c>
      <c r="J264" s="22" t="str">
        <f t="shared" si="21"/>
        <v>Sunday</v>
      </c>
      <c r="K264" s="23">
        <v>0.39942129629629625</v>
      </c>
      <c r="L264" s="22">
        <v>44998</v>
      </c>
      <c r="M264" s="24">
        <f>HOUR(orders!$K264)</f>
        <v>9</v>
      </c>
      <c r="N264" s="22" t="str">
        <f t="shared" si="22"/>
        <v>March</v>
      </c>
      <c r="O264" s="23">
        <v>0.64028935185185187</v>
      </c>
      <c r="P264" s="23" t="str">
        <f>_xlfn.XLOOKUP(B264,[2]customers!$A$2:$A$101,[2]customers!$C$2:$C$101)</f>
        <v>Ratlam</v>
      </c>
      <c r="Q264" s="20" t="s">
        <v>122</v>
      </c>
      <c r="R264" s="20" t="s">
        <v>20</v>
      </c>
      <c r="S264" s="21">
        <f t="shared" si="23"/>
        <v>6328</v>
      </c>
      <c r="T264" s="25">
        <f t="shared" si="24"/>
        <v>1</v>
      </c>
    </row>
    <row r="265" spans="1:20" x14ac:dyDescent="0.3">
      <c r="A265" s="14">
        <v>264</v>
      </c>
      <c r="B265" s="14" t="s">
        <v>138</v>
      </c>
      <c r="C265" s="14">
        <v>52</v>
      </c>
      <c r="D265" s="14" t="s">
        <v>443</v>
      </c>
      <c r="E265" s="14" t="s">
        <v>26</v>
      </c>
      <c r="F265" s="14">
        <v>3</v>
      </c>
      <c r="G265" s="15">
        <f>_xlfn.XLOOKUP(C265,[1]products!$A$2:$A$71,[1]products!$D$2:$D$71)</f>
        <v>236</v>
      </c>
      <c r="H265" s="16">
        <v>44966</v>
      </c>
      <c r="I265" s="16" t="str">
        <f t="shared" si="20"/>
        <v>February</v>
      </c>
      <c r="J265" s="16" t="str">
        <f t="shared" si="21"/>
        <v>Thursday</v>
      </c>
      <c r="K265" s="17">
        <v>0.23285879629629633</v>
      </c>
      <c r="L265" s="16">
        <v>44975</v>
      </c>
      <c r="M265" s="18">
        <f>HOUR(orders!$K265)</f>
        <v>5</v>
      </c>
      <c r="N265" s="16" t="str">
        <f t="shared" si="22"/>
        <v>February</v>
      </c>
      <c r="O265" s="17">
        <v>0.65539351851851857</v>
      </c>
      <c r="P265" s="17" t="str">
        <f>_xlfn.XLOOKUP(B265,[2]customers!$A$2:$A$101,[2]customers!$C$2:$C$101)</f>
        <v>Kanpur</v>
      </c>
      <c r="Q265" s="14" t="s">
        <v>76</v>
      </c>
      <c r="R265" s="14" t="s">
        <v>23</v>
      </c>
      <c r="S265" s="15">
        <f t="shared" si="23"/>
        <v>708</v>
      </c>
      <c r="T265" s="19">
        <f t="shared" si="24"/>
        <v>9</v>
      </c>
    </row>
    <row r="266" spans="1:20" x14ac:dyDescent="0.3">
      <c r="A266" s="20">
        <v>265</v>
      </c>
      <c r="B266" s="20" t="s">
        <v>150</v>
      </c>
      <c r="C266" s="20">
        <v>58</v>
      </c>
      <c r="D266" s="20" t="s">
        <v>430</v>
      </c>
      <c r="E266" s="20" t="s">
        <v>431</v>
      </c>
      <c r="F266" s="20">
        <v>1</v>
      </c>
      <c r="G266" s="21">
        <f>_xlfn.XLOOKUP(C266,[1]products!$A$2:$A$71,[1]products!$D$2:$D$71)</f>
        <v>1492</v>
      </c>
      <c r="H266" s="22">
        <v>44967</v>
      </c>
      <c r="I266" s="22" t="str">
        <f t="shared" si="20"/>
        <v>February</v>
      </c>
      <c r="J266" s="22" t="str">
        <f t="shared" si="21"/>
        <v>Friday</v>
      </c>
      <c r="K266" s="23">
        <v>0.88701388888888888</v>
      </c>
      <c r="L266" s="22">
        <v>44975</v>
      </c>
      <c r="M266" s="24">
        <f>HOUR(orders!$K266)</f>
        <v>21</v>
      </c>
      <c r="N266" s="22" t="str">
        <f t="shared" si="22"/>
        <v>February</v>
      </c>
      <c r="O266" s="23">
        <v>0.26982638888888888</v>
      </c>
      <c r="P266" s="23" t="str">
        <f>_xlfn.XLOOKUP(B266,[2]customers!$A$2:$A$101,[2]customers!$C$2:$C$101)</f>
        <v>Satara</v>
      </c>
      <c r="Q266" s="20" t="s">
        <v>289</v>
      </c>
      <c r="R266" s="20" t="s">
        <v>23</v>
      </c>
      <c r="S266" s="21">
        <f t="shared" si="23"/>
        <v>1492</v>
      </c>
      <c r="T266" s="25">
        <f t="shared" si="24"/>
        <v>8</v>
      </c>
    </row>
    <row r="267" spans="1:20" x14ac:dyDescent="0.3">
      <c r="A267" s="14">
        <v>266</v>
      </c>
      <c r="B267" s="14" t="s">
        <v>144</v>
      </c>
      <c r="C267" s="14">
        <v>36</v>
      </c>
      <c r="D267" s="14" t="s">
        <v>468</v>
      </c>
      <c r="E267" s="14" t="s">
        <v>447</v>
      </c>
      <c r="F267" s="14">
        <v>1</v>
      </c>
      <c r="G267" s="15">
        <f>_xlfn.XLOOKUP(C267,[1]products!$A$2:$A$71,[1]products!$D$2:$D$71)</f>
        <v>203</v>
      </c>
      <c r="H267" s="16">
        <v>45058</v>
      </c>
      <c r="I267" s="16" t="str">
        <f t="shared" si="20"/>
        <v>May</v>
      </c>
      <c r="J267" s="16" t="str">
        <f t="shared" si="21"/>
        <v>Friday</v>
      </c>
      <c r="K267" s="17">
        <v>0.57425925925925925</v>
      </c>
      <c r="L267" s="16">
        <v>45059</v>
      </c>
      <c r="M267" s="18">
        <f>HOUR(orders!$K267)</f>
        <v>13</v>
      </c>
      <c r="N267" s="16" t="str">
        <f t="shared" si="22"/>
        <v>May</v>
      </c>
      <c r="O267" s="17">
        <v>0.80565972222222226</v>
      </c>
      <c r="P267" s="17" t="str">
        <f>_xlfn.XLOOKUP(B267,[2]customers!$A$2:$A$101,[2]customers!$C$2:$C$101)</f>
        <v>Aizawl</v>
      </c>
      <c r="Q267" s="14" t="s">
        <v>297</v>
      </c>
      <c r="R267" s="14" t="s">
        <v>20</v>
      </c>
      <c r="S267" s="15">
        <f t="shared" si="23"/>
        <v>203</v>
      </c>
      <c r="T267" s="19">
        <f t="shared" si="24"/>
        <v>1</v>
      </c>
    </row>
    <row r="268" spans="1:20" x14ac:dyDescent="0.3">
      <c r="A268" s="20">
        <v>267</v>
      </c>
      <c r="B268" s="20" t="s">
        <v>75</v>
      </c>
      <c r="C268" s="20">
        <v>35</v>
      </c>
      <c r="D268" s="20" t="s">
        <v>462</v>
      </c>
      <c r="E268" s="20" t="s">
        <v>429</v>
      </c>
      <c r="F268" s="20">
        <v>3</v>
      </c>
      <c r="G268" s="21">
        <f>_xlfn.XLOOKUP(C268,[1]products!$A$2:$A$71,[1]products!$D$2:$D$71)</f>
        <v>1865</v>
      </c>
      <c r="H268" s="22">
        <v>44989</v>
      </c>
      <c r="I268" s="22" t="str">
        <f t="shared" si="20"/>
        <v>March</v>
      </c>
      <c r="J268" s="22" t="str">
        <f t="shared" si="21"/>
        <v>Saturday</v>
      </c>
      <c r="K268" s="23">
        <v>0.56871527777777775</v>
      </c>
      <c r="L268" s="22">
        <v>44997</v>
      </c>
      <c r="M268" s="24">
        <f>HOUR(orders!$K268)</f>
        <v>13</v>
      </c>
      <c r="N268" s="22" t="str">
        <f t="shared" si="22"/>
        <v>March</v>
      </c>
      <c r="O268" s="23">
        <v>0.16111111111111112</v>
      </c>
      <c r="P268" s="23" t="str">
        <f>_xlfn.XLOOKUP(B268,[2]customers!$A$2:$A$101,[2]customers!$C$2:$C$101)</f>
        <v>Imphal</v>
      </c>
      <c r="Q268" s="20" t="s">
        <v>298</v>
      </c>
      <c r="R268" s="20" t="s">
        <v>36</v>
      </c>
      <c r="S268" s="21">
        <f t="shared" si="23"/>
        <v>5595</v>
      </c>
      <c r="T268" s="25">
        <f t="shared" si="24"/>
        <v>8</v>
      </c>
    </row>
    <row r="269" spans="1:20" x14ac:dyDescent="0.3">
      <c r="A269" s="14">
        <v>268</v>
      </c>
      <c r="B269" s="14" t="s">
        <v>142</v>
      </c>
      <c r="C269" s="14">
        <v>38</v>
      </c>
      <c r="D269" s="14" t="s">
        <v>438</v>
      </c>
      <c r="E269" s="14" t="s">
        <v>431</v>
      </c>
      <c r="F269" s="14">
        <v>1</v>
      </c>
      <c r="G269" s="15">
        <f>_xlfn.XLOOKUP(C269,[1]products!$A$2:$A$71,[1]products!$D$2:$D$71)</f>
        <v>562</v>
      </c>
      <c r="H269" s="16">
        <v>45152</v>
      </c>
      <c r="I269" s="16" t="str">
        <f t="shared" si="20"/>
        <v>August</v>
      </c>
      <c r="J269" s="16" t="str">
        <f t="shared" si="21"/>
        <v>Monday</v>
      </c>
      <c r="K269" s="17">
        <v>0.32359953703703703</v>
      </c>
      <c r="L269" s="16">
        <v>45161</v>
      </c>
      <c r="M269" s="18">
        <f>HOUR(orders!$K269)</f>
        <v>7</v>
      </c>
      <c r="N269" s="16" t="str">
        <f t="shared" si="22"/>
        <v>August</v>
      </c>
      <c r="O269" s="17">
        <v>0.70381944444444444</v>
      </c>
      <c r="P269" s="17" t="str">
        <f>_xlfn.XLOOKUP(B269,[2]customers!$A$2:$A$101,[2]customers!$C$2:$C$101)</f>
        <v>Bharatpur</v>
      </c>
      <c r="Q269" s="14" t="s">
        <v>79</v>
      </c>
      <c r="R269" s="14" t="s">
        <v>20</v>
      </c>
      <c r="S269" s="15">
        <f t="shared" si="23"/>
        <v>562</v>
      </c>
      <c r="T269" s="19">
        <f t="shared" si="24"/>
        <v>9</v>
      </c>
    </row>
    <row r="270" spans="1:20" x14ac:dyDescent="0.3">
      <c r="A270" s="20">
        <v>269</v>
      </c>
      <c r="B270" s="20" t="s">
        <v>38</v>
      </c>
      <c r="C270" s="20">
        <v>36</v>
      </c>
      <c r="D270" s="20" t="s">
        <v>468</v>
      </c>
      <c r="E270" s="20" t="s">
        <v>447</v>
      </c>
      <c r="F270" s="20">
        <v>1</v>
      </c>
      <c r="G270" s="21">
        <f>_xlfn.XLOOKUP(C270,[1]products!$A$2:$A$71,[1]products!$D$2:$D$71)</f>
        <v>203</v>
      </c>
      <c r="H270" s="22">
        <v>45224</v>
      </c>
      <c r="I270" s="22" t="str">
        <f t="shared" si="20"/>
        <v>October</v>
      </c>
      <c r="J270" s="22" t="str">
        <f t="shared" si="21"/>
        <v>Wednesday</v>
      </c>
      <c r="K270" s="23">
        <v>5.0138888888888893E-2</v>
      </c>
      <c r="L270" s="22">
        <v>45225</v>
      </c>
      <c r="M270" s="24">
        <f>HOUR(orders!$K270)</f>
        <v>1</v>
      </c>
      <c r="N270" s="22" t="str">
        <f t="shared" si="22"/>
        <v>October</v>
      </c>
      <c r="O270" s="23">
        <v>0.74876157407407407</v>
      </c>
      <c r="P270" s="23" t="str">
        <f>_xlfn.XLOOKUP(B270,[2]customers!$A$2:$A$101,[2]customers!$C$2:$C$101)</f>
        <v>Kavali</v>
      </c>
      <c r="Q270" s="20" t="s">
        <v>299</v>
      </c>
      <c r="R270" s="20" t="s">
        <v>20</v>
      </c>
      <c r="S270" s="21">
        <f t="shared" si="23"/>
        <v>203</v>
      </c>
      <c r="T270" s="25">
        <f t="shared" si="24"/>
        <v>1</v>
      </c>
    </row>
    <row r="271" spans="1:20" x14ac:dyDescent="0.3">
      <c r="A271" s="14">
        <v>270</v>
      </c>
      <c r="B271" s="14" t="s">
        <v>215</v>
      </c>
      <c r="C271" s="14">
        <v>21</v>
      </c>
      <c r="D271" s="14" t="s">
        <v>436</v>
      </c>
      <c r="E271" s="14" t="s">
        <v>429</v>
      </c>
      <c r="F271" s="14">
        <v>5</v>
      </c>
      <c r="G271" s="15">
        <f>_xlfn.XLOOKUP(C271,[1]products!$A$2:$A$71,[1]products!$D$2:$D$71)</f>
        <v>1561</v>
      </c>
      <c r="H271" s="16">
        <v>45160</v>
      </c>
      <c r="I271" s="16" t="str">
        <f t="shared" si="20"/>
        <v>August</v>
      </c>
      <c r="J271" s="16" t="str">
        <f t="shared" si="21"/>
        <v>Tuesday</v>
      </c>
      <c r="K271" s="17">
        <v>0.84825231481481478</v>
      </c>
      <c r="L271" s="16">
        <v>45170</v>
      </c>
      <c r="M271" s="18">
        <f>HOUR(orders!$K271)</f>
        <v>20</v>
      </c>
      <c r="N271" s="16" t="str">
        <f t="shared" si="22"/>
        <v>September</v>
      </c>
      <c r="O271" s="17">
        <v>0.66943287037037036</v>
      </c>
      <c r="P271" s="17" t="str">
        <f>_xlfn.XLOOKUP(B271,[2]customers!$A$2:$A$101,[2]customers!$C$2:$C$101)</f>
        <v>Tiruchirappalli</v>
      </c>
      <c r="Q271" s="14" t="s">
        <v>149</v>
      </c>
      <c r="R271" s="14" t="s">
        <v>26</v>
      </c>
      <c r="S271" s="15">
        <f t="shared" si="23"/>
        <v>7805</v>
      </c>
      <c r="T271" s="19">
        <f t="shared" si="24"/>
        <v>10</v>
      </c>
    </row>
    <row r="272" spans="1:20" x14ac:dyDescent="0.3">
      <c r="A272" s="20">
        <v>271</v>
      </c>
      <c r="B272" s="20" t="s">
        <v>159</v>
      </c>
      <c r="C272" s="20">
        <v>36</v>
      </c>
      <c r="D272" s="20" t="s">
        <v>468</v>
      </c>
      <c r="E272" s="20" t="s">
        <v>447</v>
      </c>
      <c r="F272" s="20">
        <v>5</v>
      </c>
      <c r="G272" s="21">
        <f>_xlfn.XLOOKUP(C272,[1]products!$A$2:$A$71,[1]products!$D$2:$D$71)</f>
        <v>203</v>
      </c>
      <c r="H272" s="22">
        <v>45100</v>
      </c>
      <c r="I272" s="22" t="str">
        <f t="shared" si="20"/>
        <v>June</v>
      </c>
      <c r="J272" s="22" t="str">
        <f t="shared" si="21"/>
        <v>Friday</v>
      </c>
      <c r="K272" s="23">
        <v>0.76923611111111112</v>
      </c>
      <c r="L272" s="22">
        <v>45107</v>
      </c>
      <c r="M272" s="24">
        <f>HOUR(orders!$K272)</f>
        <v>18</v>
      </c>
      <c r="N272" s="22" t="str">
        <f t="shared" si="22"/>
        <v>June</v>
      </c>
      <c r="O272" s="23">
        <v>0.76394675925925926</v>
      </c>
      <c r="P272" s="23" t="str">
        <f>_xlfn.XLOOKUP(B272,[2]customers!$A$2:$A$101,[2]customers!$C$2:$C$101)</f>
        <v>Kamarhati</v>
      </c>
      <c r="Q272" s="20" t="s">
        <v>300</v>
      </c>
      <c r="R272" s="20" t="s">
        <v>20</v>
      </c>
      <c r="S272" s="21">
        <f t="shared" si="23"/>
        <v>1015</v>
      </c>
      <c r="T272" s="25">
        <f t="shared" si="24"/>
        <v>7</v>
      </c>
    </row>
    <row r="273" spans="1:20" x14ac:dyDescent="0.3">
      <c r="A273" s="14">
        <v>272</v>
      </c>
      <c r="B273" s="14" t="s">
        <v>243</v>
      </c>
      <c r="C273" s="14">
        <v>12</v>
      </c>
      <c r="D273" s="14" t="s">
        <v>446</v>
      </c>
      <c r="E273" s="14" t="s">
        <v>447</v>
      </c>
      <c r="F273" s="14">
        <v>1</v>
      </c>
      <c r="G273" s="15">
        <f>_xlfn.XLOOKUP(C273,[1]products!$A$2:$A$71,[1]products!$D$2:$D$71)</f>
        <v>672</v>
      </c>
      <c r="H273" s="16">
        <v>45024</v>
      </c>
      <c r="I273" s="16" t="str">
        <f t="shared" si="20"/>
        <v>April</v>
      </c>
      <c r="J273" s="16" t="str">
        <f t="shared" si="21"/>
        <v>Saturday</v>
      </c>
      <c r="K273" s="17">
        <v>0.40283564814814815</v>
      </c>
      <c r="L273" s="16">
        <v>45034</v>
      </c>
      <c r="M273" s="18">
        <f>HOUR(orders!$K273)</f>
        <v>9</v>
      </c>
      <c r="N273" s="16" t="str">
        <f t="shared" si="22"/>
        <v>April</v>
      </c>
      <c r="O273" s="17">
        <v>0.84300925925925929</v>
      </c>
      <c r="P273" s="17" t="str">
        <f>_xlfn.XLOOKUP(B273,[2]customers!$A$2:$A$101,[2]customers!$C$2:$C$101)</f>
        <v>Tenali</v>
      </c>
      <c r="Q273" s="14" t="s">
        <v>207</v>
      </c>
      <c r="R273" s="14" t="s">
        <v>12</v>
      </c>
      <c r="S273" s="15">
        <f t="shared" si="23"/>
        <v>672</v>
      </c>
      <c r="T273" s="19">
        <f t="shared" si="24"/>
        <v>10</v>
      </c>
    </row>
    <row r="274" spans="1:20" x14ac:dyDescent="0.3">
      <c r="A274" s="20">
        <v>273</v>
      </c>
      <c r="B274" s="20" t="s">
        <v>72</v>
      </c>
      <c r="C274" s="20">
        <v>10</v>
      </c>
      <c r="D274" s="20" t="s">
        <v>452</v>
      </c>
      <c r="E274" s="20" t="s">
        <v>431</v>
      </c>
      <c r="F274" s="20">
        <v>2</v>
      </c>
      <c r="G274" s="21">
        <f>_xlfn.XLOOKUP(C274,[1]products!$A$2:$A$71,[1]products!$D$2:$D$71)</f>
        <v>259</v>
      </c>
      <c r="H274" s="22">
        <v>45252</v>
      </c>
      <c r="I274" s="22" t="str">
        <f t="shared" si="20"/>
        <v>November</v>
      </c>
      <c r="J274" s="22" t="str">
        <f t="shared" si="21"/>
        <v>Wednesday</v>
      </c>
      <c r="K274" s="23">
        <v>0.67540509259259263</v>
      </c>
      <c r="L274" s="22">
        <v>45254</v>
      </c>
      <c r="M274" s="24">
        <f>HOUR(orders!$K274)</f>
        <v>16</v>
      </c>
      <c r="N274" s="22" t="str">
        <f t="shared" si="22"/>
        <v>November</v>
      </c>
      <c r="O274" s="23">
        <v>7.8333333333333324E-2</v>
      </c>
      <c r="P274" s="23" t="str">
        <f>_xlfn.XLOOKUP(B274,[2]customers!$A$2:$A$101,[2]customers!$C$2:$C$101)</f>
        <v>Jorhat</v>
      </c>
      <c r="Q274" s="20" t="s">
        <v>48</v>
      </c>
      <c r="R274" s="20" t="s">
        <v>20</v>
      </c>
      <c r="S274" s="21">
        <f t="shared" si="23"/>
        <v>518</v>
      </c>
      <c r="T274" s="25">
        <f t="shared" si="24"/>
        <v>2</v>
      </c>
    </row>
    <row r="275" spans="1:20" x14ac:dyDescent="0.3">
      <c r="A275" s="14">
        <v>274</v>
      </c>
      <c r="B275" s="14" t="s">
        <v>21</v>
      </c>
      <c r="C275" s="14">
        <v>41</v>
      </c>
      <c r="D275" s="14" t="s">
        <v>426</v>
      </c>
      <c r="E275" s="14" t="s">
        <v>427</v>
      </c>
      <c r="F275" s="14">
        <v>5</v>
      </c>
      <c r="G275" s="15">
        <f>_xlfn.XLOOKUP(C275,[1]products!$A$2:$A$71,[1]products!$D$2:$D$71)</f>
        <v>1977</v>
      </c>
      <c r="H275" s="16">
        <v>45232</v>
      </c>
      <c r="I275" s="16" t="str">
        <f t="shared" si="20"/>
        <v>November</v>
      </c>
      <c r="J275" s="16" t="str">
        <f t="shared" si="21"/>
        <v>Thursday</v>
      </c>
      <c r="K275" s="17">
        <v>0.27628472222222222</v>
      </c>
      <c r="L275" s="16">
        <v>45242</v>
      </c>
      <c r="M275" s="18">
        <f>HOUR(orders!$K275)</f>
        <v>6</v>
      </c>
      <c r="N275" s="16" t="str">
        <f t="shared" si="22"/>
        <v>November</v>
      </c>
      <c r="O275" s="17">
        <v>0.87055555555555564</v>
      </c>
      <c r="P275" s="17" t="str">
        <f>_xlfn.XLOOKUP(B275,[2]customers!$A$2:$A$101,[2]customers!$C$2:$C$101)</f>
        <v>Bhubaneswar</v>
      </c>
      <c r="Q275" s="14" t="s">
        <v>299</v>
      </c>
      <c r="R275" s="14" t="s">
        <v>15</v>
      </c>
      <c r="S275" s="15">
        <f t="shared" si="23"/>
        <v>9885</v>
      </c>
      <c r="T275" s="19">
        <f t="shared" si="24"/>
        <v>10</v>
      </c>
    </row>
    <row r="276" spans="1:20" x14ac:dyDescent="0.3">
      <c r="A276" s="20">
        <v>275</v>
      </c>
      <c r="B276" s="20" t="s">
        <v>134</v>
      </c>
      <c r="C276" s="20">
        <v>29</v>
      </c>
      <c r="D276" s="20" t="s">
        <v>497</v>
      </c>
      <c r="E276" s="20" t="s">
        <v>429</v>
      </c>
      <c r="F276" s="20">
        <v>1</v>
      </c>
      <c r="G276" s="21">
        <f>_xlfn.XLOOKUP(C276,[1]products!$A$2:$A$71,[1]products!$D$2:$D$71)</f>
        <v>1252</v>
      </c>
      <c r="H276" s="22">
        <v>44987</v>
      </c>
      <c r="I276" s="22" t="str">
        <f t="shared" si="20"/>
        <v>March</v>
      </c>
      <c r="J276" s="22" t="str">
        <f t="shared" si="21"/>
        <v>Thursday</v>
      </c>
      <c r="K276" s="23">
        <v>0.17623842592592595</v>
      </c>
      <c r="L276" s="22">
        <v>44990</v>
      </c>
      <c r="M276" s="24">
        <f>HOUR(orders!$K276)</f>
        <v>4</v>
      </c>
      <c r="N276" s="22" t="str">
        <f t="shared" si="22"/>
        <v>March</v>
      </c>
      <c r="O276" s="23">
        <v>5.392361111111111E-2</v>
      </c>
      <c r="P276" s="23" t="str">
        <f>_xlfn.XLOOKUP(B276,[2]customers!$A$2:$A$101,[2]customers!$C$2:$C$101)</f>
        <v>Noida</v>
      </c>
      <c r="Q276" s="20" t="s">
        <v>301</v>
      </c>
      <c r="R276" s="20" t="s">
        <v>36</v>
      </c>
      <c r="S276" s="21">
        <f t="shared" si="23"/>
        <v>1252</v>
      </c>
      <c r="T276" s="25">
        <f t="shared" si="24"/>
        <v>3</v>
      </c>
    </row>
    <row r="277" spans="1:20" x14ac:dyDescent="0.3">
      <c r="A277" s="14">
        <v>276</v>
      </c>
      <c r="B277" s="14" t="s">
        <v>34</v>
      </c>
      <c r="C277" s="14">
        <v>15</v>
      </c>
      <c r="D277" s="14" t="s">
        <v>482</v>
      </c>
      <c r="E277" s="14" t="s">
        <v>26</v>
      </c>
      <c r="F277" s="14">
        <v>2</v>
      </c>
      <c r="G277" s="15">
        <f>_xlfn.XLOOKUP(C277,[1]products!$A$2:$A$71,[1]products!$D$2:$D$71)</f>
        <v>1488</v>
      </c>
      <c r="H277" s="16">
        <v>45074</v>
      </c>
      <c r="I277" s="16" t="str">
        <f t="shared" si="20"/>
        <v>May</v>
      </c>
      <c r="J277" s="16" t="str">
        <f t="shared" si="21"/>
        <v>Sunday</v>
      </c>
      <c r="K277" s="17">
        <v>6.5347222222222223E-2</v>
      </c>
      <c r="L277" s="16">
        <v>45078</v>
      </c>
      <c r="M277" s="18">
        <f>HOUR(orders!$K277)</f>
        <v>1</v>
      </c>
      <c r="N277" s="16" t="str">
        <f t="shared" si="22"/>
        <v>June</v>
      </c>
      <c r="O277" s="17">
        <v>0.29552083333333334</v>
      </c>
      <c r="P277" s="17" t="str">
        <f>_xlfn.XLOOKUP(B277,[2]customers!$A$2:$A$101,[2]customers!$C$2:$C$101)</f>
        <v>North Dumdum</v>
      </c>
      <c r="Q277" s="14" t="s">
        <v>302</v>
      </c>
      <c r="R277" s="14" t="s">
        <v>12</v>
      </c>
      <c r="S277" s="15">
        <f t="shared" si="23"/>
        <v>2976</v>
      </c>
      <c r="T277" s="19">
        <f t="shared" si="24"/>
        <v>4</v>
      </c>
    </row>
    <row r="278" spans="1:20" x14ac:dyDescent="0.3">
      <c r="A278" s="20">
        <v>277</v>
      </c>
      <c r="B278" s="20" t="s">
        <v>136</v>
      </c>
      <c r="C278" s="20">
        <v>34</v>
      </c>
      <c r="D278" s="20" t="s">
        <v>472</v>
      </c>
      <c r="E278" s="20" t="s">
        <v>445</v>
      </c>
      <c r="F278" s="20">
        <v>5</v>
      </c>
      <c r="G278" s="21">
        <f>_xlfn.XLOOKUP(C278,[1]products!$A$2:$A$71,[1]products!$D$2:$D$71)</f>
        <v>1335</v>
      </c>
      <c r="H278" s="22">
        <v>45161</v>
      </c>
      <c r="I278" s="22" t="str">
        <f t="shared" si="20"/>
        <v>August</v>
      </c>
      <c r="J278" s="22" t="str">
        <f t="shared" si="21"/>
        <v>Wednesday</v>
      </c>
      <c r="K278" s="23">
        <v>0.80324074074074081</v>
      </c>
      <c r="L278" s="22">
        <v>45167</v>
      </c>
      <c r="M278" s="24">
        <f>HOUR(orders!$K278)</f>
        <v>19</v>
      </c>
      <c r="N278" s="22" t="str">
        <f t="shared" si="22"/>
        <v>August</v>
      </c>
      <c r="O278" s="23">
        <v>0.65993055555555558</v>
      </c>
      <c r="P278" s="23" t="str">
        <f>_xlfn.XLOOKUP(B278,[2]customers!$A$2:$A$101,[2]customers!$C$2:$C$101)</f>
        <v>Nagpur</v>
      </c>
      <c r="Q278" s="20" t="s">
        <v>234</v>
      </c>
      <c r="R278" s="20" t="s">
        <v>26</v>
      </c>
      <c r="S278" s="21">
        <f t="shared" si="23"/>
        <v>6675</v>
      </c>
      <c r="T278" s="25">
        <f t="shared" si="24"/>
        <v>6</v>
      </c>
    </row>
    <row r="279" spans="1:20" x14ac:dyDescent="0.3">
      <c r="A279" s="14">
        <v>278</v>
      </c>
      <c r="B279" s="14" t="s">
        <v>31</v>
      </c>
      <c r="C279" s="14">
        <v>1</v>
      </c>
      <c r="D279" s="14" t="s">
        <v>479</v>
      </c>
      <c r="E279" s="14" t="s">
        <v>445</v>
      </c>
      <c r="F279" s="14">
        <v>2</v>
      </c>
      <c r="G279" s="15">
        <f>_xlfn.XLOOKUP(C279,[1]products!$A$2:$A$71,[1]products!$D$2:$D$71)</f>
        <v>1935</v>
      </c>
      <c r="H279" s="16">
        <v>45097</v>
      </c>
      <c r="I279" s="16" t="str">
        <f t="shared" si="20"/>
        <v>June</v>
      </c>
      <c r="J279" s="16" t="str">
        <f t="shared" si="21"/>
        <v>Tuesday</v>
      </c>
      <c r="K279" s="17">
        <v>0.98185185185185186</v>
      </c>
      <c r="L279" s="16">
        <v>45101</v>
      </c>
      <c r="M279" s="18">
        <f>HOUR(orders!$K279)</f>
        <v>23</v>
      </c>
      <c r="N279" s="16" t="str">
        <f t="shared" si="22"/>
        <v>June</v>
      </c>
      <c r="O279" s="17">
        <v>0.23800925925925928</v>
      </c>
      <c r="P279" s="17" t="str">
        <f>_xlfn.XLOOKUP(B279,[2]customers!$A$2:$A$101,[2]customers!$C$2:$C$101)</f>
        <v>Agra</v>
      </c>
      <c r="Q279" s="14" t="s">
        <v>303</v>
      </c>
      <c r="R279" s="14" t="s">
        <v>60</v>
      </c>
      <c r="S279" s="15">
        <f t="shared" si="23"/>
        <v>3870</v>
      </c>
      <c r="T279" s="19">
        <f t="shared" si="24"/>
        <v>4</v>
      </c>
    </row>
    <row r="280" spans="1:20" x14ac:dyDescent="0.3">
      <c r="A280" s="20">
        <v>279</v>
      </c>
      <c r="B280" s="20" t="s">
        <v>80</v>
      </c>
      <c r="C280" s="20">
        <v>23</v>
      </c>
      <c r="D280" s="20" t="s">
        <v>441</v>
      </c>
      <c r="E280" s="20" t="s">
        <v>427</v>
      </c>
      <c r="F280" s="20">
        <v>4</v>
      </c>
      <c r="G280" s="21">
        <f>_xlfn.XLOOKUP(C280,[1]products!$A$2:$A$71,[1]products!$D$2:$D$71)</f>
        <v>1098</v>
      </c>
      <c r="H280" s="22">
        <v>45254</v>
      </c>
      <c r="I280" s="22" t="str">
        <f t="shared" si="20"/>
        <v>November</v>
      </c>
      <c r="J280" s="22" t="str">
        <f t="shared" si="21"/>
        <v>Friday</v>
      </c>
      <c r="K280" s="23">
        <v>0.38525462962962959</v>
      </c>
      <c r="L280" s="22">
        <v>45256</v>
      </c>
      <c r="M280" s="24">
        <f>HOUR(orders!$K280)</f>
        <v>9</v>
      </c>
      <c r="N280" s="22" t="str">
        <f t="shared" si="22"/>
        <v>November</v>
      </c>
      <c r="O280" s="23">
        <v>0.7440162037037038</v>
      </c>
      <c r="P280" s="23" t="str">
        <f>_xlfn.XLOOKUP(B280,[2]customers!$A$2:$A$101,[2]customers!$C$2:$C$101)</f>
        <v>Anand</v>
      </c>
      <c r="Q280" s="20" t="s">
        <v>169</v>
      </c>
      <c r="R280" s="20" t="s">
        <v>12</v>
      </c>
      <c r="S280" s="21">
        <f t="shared" si="23"/>
        <v>4392</v>
      </c>
      <c r="T280" s="25">
        <f t="shared" si="24"/>
        <v>2</v>
      </c>
    </row>
    <row r="281" spans="1:20" x14ac:dyDescent="0.3">
      <c r="A281" s="14">
        <v>280</v>
      </c>
      <c r="B281" s="14" t="s">
        <v>291</v>
      </c>
      <c r="C281" s="14">
        <v>19</v>
      </c>
      <c r="D281" s="14" t="s">
        <v>457</v>
      </c>
      <c r="E281" s="14" t="s">
        <v>458</v>
      </c>
      <c r="F281" s="14">
        <v>3</v>
      </c>
      <c r="G281" s="15">
        <f>_xlfn.XLOOKUP(C281,[1]products!$A$2:$A$71,[1]products!$D$2:$D$71)</f>
        <v>1234</v>
      </c>
      <c r="H281" s="16">
        <v>44964</v>
      </c>
      <c r="I281" s="16" t="str">
        <f t="shared" si="20"/>
        <v>February</v>
      </c>
      <c r="J281" s="16" t="str">
        <f t="shared" si="21"/>
        <v>Tuesday</v>
      </c>
      <c r="K281" s="17">
        <v>0.73943287037037031</v>
      </c>
      <c r="L281" s="16">
        <v>44969</v>
      </c>
      <c r="M281" s="18">
        <f>HOUR(orders!$K281)</f>
        <v>17</v>
      </c>
      <c r="N281" s="16" t="str">
        <f t="shared" si="22"/>
        <v>February</v>
      </c>
      <c r="O281" s="17">
        <v>0.68825231481481486</v>
      </c>
      <c r="P281" s="17" t="str">
        <f>_xlfn.XLOOKUP(B281,[2]customers!$A$2:$A$101,[2]customers!$C$2:$C$101)</f>
        <v>Bilaspur</v>
      </c>
      <c r="Q281" s="14" t="s">
        <v>211</v>
      </c>
      <c r="R281" s="14" t="s">
        <v>23</v>
      </c>
      <c r="S281" s="15">
        <f t="shared" si="23"/>
        <v>3702</v>
      </c>
      <c r="T281" s="19">
        <f t="shared" si="24"/>
        <v>5</v>
      </c>
    </row>
    <row r="282" spans="1:20" x14ac:dyDescent="0.3">
      <c r="A282" s="20">
        <v>281</v>
      </c>
      <c r="B282" s="20" t="s">
        <v>140</v>
      </c>
      <c r="C282" s="20">
        <v>15</v>
      </c>
      <c r="D282" s="20" t="s">
        <v>482</v>
      </c>
      <c r="E282" s="20" t="s">
        <v>26</v>
      </c>
      <c r="F282" s="20">
        <v>3</v>
      </c>
      <c r="G282" s="21">
        <f>_xlfn.XLOOKUP(C282,[1]products!$A$2:$A$71,[1]products!$D$2:$D$71)</f>
        <v>1488</v>
      </c>
      <c r="H282" s="22">
        <v>45190</v>
      </c>
      <c r="I282" s="22" t="str">
        <f t="shared" si="20"/>
        <v>September</v>
      </c>
      <c r="J282" s="22" t="str">
        <f t="shared" si="21"/>
        <v>Thursday</v>
      </c>
      <c r="K282" s="23">
        <v>0.85887731481481477</v>
      </c>
      <c r="L282" s="22">
        <v>45194</v>
      </c>
      <c r="M282" s="24">
        <f>HOUR(orders!$K282)</f>
        <v>20</v>
      </c>
      <c r="N282" s="22" t="str">
        <f t="shared" si="22"/>
        <v>September</v>
      </c>
      <c r="O282" s="23">
        <v>0.43557870370370372</v>
      </c>
      <c r="P282" s="23" t="str">
        <f>_xlfn.XLOOKUP(B282,[2]customers!$A$2:$A$101,[2]customers!$C$2:$C$101)</f>
        <v>Chinsurah</v>
      </c>
      <c r="Q282" s="20" t="s">
        <v>235</v>
      </c>
      <c r="R282" s="20" t="s">
        <v>12</v>
      </c>
      <c r="S282" s="21">
        <f t="shared" si="23"/>
        <v>4464</v>
      </c>
      <c r="T282" s="25">
        <f t="shared" si="24"/>
        <v>4</v>
      </c>
    </row>
    <row r="283" spans="1:20" x14ac:dyDescent="0.3">
      <c r="A283" s="14">
        <v>282</v>
      </c>
      <c r="B283" s="14" t="s">
        <v>212</v>
      </c>
      <c r="C283" s="14">
        <v>41</v>
      </c>
      <c r="D283" s="14" t="s">
        <v>426</v>
      </c>
      <c r="E283" s="14" t="s">
        <v>427</v>
      </c>
      <c r="F283" s="14">
        <v>2</v>
      </c>
      <c r="G283" s="15">
        <f>_xlfn.XLOOKUP(C283,[1]products!$A$2:$A$71,[1]products!$D$2:$D$71)</f>
        <v>1977</v>
      </c>
      <c r="H283" s="16">
        <v>45241</v>
      </c>
      <c r="I283" s="16" t="str">
        <f t="shared" si="20"/>
        <v>November</v>
      </c>
      <c r="J283" s="16" t="str">
        <f t="shared" si="21"/>
        <v>Saturday</v>
      </c>
      <c r="K283" s="17">
        <v>0.43112268518518521</v>
      </c>
      <c r="L283" s="16">
        <v>45249</v>
      </c>
      <c r="M283" s="18">
        <f>HOUR(orders!$K283)</f>
        <v>10</v>
      </c>
      <c r="N283" s="16" t="str">
        <f t="shared" si="22"/>
        <v>November</v>
      </c>
      <c r="O283" s="17">
        <v>0.92476851851851849</v>
      </c>
      <c r="P283" s="17" t="str">
        <f>_xlfn.XLOOKUP(B283,[2]customers!$A$2:$A$101,[2]customers!$C$2:$C$101)</f>
        <v>Dibrugarh</v>
      </c>
      <c r="Q283" s="14" t="s">
        <v>211</v>
      </c>
      <c r="R283" s="14" t="s">
        <v>15</v>
      </c>
      <c r="S283" s="15">
        <f t="shared" si="23"/>
        <v>3954</v>
      </c>
      <c r="T283" s="19">
        <f t="shared" si="24"/>
        <v>8</v>
      </c>
    </row>
    <row r="284" spans="1:20" x14ac:dyDescent="0.3">
      <c r="A284" s="20">
        <v>283</v>
      </c>
      <c r="B284" s="20" t="s">
        <v>292</v>
      </c>
      <c r="C284" s="20">
        <v>23</v>
      </c>
      <c r="D284" s="20" t="s">
        <v>441</v>
      </c>
      <c r="E284" s="20" t="s">
        <v>427</v>
      </c>
      <c r="F284" s="20">
        <v>2</v>
      </c>
      <c r="G284" s="21">
        <f>_xlfn.XLOOKUP(C284,[1]products!$A$2:$A$71,[1]products!$D$2:$D$71)</f>
        <v>1098</v>
      </c>
      <c r="H284" s="22">
        <v>45253</v>
      </c>
      <c r="I284" s="22" t="str">
        <f t="shared" si="20"/>
        <v>November</v>
      </c>
      <c r="J284" s="22" t="str">
        <f t="shared" si="21"/>
        <v>Thursday</v>
      </c>
      <c r="K284" s="23">
        <v>0.11914351851851852</v>
      </c>
      <c r="L284" s="22">
        <v>45260</v>
      </c>
      <c r="M284" s="24">
        <f>HOUR(orders!$K284)</f>
        <v>2</v>
      </c>
      <c r="N284" s="22" t="str">
        <f t="shared" si="22"/>
        <v>November</v>
      </c>
      <c r="O284" s="23">
        <v>0.76504629629629628</v>
      </c>
      <c r="P284" s="23" t="str">
        <f>_xlfn.XLOOKUP(B284,[2]customers!$A$2:$A$101,[2]customers!$C$2:$C$101)</f>
        <v>Purnia</v>
      </c>
      <c r="Q284" s="20" t="s">
        <v>304</v>
      </c>
      <c r="R284" s="20" t="s">
        <v>12</v>
      </c>
      <c r="S284" s="21">
        <f t="shared" si="23"/>
        <v>2196</v>
      </c>
      <c r="T284" s="25">
        <f t="shared" si="24"/>
        <v>7</v>
      </c>
    </row>
    <row r="285" spans="1:20" x14ac:dyDescent="0.3">
      <c r="A285" s="14">
        <v>284</v>
      </c>
      <c r="B285" s="14" t="s">
        <v>130</v>
      </c>
      <c r="C285" s="14">
        <v>17</v>
      </c>
      <c r="D285" s="14" t="s">
        <v>455</v>
      </c>
      <c r="E285" s="14" t="s">
        <v>445</v>
      </c>
      <c r="F285" s="14">
        <v>1</v>
      </c>
      <c r="G285" s="15">
        <f>_xlfn.XLOOKUP(C285,[1]products!$A$2:$A$71,[1]products!$D$2:$D$71)</f>
        <v>1899</v>
      </c>
      <c r="H285" s="16">
        <v>45148</v>
      </c>
      <c r="I285" s="16" t="str">
        <f t="shared" si="20"/>
        <v>August</v>
      </c>
      <c r="J285" s="16" t="str">
        <f t="shared" si="21"/>
        <v>Thursday</v>
      </c>
      <c r="K285" s="17">
        <v>0.67574074074074064</v>
      </c>
      <c r="L285" s="16">
        <v>45154</v>
      </c>
      <c r="M285" s="18">
        <f>HOUR(orders!$K285)</f>
        <v>16</v>
      </c>
      <c r="N285" s="16" t="str">
        <f t="shared" si="22"/>
        <v>August</v>
      </c>
      <c r="O285" s="17">
        <v>0.47357638888888887</v>
      </c>
      <c r="P285" s="17" t="str">
        <f>_xlfn.XLOOKUP(B285,[2]customers!$A$2:$A$101,[2]customers!$C$2:$C$101)</f>
        <v>Delhi</v>
      </c>
      <c r="Q285" s="14" t="s">
        <v>151</v>
      </c>
      <c r="R285" s="14" t="s">
        <v>12</v>
      </c>
      <c r="S285" s="15">
        <f t="shared" si="23"/>
        <v>1899</v>
      </c>
      <c r="T285" s="19">
        <f t="shared" si="24"/>
        <v>6</v>
      </c>
    </row>
    <row r="286" spans="1:20" x14ac:dyDescent="0.3">
      <c r="A286" s="20">
        <v>285</v>
      </c>
      <c r="B286" s="20" t="s">
        <v>167</v>
      </c>
      <c r="C286" s="20">
        <v>7</v>
      </c>
      <c r="D286" s="20" t="s">
        <v>453</v>
      </c>
      <c r="E286" s="20" t="s">
        <v>445</v>
      </c>
      <c r="F286" s="20">
        <v>5</v>
      </c>
      <c r="G286" s="21">
        <f>_xlfn.XLOOKUP(C286,[1]products!$A$2:$A$71,[1]products!$D$2:$D$71)</f>
        <v>409</v>
      </c>
      <c r="H286" s="22">
        <v>44983</v>
      </c>
      <c r="I286" s="22" t="str">
        <f t="shared" si="20"/>
        <v>February</v>
      </c>
      <c r="J286" s="22" t="str">
        <f t="shared" si="21"/>
        <v>Sunday</v>
      </c>
      <c r="K286" s="23">
        <v>0.72689814814814813</v>
      </c>
      <c r="L286" s="22">
        <v>44986</v>
      </c>
      <c r="M286" s="24">
        <f>HOUR(orders!$K286)</f>
        <v>17</v>
      </c>
      <c r="N286" s="22" t="str">
        <f t="shared" si="22"/>
        <v>March</v>
      </c>
      <c r="O286" s="23">
        <v>0.53634259259259254</v>
      </c>
      <c r="P286" s="23" t="str">
        <f>_xlfn.XLOOKUP(B286,[2]customers!$A$2:$A$101,[2]customers!$C$2:$C$101)</f>
        <v>Ahmednagar</v>
      </c>
      <c r="Q286" s="20" t="s">
        <v>296</v>
      </c>
      <c r="R286" s="20" t="s">
        <v>36</v>
      </c>
      <c r="S286" s="21">
        <f t="shared" si="23"/>
        <v>2045</v>
      </c>
      <c r="T286" s="25">
        <f t="shared" si="24"/>
        <v>3</v>
      </c>
    </row>
    <row r="287" spans="1:20" x14ac:dyDescent="0.3">
      <c r="A287" s="14">
        <v>286</v>
      </c>
      <c r="B287" s="14" t="s">
        <v>264</v>
      </c>
      <c r="C287" s="14">
        <v>50</v>
      </c>
      <c r="D287" s="14" t="s">
        <v>487</v>
      </c>
      <c r="E287" s="14" t="s">
        <v>447</v>
      </c>
      <c r="F287" s="14">
        <v>3</v>
      </c>
      <c r="G287" s="15">
        <f>_xlfn.XLOOKUP(C287,[1]products!$A$2:$A$71,[1]products!$D$2:$D$71)</f>
        <v>422</v>
      </c>
      <c r="H287" s="16">
        <v>44991</v>
      </c>
      <c r="I287" s="16" t="str">
        <f t="shared" si="20"/>
        <v>March</v>
      </c>
      <c r="J287" s="16" t="str">
        <f t="shared" si="21"/>
        <v>Monday</v>
      </c>
      <c r="K287" s="17">
        <v>0.83726851851851858</v>
      </c>
      <c r="L287" s="16">
        <v>44997</v>
      </c>
      <c r="M287" s="18">
        <f>HOUR(orders!$K287)</f>
        <v>20</v>
      </c>
      <c r="N287" s="16" t="str">
        <f t="shared" si="22"/>
        <v>March</v>
      </c>
      <c r="O287" s="17">
        <v>0.11211805555555555</v>
      </c>
      <c r="P287" s="17" t="str">
        <f>_xlfn.XLOOKUP(B287,[2]customers!$A$2:$A$101,[2]customers!$C$2:$C$101)</f>
        <v>Cuttack</v>
      </c>
      <c r="Q287" s="14" t="s">
        <v>305</v>
      </c>
      <c r="R287" s="14" t="s">
        <v>36</v>
      </c>
      <c r="S287" s="15">
        <f t="shared" si="23"/>
        <v>1266</v>
      </c>
      <c r="T287" s="19">
        <f t="shared" si="24"/>
        <v>6</v>
      </c>
    </row>
    <row r="288" spans="1:20" x14ac:dyDescent="0.3">
      <c r="A288" s="20">
        <v>287</v>
      </c>
      <c r="B288" s="20" t="s">
        <v>50</v>
      </c>
      <c r="C288" s="20">
        <v>7</v>
      </c>
      <c r="D288" s="20" t="s">
        <v>453</v>
      </c>
      <c r="E288" s="20" t="s">
        <v>445</v>
      </c>
      <c r="F288" s="20">
        <v>5</v>
      </c>
      <c r="G288" s="21">
        <f>_xlfn.XLOOKUP(C288,[1]products!$A$2:$A$71,[1]products!$D$2:$D$71)</f>
        <v>409</v>
      </c>
      <c r="H288" s="22">
        <v>44988</v>
      </c>
      <c r="I288" s="22" t="str">
        <f t="shared" si="20"/>
        <v>March</v>
      </c>
      <c r="J288" s="22" t="str">
        <f t="shared" si="21"/>
        <v>Friday</v>
      </c>
      <c r="K288" s="23">
        <v>0.20421296296296299</v>
      </c>
      <c r="L288" s="22">
        <v>44991</v>
      </c>
      <c r="M288" s="24">
        <f>HOUR(orders!$K288)</f>
        <v>4</v>
      </c>
      <c r="N288" s="22" t="str">
        <f t="shared" si="22"/>
        <v>March</v>
      </c>
      <c r="O288" s="23">
        <v>0.65274305555555556</v>
      </c>
      <c r="P288" s="23" t="str">
        <f>_xlfn.XLOOKUP(B288,[2]customers!$A$2:$A$101,[2]customers!$C$2:$C$101)</f>
        <v>Orai</v>
      </c>
      <c r="Q288" s="20" t="s">
        <v>306</v>
      </c>
      <c r="R288" s="20" t="s">
        <v>36</v>
      </c>
      <c r="S288" s="21">
        <f t="shared" si="23"/>
        <v>2045</v>
      </c>
      <c r="T288" s="25">
        <f t="shared" si="24"/>
        <v>3</v>
      </c>
    </row>
    <row r="289" spans="1:20" x14ac:dyDescent="0.3">
      <c r="A289" s="14">
        <v>288</v>
      </c>
      <c r="B289" s="14" t="s">
        <v>180</v>
      </c>
      <c r="C289" s="14">
        <v>34</v>
      </c>
      <c r="D289" s="14" t="s">
        <v>472</v>
      </c>
      <c r="E289" s="14" t="s">
        <v>445</v>
      </c>
      <c r="F289" s="14">
        <v>2</v>
      </c>
      <c r="G289" s="15">
        <f>_xlfn.XLOOKUP(C289,[1]products!$A$2:$A$71,[1]products!$D$2:$D$71)</f>
        <v>1335</v>
      </c>
      <c r="H289" s="16">
        <v>45159</v>
      </c>
      <c r="I289" s="16" t="str">
        <f t="shared" si="20"/>
        <v>August</v>
      </c>
      <c r="J289" s="16" t="str">
        <f t="shared" si="21"/>
        <v>Monday</v>
      </c>
      <c r="K289" s="17">
        <v>0.66594907407407411</v>
      </c>
      <c r="L289" s="16">
        <v>45161</v>
      </c>
      <c r="M289" s="18">
        <f>HOUR(orders!$K289)</f>
        <v>15</v>
      </c>
      <c r="N289" s="16" t="str">
        <f t="shared" si="22"/>
        <v>August</v>
      </c>
      <c r="O289" s="17">
        <v>0.86291666666666667</v>
      </c>
      <c r="P289" s="17" t="str">
        <f>_xlfn.XLOOKUP(B289,[2]customers!$A$2:$A$101,[2]customers!$C$2:$C$101)</f>
        <v>Vellore</v>
      </c>
      <c r="Q289" s="14" t="s">
        <v>303</v>
      </c>
      <c r="R289" s="14" t="s">
        <v>26</v>
      </c>
      <c r="S289" s="15">
        <f t="shared" si="23"/>
        <v>2670</v>
      </c>
      <c r="T289" s="19">
        <f t="shared" si="24"/>
        <v>2</v>
      </c>
    </row>
    <row r="290" spans="1:20" x14ac:dyDescent="0.3">
      <c r="A290" s="20">
        <v>289</v>
      </c>
      <c r="B290" s="20" t="s">
        <v>58</v>
      </c>
      <c r="C290" s="20">
        <v>30</v>
      </c>
      <c r="D290" s="20" t="s">
        <v>449</v>
      </c>
      <c r="E290" s="20" t="s">
        <v>429</v>
      </c>
      <c r="F290" s="20">
        <v>4</v>
      </c>
      <c r="G290" s="21">
        <f>_xlfn.XLOOKUP(C290,[1]products!$A$2:$A$71,[1]products!$D$2:$D$71)</f>
        <v>751</v>
      </c>
      <c r="H290" s="22">
        <v>45167</v>
      </c>
      <c r="I290" s="22" t="str">
        <f t="shared" si="20"/>
        <v>August</v>
      </c>
      <c r="J290" s="22" t="str">
        <f t="shared" si="21"/>
        <v>Tuesday</v>
      </c>
      <c r="K290" s="23">
        <v>0.98612268518518509</v>
      </c>
      <c r="L290" s="22">
        <v>45175</v>
      </c>
      <c r="M290" s="24">
        <f>HOUR(orders!$K290)</f>
        <v>23</v>
      </c>
      <c r="N290" s="22" t="str">
        <f t="shared" si="22"/>
        <v>September</v>
      </c>
      <c r="O290" s="23">
        <v>0.11812499999999999</v>
      </c>
      <c r="P290" s="23" t="str">
        <f>_xlfn.XLOOKUP(B290,[2]customers!$A$2:$A$101,[2]customers!$C$2:$C$101)</f>
        <v>Nizamabad</v>
      </c>
      <c r="Q290" s="20" t="s">
        <v>307</v>
      </c>
      <c r="R290" s="20" t="s">
        <v>12</v>
      </c>
      <c r="S290" s="21">
        <f t="shared" si="23"/>
        <v>3004</v>
      </c>
      <c r="T290" s="25">
        <f t="shared" si="24"/>
        <v>8</v>
      </c>
    </row>
    <row r="291" spans="1:20" x14ac:dyDescent="0.3">
      <c r="A291" s="14">
        <v>290</v>
      </c>
      <c r="B291" s="14" t="s">
        <v>275</v>
      </c>
      <c r="C291" s="14">
        <v>69</v>
      </c>
      <c r="D291" s="14" t="s">
        <v>486</v>
      </c>
      <c r="E291" s="14" t="s">
        <v>431</v>
      </c>
      <c r="F291" s="14">
        <v>3</v>
      </c>
      <c r="G291" s="15">
        <f>_xlfn.XLOOKUP(C291,[1]products!$A$2:$A$71,[1]products!$D$2:$D$71)</f>
        <v>998</v>
      </c>
      <c r="H291" s="16">
        <v>44991</v>
      </c>
      <c r="I291" s="16" t="str">
        <f t="shared" si="20"/>
        <v>March</v>
      </c>
      <c r="J291" s="16" t="str">
        <f t="shared" si="21"/>
        <v>Monday</v>
      </c>
      <c r="K291" s="17">
        <v>0.43562499999999998</v>
      </c>
      <c r="L291" s="16">
        <v>44995</v>
      </c>
      <c r="M291" s="18">
        <f>HOUR(orders!$K291)</f>
        <v>10</v>
      </c>
      <c r="N291" s="16" t="str">
        <f t="shared" si="22"/>
        <v>March</v>
      </c>
      <c r="O291" s="17">
        <v>0.6066435185185185</v>
      </c>
      <c r="P291" s="17" t="str">
        <f>_xlfn.XLOOKUP(B291,[2]customers!$A$2:$A$101,[2]customers!$C$2:$C$101)</f>
        <v>Bhilai</v>
      </c>
      <c r="Q291" s="14" t="s">
        <v>290</v>
      </c>
      <c r="R291" s="14" t="s">
        <v>36</v>
      </c>
      <c r="S291" s="15">
        <f t="shared" si="23"/>
        <v>2994</v>
      </c>
      <c r="T291" s="19">
        <f t="shared" si="24"/>
        <v>4</v>
      </c>
    </row>
    <row r="292" spans="1:20" x14ac:dyDescent="0.3">
      <c r="A292" s="20">
        <v>291</v>
      </c>
      <c r="B292" s="20" t="s">
        <v>47</v>
      </c>
      <c r="C292" s="20">
        <v>49</v>
      </c>
      <c r="D292" s="20" t="s">
        <v>463</v>
      </c>
      <c r="E292" s="20" t="s">
        <v>429</v>
      </c>
      <c r="F292" s="20">
        <v>2</v>
      </c>
      <c r="G292" s="21">
        <f>_xlfn.XLOOKUP(C292,[1]products!$A$2:$A$71,[1]products!$D$2:$D$71)</f>
        <v>903</v>
      </c>
      <c r="H292" s="22">
        <v>44967</v>
      </c>
      <c r="I292" s="22" t="str">
        <f t="shared" si="20"/>
        <v>February</v>
      </c>
      <c r="J292" s="22" t="str">
        <f t="shared" si="21"/>
        <v>Friday</v>
      </c>
      <c r="K292" s="23">
        <v>8.7962962962962968E-3</v>
      </c>
      <c r="L292" s="22">
        <v>44968</v>
      </c>
      <c r="M292" s="24">
        <f>HOUR(orders!$K292)</f>
        <v>0</v>
      </c>
      <c r="N292" s="22" t="str">
        <f t="shared" si="22"/>
        <v>February</v>
      </c>
      <c r="O292" s="23">
        <v>0.95336805555555559</v>
      </c>
      <c r="P292" s="23" t="str">
        <f>_xlfn.XLOOKUP(B292,[2]customers!$A$2:$A$101,[2]customers!$C$2:$C$101)</f>
        <v>Hyderabad</v>
      </c>
      <c r="Q292" s="20" t="s">
        <v>279</v>
      </c>
      <c r="R292" s="20" t="s">
        <v>23</v>
      </c>
      <c r="S292" s="21">
        <f t="shared" si="23"/>
        <v>1806</v>
      </c>
      <c r="T292" s="25">
        <f t="shared" si="24"/>
        <v>1</v>
      </c>
    </row>
    <row r="293" spans="1:20" x14ac:dyDescent="0.3">
      <c r="A293" s="14">
        <v>292</v>
      </c>
      <c r="B293" s="14" t="s">
        <v>142</v>
      </c>
      <c r="C293" s="14">
        <v>54</v>
      </c>
      <c r="D293" s="14" t="s">
        <v>461</v>
      </c>
      <c r="E293" s="14" t="s">
        <v>431</v>
      </c>
      <c r="F293" s="14">
        <v>1</v>
      </c>
      <c r="G293" s="15">
        <f>_xlfn.XLOOKUP(C293,[1]products!$A$2:$A$71,[1]products!$D$2:$D$71)</f>
        <v>1236</v>
      </c>
      <c r="H293" s="16">
        <v>45196</v>
      </c>
      <c r="I293" s="16" t="str">
        <f t="shared" si="20"/>
        <v>September</v>
      </c>
      <c r="J293" s="16" t="str">
        <f t="shared" si="21"/>
        <v>Wednesday</v>
      </c>
      <c r="K293" s="17">
        <v>0.94693287037037033</v>
      </c>
      <c r="L293" s="16">
        <v>45202</v>
      </c>
      <c r="M293" s="18">
        <f>HOUR(orders!$K293)</f>
        <v>22</v>
      </c>
      <c r="N293" s="16" t="str">
        <f t="shared" si="22"/>
        <v>October</v>
      </c>
      <c r="O293" s="17">
        <v>7.2766203703703694E-2</v>
      </c>
      <c r="P293" s="17" t="str">
        <f>_xlfn.XLOOKUP(B293,[2]customers!$A$2:$A$101,[2]customers!$C$2:$C$101)</f>
        <v>Bharatpur</v>
      </c>
      <c r="Q293" s="14" t="s">
        <v>178</v>
      </c>
      <c r="R293" s="14" t="s">
        <v>12</v>
      </c>
      <c r="S293" s="15">
        <f t="shared" si="23"/>
        <v>1236</v>
      </c>
      <c r="T293" s="19">
        <f t="shared" si="24"/>
        <v>6</v>
      </c>
    </row>
    <row r="294" spans="1:20" x14ac:dyDescent="0.3">
      <c r="A294" s="20">
        <v>293</v>
      </c>
      <c r="B294" s="20" t="s">
        <v>291</v>
      </c>
      <c r="C294" s="20">
        <v>1</v>
      </c>
      <c r="D294" s="20" t="s">
        <v>479</v>
      </c>
      <c r="E294" s="20" t="s">
        <v>445</v>
      </c>
      <c r="F294" s="20">
        <v>4</v>
      </c>
      <c r="G294" s="21">
        <f>_xlfn.XLOOKUP(C294,[1]products!$A$2:$A$71,[1]products!$D$2:$D$71)</f>
        <v>1935</v>
      </c>
      <c r="H294" s="22">
        <v>45173</v>
      </c>
      <c r="I294" s="22" t="str">
        <f t="shared" si="20"/>
        <v>September</v>
      </c>
      <c r="J294" s="22" t="str">
        <f t="shared" si="21"/>
        <v>Monday</v>
      </c>
      <c r="K294" s="23">
        <v>0.16929398148148148</v>
      </c>
      <c r="L294" s="22">
        <v>45178</v>
      </c>
      <c r="M294" s="24">
        <f>HOUR(orders!$K294)</f>
        <v>4</v>
      </c>
      <c r="N294" s="22" t="str">
        <f t="shared" si="22"/>
        <v>September</v>
      </c>
      <c r="O294" s="23">
        <v>0.75736111111111104</v>
      </c>
      <c r="P294" s="23" t="str">
        <f>_xlfn.XLOOKUP(B294,[2]customers!$A$2:$A$101,[2]customers!$C$2:$C$101)</f>
        <v>Bilaspur</v>
      </c>
      <c r="Q294" s="20" t="s">
        <v>308</v>
      </c>
      <c r="R294" s="20" t="s">
        <v>60</v>
      </c>
      <c r="S294" s="21">
        <f t="shared" si="23"/>
        <v>7740</v>
      </c>
      <c r="T294" s="25">
        <f t="shared" si="24"/>
        <v>5</v>
      </c>
    </row>
    <row r="295" spans="1:20" x14ac:dyDescent="0.3">
      <c r="A295" s="14">
        <v>294</v>
      </c>
      <c r="B295" s="14" t="s">
        <v>72</v>
      </c>
      <c r="C295" s="14">
        <v>26</v>
      </c>
      <c r="D295" s="14" t="s">
        <v>473</v>
      </c>
      <c r="E295" s="14" t="s">
        <v>429</v>
      </c>
      <c r="F295" s="14">
        <v>5</v>
      </c>
      <c r="G295" s="15">
        <f>_xlfn.XLOOKUP(C295,[1]products!$A$2:$A$71,[1]products!$D$2:$D$71)</f>
        <v>289</v>
      </c>
      <c r="H295" s="16">
        <v>44986</v>
      </c>
      <c r="I295" s="16" t="str">
        <f t="shared" si="20"/>
        <v>March</v>
      </c>
      <c r="J295" s="16" t="str">
        <f t="shared" si="21"/>
        <v>Wednesday</v>
      </c>
      <c r="K295" s="17">
        <v>0.87798611111111102</v>
      </c>
      <c r="L295" s="16">
        <v>44988</v>
      </c>
      <c r="M295" s="18">
        <f>HOUR(orders!$K295)</f>
        <v>21</v>
      </c>
      <c r="N295" s="16" t="str">
        <f t="shared" si="22"/>
        <v>March</v>
      </c>
      <c r="O295" s="17">
        <v>0.82284722222222229</v>
      </c>
      <c r="P295" s="17" t="str">
        <f>_xlfn.XLOOKUP(B295,[2]customers!$A$2:$A$101,[2]customers!$C$2:$C$101)</f>
        <v>Jorhat</v>
      </c>
      <c r="Q295" s="14" t="s">
        <v>309</v>
      </c>
      <c r="R295" s="14" t="s">
        <v>36</v>
      </c>
      <c r="S295" s="15">
        <f t="shared" si="23"/>
        <v>1445</v>
      </c>
      <c r="T295" s="19">
        <f t="shared" si="24"/>
        <v>2</v>
      </c>
    </row>
    <row r="296" spans="1:20" x14ac:dyDescent="0.3">
      <c r="A296" s="20">
        <v>295</v>
      </c>
      <c r="B296" s="20" t="s">
        <v>275</v>
      </c>
      <c r="C296" s="20">
        <v>18</v>
      </c>
      <c r="D296" s="20" t="s">
        <v>484</v>
      </c>
      <c r="E296" s="20" t="s">
        <v>447</v>
      </c>
      <c r="F296" s="20">
        <v>1</v>
      </c>
      <c r="G296" s="21">
        <f>_xlfn.XLOOKUP(C296,[1]products!$A$2:$A$71,[1]products!$D$2:$D$71)</f>
        <v>781</v>
      </c>
      <c r="H296" s="22">
        <v>45075</v>
      </c>
      <c r="I296" s="22" t="str">
        <f t="shared" si="20"/>
        <v>May</v>
      </c>
      <c r="J296" s="22" t="str">
        <f t="shared" si="21"/>
        <v>Monday</v>
      </c>
      <c r="K296" s="23">
        <v>0.66260416666666666</v>
      </c>
      <c r="L296" s="22">
        <v>45079</v>
      </c>
      <c r="M296" s="24">
        <f>HOUR(orders!$K296)</f>
        <v>15</v>
      </c>
      <c r="N296" s="22" t="str">
        <f t="shared" si="22"/>
        <v>June</v>
      </c>
      <c r="O296" s="23">
        <v>0.42131944444444441</v>
      </c>
      <c r="P296" s="23" t="str">
        <f>_xlfn.XLOOKUP(B296,[2]customers!$A$2:$A$101,[2]customers!$C$2:$C$101)</f>
        <v>Bhilai</v>
      </c>
      <c r="Q296" s="20" t="s">
        <v>310</v>
      </c>
      <c r="R296" s="20" t="s">
        <v>20</v>
      </c>
      <c r="S296" s="21">
        <f t="shared" si="23"/>
        <v>781</v>
      </c>
      <c r="T296" s="25">
        <f t="shared" si="24"/>
        <v>4</v>
      </c>
    </row>
    <row r="297" spans="1:20" x14ac:dyDescent="0.3">
      <c r="A297" s="14">
        <v>296</v>
      </c>
      <c r="B297" s="14" t="s">
        <v>164</v>
      </c>
      <c r="C297" s="14">
        <v>70</v>
      </c>
      <c r="D297" s="14" t="s">
        <v>466</v>
      </c>
      <c r="E297" s="14" t="s">
        <v>427</v>
      </c>
      <c r="F297" s="14">
        <v>5</v>
      </c>
      <c r="G297" s="15">
        <f>_xlfn.XLOOKUP(C297,[1]products!$A$2:$A$71,[1]products!$D$2:$D$71)</f>
        <v>866</v>
      </c>
      <c r="H297" s="16">
        <v>45017</v>
      </c>
      <c r="I297" s="16" t="str">
        <f t="shared" si="20"/>
        <v>April</v>
      </c>
      <c r="J297" s="16" t="str">
        <f t="shared" si="21"/>
        <v>Saturday</v>
      </c>
      <c r="K297" s="17">
        <v>0.49668981481481483</v>
      </c>
      <c r="L297" s="16">
        <v>45027</v>
      </c>
      <c r="M297" s="18">
        <f>HOUR(orders!$K297)</f>
        <v>11</v>
      </c>
      <c r="N297" s="16" t="str">
        <f t="shared" si="22"/>
        <v>April</v>
      </c>
      <c r="O297" s="17">
        <v>0.81511574074074078</v>
      </c>
      <c r="P297" s="17" t="str">
        <f>_xlfn.XLOOKUP(B297,[2]customers!$A$2:$A$101,[2]customers!$C$2:$C$101)</f>
        <v>Ratlam</v>
      </c>
      <c r="Q297" s="14" t="s">
        <v>296</v>
      </c>
      <c r="R297" s="14" t="s">
        <v>20</v>
      </c>
      <c r="S297" s="15">
        <f t="shared" si="23"/>
        <v>4330</v>
      </c>
      <c r="T297" s="19">
        <f t="shared" si="24"/>
        <v>10</v>
      </c>
    </row>
    <row r="298" spans="1:20" x14ac:dyDescent="0.3">
      <c r="A298" s="20">
        <v>297</v>
      </c>
      <c r="B298" s="20" t="s">
        <v>72</v>
      </c>
      <c r="C298" s="20">
        <v>13</v>
      </c>
      <c r="D298" s="20" t="s">
        <v>495</v>
      </c>
      <c r="E298" s="20" t="s">
        <v>458</v>
      </c>
      <c r="F298" s="20">
        <v>3</v>
      </c>
      <c r="G298" s="21">
        <f>_xlfn.XLOOKUP(C298,[1]products!$A$2:$A$71,[1]products!$D$2:$D$71)</f>
        <v>1141</v>
      </c>
      <c r="H298" s="22">
        <v>44985</v>
      </c>
      <c r="I298" s="22" t="str">
        <f t="shared" si="20"/>
        <v>February</v>
      </c>
      <c r="J298" s="22" t="str">
        <f t="shared" si="21"/>
        <v>Tuesday</v>
      </c>
      <c r="K298" s="23">
        <v>0.84408564814814813</v>
      </c>
      <c r="L298" s="22">
        <v>44990</v>
      </c>
      <c r="M298" s="24">
        <f>HOUR(orders!$K298)</f>
        <v>20</v>
      </c>
      <c r="N298" s="22" t="str">
        <f t="shared" si="22"/>
        <v>March</v>
      </c>
      <c r="O298" s="23">
        <v>0.86975694444444451</v>
      </c>
      <c r="P298" s="23" t="str">
        <f>_xlfn.XLOOKUP(B298,[2]customers!$A$2:$A$101,[2]customers!$C$2:$C$101)</f>
        <v>Jorhat</v>
      </c>
      <c r="Q298" s="20" t="s">
        <v>248</v>
      </c>
      <c r="R298" s="20" t="s">
        <v>36</v>
      </c>
      <c r="S298" s="21">
        <f t="shared" si="23"/>
        <v>3423</v>
      </c>
      <c r="T298" s="25">
        <f t="shared" si="24"/>
        <v>5</v>
      </c>
    </row>
    <row r="299" spans="1:20" x14ac:dyDescent="0.3">
      <c r="A299" s="14">
        <v>298</v>
      </c>
      <c r="B299" s="14" t="s">
        <v>130</v>
      </c>
      <c r="C299" s="14">
        <v>3</v>
      </c>
      <c r="D299" s="14" t="s">
        <v>483</v>
      </c>
      <c r="E299" s="14" t="s">
        <v>429</v>
      </c>
      <c r="F299" s="14">
        <v>1</v>
      </c>
      <c r="G299" s="15">
        <f>_xlfn.XLOOKUP(C299,[1]products!$A$2:$A$71,[1]products!$D$2:$D$71)</f>
        <v>1534</v>
      </c>
      <c r="H299" s="16">
        <v>44968</v>
      </c>
      <c r="I299" s="16" t="str">
        <f t="shared" si="20"/>
        <v>February</v>
      </c>
      <c r="J299" s="16" t="str">
        <f t="shared" si="21"/>
        <v>Saturday</v>
      </c>
      <c r="K299" s="17">
        <v>0.96283564814814815</v>
      </c>
      <c r="L299" s="16">
        <v>44969</v>
      </c>
      <c r="M299" s="18">
        <f>HOUR(orders!$K299)</f>
        <v>23</v>
      </c>
      <c r="N299" s="16" t="str">
        <f t="shared" si="22"/>
        <v>February</v>
      </c>
      <c r="O299" s="17">
        <v>9.5636574074074068E-2</v>
      </c>
      <c r="P299" s="17" t="str">
        <f>_xlfn.XLOOKUP(B299,[2]customers!$A$2:$A$101,[2]customers!$C$2:$C$101)</f>
        <v>Delhi</v>
      </c>
      <c r="Q299" s="14" t="s">
        <v>237</v>
      </c>
      <c r="R299" s="14" t="s">
        <v>23</v>
      </c>
      <c r="S299" s="15">
        <f t="shared" si="23"/>
        <v>1534</v>
      </c>
      <c r="T299" s="19">
        <f t="shared" si="24"/>
        <v>1</v>
      </c>
    </row>
    <row r="300" spans="1:20" x14ac:dyDescent="0.3">
      <c r="A300" s="20">
        <v>299</v>
      </c>
      <c r="B300" s="20" t="s">
        <v>61</v>
      </c>
      <c r="C300" s="20">
        <v>8</v>
      </c>
      <c r="D300" s="20" t="s">
        <v>454</v>
      </c>
      <c r="E300" s="20" t="s">
        <v>427</v>
      </c>
      <c r="F300" s="20">
        <v>5</v>
      </c>
      <c r="G300" s="21">
        <f>_xlfn.XLOOKUP(C300,[1]products!$A$2:$A$71,[1]products!$D$2:$D$71)</f>
        <v>252</v>
      </c>
      <c r="H300" s="22">
        <v>45238</v>
      </c>
      <c r="I300" s="22" t="str">
        <f t="shared" si="20"/>
        <v>November</v>
      </c>
      <c r="J300" s="22" t="str">
        <f t="shared" si="21"/>
        <v>Wednesday</v>
      </c>
      <c r="K300" s="23">
        <v>0.49399305555555556</v>
      </c>
      <c r="L300" s="22">
        <v>45247</v>
      </c>
      <c r="M300" s="24">
        <f>HOUR(orders!$K300)</f>
        <v>11</v>
      </c>
      <c r="N300" s="22" t="str">
        <f t="shared" si="22"/>
        <v>November</v>
      </c>
      <c r="O300" s="23">
        <v>0.55406250000000001</v>
      </c>
      <c r="P300" s="23" t="str">
        <f>_xlfn.XLOOKUP(B300,[2]customers!$A$2:$A$101,[2]customers!$C$2:$C$101)</f>
        <v>New Delhi</v>
      </c>
      <c r="Q300" s="20" t="s">
        <v>82</v>
      </c>
      <c r="R300" s="20" t="s">
        <v>12</v>
      </c>
      <c r="S300" s="21">
        <f t="shared" si="23"/>
        <v>1260</v>
      </c>
      <c r="T300" s="25">
        <f t="shared" si="24"/>
        <v>9</v>
      </c>
    </row>
    <row r="301" spans="1:20" x14ac:dyDescent="0.3">
      <c r="A301" s="14">
        <v>300</v>
      </c>
      <c r="B301" s="14" t="s">
        <v>146</v>
      </c>
      <c r="C301" s="14">
        <v>22</v>
      </c>
      <c r="D301" s="14" t="s">
        <v>465</v>
      </c>
      <c r="E301" s="14" t="s">
        <v>445</v>
      </c>
      <c r="F301" s="14">
        <v>1</v>
      </c>
      <c r="G301" s="15">
        <f>_xlfn.XLOOKUP(C301,[1]products!$A$2:$A$71,[1]products!$D$2:$D$71)</f>
        <v>1639</v>
      </c>
      <c r="H301" s="16">
        <v>45167</v>
      </c>
      <c r="I301" s="16" t="str">
        <f t="shared" si="20"/>
        <v>August</v>
      </c>
      <c r="J301" s="16" t="str">
        <f t="shared" si="21"/>
        <v>Tuesday</v>
      </c>
      <c r="K301" s="17">
        <v>0.80561342592592589</v>
      </c>
      <c r="L301" s="16">
        <v>45177</v>
      </c>
      <c r="M301" s="18">
        <f>HOUR(orders!$K301)</f>
        <v>19</v>
      </c>
      <c r="N301" s="16" t="str">
        <f t="shared" si="22"/>
        <v>September</v>
      </c>
      <c r="O301" s="17">
        <v>0.76754629629629623</v>
      </c>
      <c r="P301" s="17" t="str">
        <f>_xlfn.XLOOKUP(B301,[2]customers!$A$2:$A$101,[2]customers!$C$2:$C$101)</f>
        <v>Surat</v>
      </c>
      <c r="Q301" s="14" t="s">
        <v>311</v>
      </c>
      <c r="R301" s="14" t="s">
        <v>60</v>
      </c>
      <c r="S301" s="15">
        <f t="shared" si="23"/>
        <v>1639</v>
      </c>
      <c r="T301" s="19">
        <f t="shared" si="24"/>
        <v>10</v>
      </c>
    </row>
    <row r="302" spans="1:20" x14ac:dyDescent="0.3">
      <c r="A302" s="20">
        <v>301</v>
      </c>
      <c r="B302" s="20" t="s">
        <v>194</v>
      </c>
      <c r="C302" s="20">
        <v>6</v>
      </c>
      <c r="D302" s="20" t="s">
        <v>450</v>
      </c>
      <c r="E302" s="20" t="s">
        <v>431</v>
      </c>
      <c r="F302" s="20">
        <v>3</v>
      </c>
      <c r="G302" s="21">
        <f>_xlfn.XLOOKUP(C302,[1]products!$A$2:$A$71,[1]products!$D$2:$D$71)</f>
        <v>1112</v>
      </c>
      <c r="H302" s="22">
        <v>44984</v>
      </c>
      <c r="I302" s="22" t="str">
        <f t="shared" si="20"/>
        <v>February</v>
      </c>
      <c r="J302" s="22" t="str">
        <f t="shared" si="21"/>
        <v>Monday</v>
      </c>
      <c r="K302" s="23">
        <v>0.2669212962962963</v>
      </c>
      <c r="L302" s="22">
        <v>44989</v>
      </c>
      <c r="M302" s="24">
        <f>HOUR(orders!$K302)</f>
        <v>6</v>
      </c>
      <c r="N302" s="22" t="str">
        <f t="shared" si="22"/>
        <v>March</v>
      </c>
      <c r="O302" s="23">
        <v>0.70296296296296301</v>
      </c>
      <c r="P302" s="23" t="str">
        <f>_xlfn.XLOOKUP(B302,[2]customers!$A$2:$A$101,[2]customers!$C$2:$C$101)</f>
        <v>Bhatpara</v>
      </c>
      <c r="Q302" s="20" t="s">
        <v>46</v>
      </c>
      <c r="R302" s="20" t="s">
        <v>36</v>
      </c>
      <c r="S302" s="21">
        <f t="shared" si="23"/>
        <v>3336</v>
      </c>
      <c r="T302" s="25">
        <f t="shared" si="24"/>
        <v>5</v>
      </c>
    </row>
    <row r="303" spans="1:20" x14ac:dyDescent="0.3">
      <c r="A303" s="14">
        <v>302</v>
      </c>
      <c r="B303" s="14" t="s">
        <v>73</v>
      </c>
      <c r="C303" s="14">
        <v>25</v>
      </c>
      <c r="D303" s="14" t="s">
        <v>471</v>
      </c>
      <c r="E303" s="14" t="s">
        <v>447</v>
      </c>
      <c r="F303" s="14">
        <v>4</v>
      </c>
      <c r="G303" s="15">
        <f>_xlfn.XLOOKUP(C303,[1]products!$A$2:$A$71,[1]products!$D$2:$D$71)</f>
        <v>1202</v>
      </c>
      <c r="H303" s="16">
        <v>45223</v>
      </c>
      <c r="I303" s="16" t="str">
        <f t="shared" si="20"/>
        <v>October</v>
      </c>
      <c r="J303" s="16" t="str">
        <f t="shared" si="21"/>
        <v>Tuesday</v>
      </c>
      <c r="K303" s="17">
        <v>0.57853009259259258</v>
      </c>
      <c r="L303" s="16">
        <v>45224</v>
      </c>
      <c r="M303" s="18">
        <f>HOUR(orders!$K303)</f>
        <v>13</v>
      </c>
      <c r="N303" s="16" t="str">
        <f t="shared" si="22"/>
        <v>October</v>
      </c>
      <c r="O303" s="17">
        <v>0.71765046296296298</v>
      </c>
      <c r="P303" s="17" t="str">
        <f>_xlfn.XLOOKUP(B303,[2]customers!$A$2:$A$101,[2]customers!$C$2:$C$101)</f>
        <v>Tiruppur</v>
      </c>
      <c r="Q303" s="14" t="s">
        <v>193</v>
      </c>
      <c r="R303" s="14" t="s">
        <v>12</v>
      </c>
      <c r="S303" s="15">
        <f t="shared" si="23"/>
        <v>4808</v>
      </c>
      <c r="T303" s="19">
        <f t="shared" si="24"/>
        <v>1</v>
      </c>
    </row>
    <row r="304" spans="1:20" x14ac:dyDescent="0.3">
      <c r="A304" s="20">
        <v>303</v>
      </c>
      <c r="B304" s="20" t="s">
        <v>192</v>
      </c>
      <c r="C304" s="20">
        <v>14</v>
      </c>
      <c r="D304" s="20" t="s">
        <v>428</v>
      </c>
      <c r="E304" s="20" t="s">
        <v>429</v>
      </c>
      <c r="F304" s="20">
        <v>1</v>
      </c>
      <c r="G304" s="21">
        <f>_xlfn.XLOOKUP(C304,[1]products!$A$2:$A$71,[1]products!$D$2:$D$71)</f>
        <v>1915</v>
      </c>
      <c r="H304" s="22">
        <v>45250</v>
      </c>
      <c r="I304" s="22" t="str">
        <f t="shared" si="20"/>
        <v>November</v>
      </c>
      <c r="J304" s="22" t="str">
        <f t="shared" si="21"/>
        <v>Monday</v>
      </c>
      <c r="K304" s="23">
        <v>0.27982638888888889</v>
      </c>
      <c r="L304" s="22">
        <v>45259</v>
      </c>
      <c r="M304" s="24">
        <f>HOUR(orders!$K304)</f>
        <v>6</v>
      </c>
      <c r="N304" s="22" t="str">
        <f t="shared" si="22"/>
        <v>November</v>
      </c>
      <c r="O304" s="23">
        <v>0.29724537037037035</v>
      </c>
      <c r="P304" s="23" t="str">
        <f>_xlfn.XLOOKUP(B304,[2]customers!$A$2:$A$101,[2]customers!$C$2:$C$101)</f>
        <v>Kota</v>
      </c>
      <c r="Q304" s="20" t="s">
        <v>160</v>
      </c>
      <c r="R304" s="20" t="s">
        <v>20</v>
      </c>
      <c r="S304" s="21">
        <f t="shared" si="23"/>
        <v>1915</v>
      </c>
      <c r="T304" s="25">
        <f t="shared" si="24"/>
        <v>9</v>
      </c>
    </row>
    <row r="305" spans="1:20" x14ac:dyDescent="0.3">
      <c r="A305" s="14">
        <v>304</v>
      </c>
      <c r="B305" s="14" t="s">
        <v>66</v>
      </c>
      <c r="C305" s="14">
        <v>67</v>
      </c>
      <c r="D305" s="14" t="s">
        <v>425</v>
      </c>
      <c r="E305" s="14" t="s">
        <v>26</v>
      </c>
      <c r="F305" s="14">
        <v>3</v>
      </c>
      <c r="G305" s="15">
        <f>_xlfn.XLOOKUP(C305,[1]products!$A$2:$A$71,[1]products!$D$2:$D$71)</f>
        <v>1374</v>
      </c>
      <c r="H305" s="16">
        <v>44997</v>
      </c>
      <c r="I305" s="16" t="str">
        <f t="shared" si="20"/>
        <v>March</v>
      </c>
      <c r="J305" s="16" t="str">
        <f t="shared" si="21"/>
        <v>Sunday</v>
      </c>
      <c r="K305" s="17">
        <v>0.39199074074074075</v>
      </c>
      <c r="L305" s="16">
        <v>45004</v>
      </c>
      <c r="M305" s="18">
        <f>HOUR(orders!$K305)</f>
        <v>9</v>
      </c>
      <c r="N305" s="16" t="str">
        <f t="shared" si="22"/>
        <v>March</v>
      </c>
      <c r="O305" s="17">
        <v>0.96501157407407412</v>
      </c>
      <c r="P305" s="17" t="str">
        <f>_xlfn.XLOOKUP(B305,[2]customers!$A$2:$A$101,[2]customers!$C$2:$C$101)</f>
        <v xml:space="preserve">Khora </v>
      </c>
      <c r="Q305" s="14" t="s">
        <v>312</v>
      </c>
      <c r="R305" s="14" t="s">
        <v>12</v>
      </c>
      <c r="S305" s="15">
        <f t="shared" si="23"/>
        <v>4122</v>
      </c>
      <c r="T305" s="19">
        <f t="shared" si="24"/>
        <v>7</v>
      </c>
    </row>
    <row r="306" spans="1:20" x14ac:dyDescent="0.3">
      <c r="A306" s="20">
        <v>305</v>
      </c>
      <c r="B306" s="20" t="s">
        <v>291</v>
      </c>
      <c r="C306" s="20">
        <v>26</v>
      </c>
      <c r="D306" s="20" t="s">
        <v>473</v>
      </c>
      <c r="E306" s="20" t="s">
        <v>429</v>
      </c>
      <c r="F306" s="20">
        <v>1</v>
      </c>
      <c r="G306" s="21">
        <f>_xlfn.XLOOKUP(C306,[1]products!$A$2:$A$71,[1]products!$D$2:$D$71)</f>
        <v>289</v>
      </c>
      <c r="H306" s="22">
        <v>44987</v>
      </c>
      <c r="I306" s="22" t="str">
        <f t="shared" si="20"/>
        <v>March</v>
      </c>
      <c r="J306" s="22" t="str">
        <f t="shared" si="21"/>
        <v>Thursday</v>
      </c>
      <c r="K306" s="23">
        <v>7.4537037037037028E-3</v>
      </c>
      <c r="L306" s="22">
        <v>44995</v>
      </c>
      <c r="M306" s="24">
        <f>HOUR(orders!$K306)</f>
        <v>0</v>
      </c>
      <c r="N306" s="22" t="str">
        <f t="shared" si="22"/>
        <v>March</v>
      </c>
      <c r="O306" s="23">
        <v>0.58408564814814812</v>
      </c>
      <c r="P306" s="23" t="str">
        <f>_xlfn.XLOOKUP(B306,[2]customers!$A$2:$A$101,[2]customers!$C$2:$C$101)</f>
        <v>Bilaspur</v>
      </c>
      <c r="Q306" s="20" t="s">
        <v>226</v>
      </c>
      <c r="R306" s="20" t="s">
        <v>36</v>
      </c>
      <c r="S306" s="21">
        <f t="shared" si="23"/>
        <v>289</v>
      </c>
      <c r="T306" s="25">
        <f t="shared" si="24"/>
        <v>8</v>
      </c>
    </row>
    <row r="307" spans="1:20" x14ac:dyDescent="0.3">
      <c r="A307" s="14">
        <v>306</v>
      </c>
      <c r="B307" s="14" t="s">
        <v>233</v>
      </c>
      <c r="C307" s="14">
        <v>49</v>
      </c>
      <c r="D307" s="14" t="s">
        <v>463</v>
      </c>
      <c r="E307" s="14" t="s">
        <v>429</v>
      </c>
      <c r="F307" s="14">
        <v>4</v>
      </c>
      <c r="G307" s="15">
        <f>_xlfn.XLOOKUP(C307,[1]products!$A$2:$A$71,[1]products!$D$2:$D$71)</f>
        <v>903</v>
      </c>
      <c r="H307" s="16">
        <v>44961</v>
      </c>
      <c r="I307" s="16" t="str">
        <f t="shared" si="20"/>
        <v>February</v>
      </c>
      <c r="J307" s="16" t="str">
        <f t="shared" si="21"/>
        <v>Saturday</v>
      </c>
      <c r="K307" s="17">
        <v>0.48322916666666665</v>
      </c>
      <c r="L307" s="16">
        <v>44969</v>
      </c>
      <c r="M307" s="18">
        <f>HOUR(orders!$K307)</f>
        <v>11</v>
      </c>
      <c r="N307" s="16" t="str">
        <f t="shared" si="22"/>
        <v>February</v>
      </c>
      <c r="O307" s="17">
        <v>0.27638888888888885</v>
      </c>
      <c r="P307" s="17" t="str">
        <f>_xlfn.XLOOKUP(B307,[2]customers!$A$2:$A$101,[2]customers!$C$2:$C$101)</f>
        <v>Raipur</v>
      </c>
      <c r="Q307" s="14" t="s">
        <v>313</v>
      </c>
      <c r="R307" s="14" t="s">
        <v>23</v>
      </c>
      <c r="S307" s="15">
        <f t="shared" si="23"/>
        <v>3612</v>
      </c>
      <c r="T307" s="19">
        <f t="shared" si="24"/>
        <v>8</v>
      </c>
    </row>
    <row r="308" spans="1:20" x14ac:dyDescent="0.3">
      <c r="A308" s="20">
        <v>307</v>
      </c>
      <c r="B308" s="20" t="s">
        <v>40</v>
      </c>
      <c r="C308" s="20">
        <v>3</v>
      </c>
      <c r="D308" s="20" t="s">
        <v>483</v>
      </c>
      <c r="E308" s="20" t="s">
        <v>429</v>
      </c>
      <c r="F308" s="20">
        <v>1</v>
      </c>
      <c r="G308" s="21">
        <f>_xlfn.XLOOKUP(C308,[1]products!$A$2:$A$71,[1]products!$D$2:$D$71)</f>
        <v>1534</v>
      </c>
      <c r="H308" s="22">
        <v>44961</v>
      </c>
      <c r="I308" s="22" t="str">
        <f t="shared" si="20"/>
        <v>February</v>
      </c>
      <c r="J308" s="22" t="str">
        <f t="shared" si="21"/>
        <v>Saturday</v>
      </c>
      <c r="K308" s="23">
        <v>0.90131944444444445</v>
      </c>
      <c r="L308" s="22">
        <v>44965</v>
      </c>
      <c r="M308" s="24">
        <f>HOUR(orders!$K308)</f>
        <v>21</v>
      </c>
      <c r="N308" s="22" t="str">
        <f t="shared" si="22"/>
        <v>February</v>
      </c>
      <c r="O308" s="23">
        <v>0.47789351851851852</v>
      </c>
      <c r="P308" s="23" t="str">
        <f>_xlfn.XLOOKUP(B308,[2]customers!$A$2:$A$101,[2]customers!$C$2:$C$101)</f>
        <v>Ajmer</v>
      </c>
      <c r="Q308" s="20" t="s">
        <v>263</v>
      </c>
      <c r="R308" s="20" t="s">
        <v>23</v>
      </c>
      <c r="S308" s="21">
        <f t="shared" si="23"/>
        <v>1534</v>
      </c>
      <c r="T308" s="25">
        <f t="shared" si="24"/>
        <v>4</v>
      </c>
    </row>
    <row r="309" spans="1:20" x14ac:dyDescent="0.3">
      <c r="A309" s="14">
        <v>308</v>
      </c>
      <c r="B309" s="14" t="s">
        <v>314</v>
      </c>
      <c r="C309" s="14">
        <v>57</v>
      </c>
      <c r="D309" s="14" t="s">
        <v>488</v>
      </c>
      <c r="E309" s="14" t="s">
        <v>429</v>
      </c>
      <c r="F309" s="14">
        <v>1</v>
      </c>
      <c r="G309" s="15">
        <f>_xlfn.XLOOKUP(C309,[1]products!$A$2:$A$71,[1]products!$D$2:$D$71)</f>
        <v>1582</v>
      </c>
      <c r="H309" s="16">
        <v>44994</v>
      </c>
      <c r="I309" s="16" t="str">
        <f t="shared" si="20"/>
        <v>March</v>
      </c>
      <c r="J309" s="16" t="str">
        <f t="shared" si="21"/>
        <v>Thursday</v>
      </c>
      <c r="K309" s="17">
        <v>0.32929398148148148</v>
      </c>
      <c r="L309" s="16">
        <v>44997</v>
      </c>
      <c r="M309" s="18">
        <f>HOUR(orders!$K309)</f>
        <v>7</v>
      </c>
      <c r="N309" s="16" t="str">
        <f t="shared" si="22"/>
        <v>March</v>
      </c>
      <c r="O309" s="17">
        <v>0.50791666666666668</v>
      </c>
      <c r="P309" s="17" t="str">
        <f>_xlfn.XLOOKUP(B309,[2]customers!$A$2:$A$101,[2]customers!$C$2:$C$101)</f>
        <v>Kottayam</v>
      </c>
      <c r="Q309" s="14" t="s">
        <v>92</v>
      </c>
      <c r="R309" s="14" t="s">
        <v>20</v>
      </c>
      <c r="S309" s="15">
        <f t="shared" si="23"/>
        <v>1582</v>
      </c>
      <c r="T309" s="19">
        <f t="shared" si="24"/>
        <v>3</v>
      </c>
    </row>
    <row r="310" spans="1:20" x14ac:dyDescent="0.3">
      <c r="A310" s="20">
        <v>309</v>
      </c>
      <c r="B310" s="20" t="s">
        <v>73</v>
      </c>
      <c r="C310" s="20">
        <v>60</v>
      </c>
      <c r="D310" s="20" t="s">
        <v>440</v>
      </c>
      <c r="E310" s="20" t="s">
        <v>427</v>
      </c>
      <c r="F310" s="20">
        <v>4</v>
      </c>
      <c r="G310" s="21">
        <f>_xlfn.XLOOKUP(C310,[1]products!$A$2:$A$71,[1]products!$D$2:$D$71)</f>
        <v>827</v>
      </c>
      <c r="H310" s="22">
        <v>45240</v>
      </c>
      <c r="I310" s="22" t="str">
        <f t="shared" si="20"/>
        <v>November</v>
      </c>
      <c r="J310" s="22" t="str">
        <f t="shared" si="21"/>
        <v>Friday</v>
      </c>
      <c r="K310" s="23">
        <v>0.27688657407407408</v>
      </c>
      <c r="L310" s="22">
        <v>45243</v>
      </c>
      <c r="M310" s="24">
        <f>HOUR(orders!$K310)</f>
        <v>6</v>
      </c>
      <c r="N310" s="22" t="str">
        <f t="shared" si="22"/>
        <v>November</v>
      </c>
      <c r="O310" s="23">
        <v>0.21843749999999998</v>
      </c>
      <c r="P310" s="23" t="str">
        <f>_xlfn.XLOOKUP(B310,[2]customers!$A$2:$A$101,[2]customers!$C$2:$C$101)</f>
        <v>Tiruppur</v>
      </c>
      <c r="Q310" s="20" t="s">
        <v>211</v>
      </c>
      <c r="R310" s="20" t="s">
        <v>15</v>
      </c>
      <c r="S310" s="21">
        <f t="shared" si="23"/>
        <v>3308</v>
      </c>
      <c r="T310" s="25">
        <f t="shared" si="24"/>
        <v>3</v>
      </c>
    </row>
    <row r="311" spans="1:20" x14ac:dyDescent="0.3">
      <c r="A311" s="14">
        <v>310</v>
      </c>
      <c r="B311" s="14" t="s">
        <v>153</v>
      </c>
      <c r="C311" s="14">
        <v>38</v>
      </c>
      <c r="D311" s="14" t="s">
        <v>438</v>
      </c>
      <c r="E311" s="14" t="s">
        <v>431</v>
      </c>
      <c r="F311" s="14">
        <v>3</v>
      </c>
      <c r="G311" s="15">
        <f>_xlfn.XLOOKUP(C311,[1]products!$A$2:$A$71,[1]products!$D$2:$D$71)</f>
        <v>562</v>
      </c>
      <c r="H311" s="16">
        <v>45158</v>
      </c>
      <c r="I311" s="16" t="str">
        <f t="shared" si="20"/>
        <v>August</v>
      </c>
      <c r="J311" s="16" t="str">
        <f t="shared" si="21"/>
        <v>Sunday</v>
      </c>
      <c r="K311" s="17">
        <v>0.51692129629629624</v>
      </c>
      <c r="L311" s="16">
        <v>45162</v>
      </c>
      <c r="M311" s="18">
        <f>HOUR(orders!$K311)</f>
        <v>12</v>
      </c>
      <c r="N311" s="16" t="str">
        <f t="shared" si="22"/>
        <v>August</v>
      </c>
      <c r="O311" s="17">
        <v>0.65472222222222221</v>
      </c>
      <c r="P311" s="17" t="str">
        <f>_xlfn.XLOOKUP(B311,[2]customers!$A$2:$A$101,[2]customers!$C$2:$C$101)</f>
        <v>Kavali</v>
      </c>
      <c r="Q311" s="14" t="s">
        <v>270</v>
      </c>
      <c r="R311" s="14" t="s">
        <v>20</v>
      </c>
      <c r="S311" s="15">
        <f t="shared" si="23"/>
        <v>1686</v>
      </c>
      <c r="T311" s="19">
        <f t="shared" si="24"/>
        <v>4</v>
      </c>
    </row>
    <row r="312" spans="1:20" x14ac:dyDescent="0.3">
      <c r="A312" s="20">
        <v>311</v>
      </c>
      <c r="B312" s="20" t="s">
        <v>192</v>
      </c>
      <c r="C312" s="20">
        <v>39</v>
      </c>
      <c r="D312" s="20" t="s">
        <v>478</v>
      </c>
      <c r="E312" s="20" t="s">
        <v>458</v>
      </c>
      <c r="F312" s="20">
        <v>2</v>
      </c>
      <c r="G312" s="21">
        <f>_xlfn.XLOOKUP(C312,[1]products!$A$2:$A$71,[1]products!$D$2:$D$71)</f>
        <v>387</v>
      </c>
      <c r="H312" s="22">
        <v>45171</v>
      </c>
      <c r="I312" s="22" t="str">
        <f t="shared" si="20"/>
        <v>September</v>
      </c>
      <c r="J312" s="22" t="str">
        <f t="shared" si="21"/>
        <v>Saturday</v>
      </c>
      <c r="K312" s="23">
        <v>0.39359953703703704</v>
      </c>
      <c r="L312" s="22">
        <v>45181</v>
      </c>
      <c r="M312" s="24">
        <f>HOUR(orders!$K312)</f>
        <v>9</v>
      </c>
      <c r="N312" s="22" t="str">
        <f t="shared" si="22"/>
        <v>September</v>
      </c>
      <c r="O312" s="23">
        <v>0.74424768518518514</v>
      </c>
      <c r="P312" s="23" t="str">
        <f>_xlfn.XLOOKUP(B312,[2]customers!$A$2:$A$101,[2]customers!$C$2:$C$101)</f>
        <v>Kota</v>
      </c>
      <c r="Q312" s="20" t="s">
        <v>277</v>
      </c>
      <c r="R312" s="20" t="s">
        <v>60</v>
      </c>
      <c r="S312" s="21">
        <f t="shared" si="23"/>
        <v>774</v>
      </c>
      <c r="T312" s="25">
        <f t="shared" si="24"/>
        <v>10</v>
      </c>
    </row>
    <row r="313" spans="1:20" x14ac:dyDescent="0.3">
      <c r="A313" s="14">
        <v>312</v>
      </c>
      <c r="B313" s="14" t="s">
        <v>31</v>
      </c>
      <c r="C313" s="14">
        <v>9</v>
      </c>
      <c r="D313" s="14" t="s">
        <v>451</v>
      </c>
      <c r="E313" s="14" t="s">
        <v>429</v>
      </c>
      <c r="F313" s="14">
        <v>1</v>
      </c>
      <c r="G313" s="15">
        <f>_xlfn.XLOOKUP(C313,[1]products!$A$2:$A$71,[1]products!$D$2:$D$71)</f>
        <v>1605</v>
      </c>
      <c r="H313" s="16">
        <v>45160</v>
      </c>
      <c r="I313" s="16" t="str">
        <f t="shared" si="20"/>
        <v>August</v>
      </c>
      <c r="J313" s="16" t="str">
        <f t="shared" si="21"/>
        <v>Tuesday</v>
      </c>
      <c r="K313" s="17">
        <v>0.76916666666666667</v>
      </c>
      <c r="L313" s="16">
        <v>45165</v>
      </c>
      <c r="M313" s="18">
        <f>HOUR(orders!$K313)</f>
        <v>18</v>
      </c>
      <c r="N313" s="16" t="str">
        <f t="shared" si="22"/>
        <v>August</v>
      </c>
      <c r="O313" s="17">
        <v>0.25085648148148149</v>
      </c>
      <c r="P313" s="17" t="str">
        <f>_xlfn.XLOOKUP(B313,[2]customers!$A$2:$A$101,[2]customers!$C$2:$C$101)</f>
        <v>Agra</v>
      </c>
      <c r="Q313" s="14" t="s">
        <v>315</v>
      </c>
      <c r="R313" s="14" t="s">
        <v>26</v>
      </c>
      <c r="S313" s="15">
        <f t="shared" si="23"/>
        <v>1605</v>
      </c>
      <c r="T313" s="19">
        <f t="shared" si="24"/>
        <v>5</v>
      </c>
    </row>
    <row r="314" spans="1:20" x14ac:dyDescent="0.3">
      <c r="A314" s="20">
        <v>313</v>
      </c>
      <c r="B314" s="20" t="s">
        <v>45</v>
      </c>
      <c r="C314" s="20">
        <v>30</v>
      </c>
      <c r="D314" s="20" t="s">
        <v>449</v>
      </c>
      <c r="E314" s="20" t="s">
        <v>429</v>
      </c>
      <c r="F314" s="20">
        <v>2</v>
      </c>
      <c r="G314" s="21">
        <f>_xlfn.XLOOKUP(C314,[1]products!$A$2:$A$71,[1]products!$D$2:$D$71)</f>
        <v>751</v>
      </c>
      <c r="H314" s="22">
        <v>45129</v>
      </c>
      <c r="I314" s="22" t="str">
        <f t="shared" si="20"/>
        <v>July</v>
      </c>
      <c r="J314" s="22" t="str">
        <f t="shared" si="21"/>
        <v>Saturday</v>
      </c>
      <c r="K314" s="23">
        <v>0.80866898148148147</v>
      </c>
      <c r="L314" s="22">
        <v>45133</v>
      </c>
      <c r="M314" s="24">
        <f>HOUR(orders!$K314)</f>
        <v>19</v>
      </c>
      <c r="N314" s="22" t="str">
        <f t="shared" si="22"/>
        <v>July</v>
      </c>
      <c r="O314" s="23">
        <v>0.25431712962962966</v>
      </c>
      <c r="P314" s="23" t="str">
        <f>_xlfn.XLOOKUP(B314,[2]customers!$A$2:$A$101,[2]customers!$C$2:$C$101)</f>
        <v>Haridwar</v>
      </c>
      <c r="Q314" s="20" t="s">
        <v>316</v>
      </c>
      <c r="R314" s="20" t="s">
        <v>12</v>
      </c>
      <c r="S314" s="21">
        <f t="shared" si="23"/>
        <v>1502</v>
      </c>
      <c r="T314" s="25">
        <f t="shared" si="24"/>
        <v>4</v>
      </c>
    </row>
    <row r="315" spans="1:20" x14ac:dyDescent="0.3">
      <c r="A315" s="14">
        <v>314</v>
      </c>
      <c r="B315" s="14" t="s">
        <v>16</v>
      </c>
      <c r="C315" s="14">
        <v>43</v>
      </c>
      <c r="D315" s="14" t="s">
        <v>434</v>
      </c>
      <c r="E315" s="14" t="s">
        <v>26</v>
      </c>
      <c r="F315" s="14">
        <v>4</v>
      </c>
      <c r="G315" s="15">
        <f>_xlfn.XLOOKUP(C315,[1]products!$A$2:$A$71,[1]products!$D$2:$D$71)</f>
        <v>750</v>
      </c>
      <c r="H315" s="16">
        <v>45235</v>
      </c>
      <c r="I315" s="16" t="str">
        <f t="shared" si="20"/>
        <v>November</v>
      </c>
      <c r="J315" s="16" t="str">
        <f t="shared" si="21"/>
        <v>Sunday</v>
      </c>
      <c r="K315" s="17">
        <v>0.49214120370370368</v>
      </c>
      <c r="L315" s="16">
        <v>45245</v>
      </c>
      <c r="M315" s="18">
        <f>HOUR(orders!$K315)</f>
        <v>11</v>
      </c>
      <c r="N315" s="16" t="str">
        <f t="shared" si="22"/>
        <v>November</v>
      </c>
      <c r="O315" s="17">
        <v>0.20515046296296294</v>
      </c>
      <c r="P315" s="17" t="str">
        <f>_xlfn.XLOOKUP(B315,[2]customers!$A$2:$A$101,[2]customers!$C$2:$C$101)</f>
        <v>Haridwar</v>
      </c>
      <c r="Q315" s="14" t="s">
        <v>230</v>
      </c>
      <c r="R315" s="14" t="s">
        <v>15</v>
      </c>
      <c r="S315" s="15">
        <f t="shared" si="23"/>
        <v>3000</v>
      </c>
      <c r="T315" s="19">
        <f t="shared" si="24"/>
        <v>10</v>
      </c>
    </row>
    <row r="316" spans="1:20" x14ac:dyDescent="0.3">
      <c r="A316" s="20">
        <v>315</v>
      </c>
      <c r="B316" s="20" t="s">
        <v>64</v>
      </c>
      <c r="C316" s="20">
        <v>26</v>
      </c>
      <c r="D316" s="20" t="s">
        <v>473</v>
      </c>
      <c r="E316" s="20" t="s">
        <v>429</v>
      </c>
      <c r="F316" s="20">
        <v>5</v>
      </c>
      <c r="G316" s="21">
        <f>_xlfn.XLOOKUP(C316,[1]products!$A$2:$A$71,[1]products!$D$2:$D$71)</f>
        <v>289</v>
      </c>
      <c r="H316" s="22">
        <v>44991</v>
      </c>
      <c r="I316" s="22" t="str">
        <f t="shared" si="20"/>
        <v>March</v>
      </c>
      <c r="J316" s="22" t="str">
        <f t="shared" si="21"/>
        <v>Monday</v>
      </c>
      <c r="K316" s="23">
        <v>0.59827546296296297</v>
      </c>
      <c r="L316" s="22">
        <v>44994</v>
      </c>
      <c r="M316" s="24">
        <f>HOUR(orders!$K316)</f>
        <v>14</v>
      </c>
      <c r="N316" s="22" t="str">
        <f t="shared" si="22"/>
        <v>March</v>
      </c>
      <c r="O316" s="23">
        <v>0.80579861111111117</v>
      </c>
      <c r="P316" s="23" t="str">
        <f>_xlfn.XLOOKUP(B316,[2]customers!$A$2:$A$101,[2]customers!$C$2:$C$101)</f>
        <v>Jamnagar</v>
      </c>
      <c r="Q316" s="20" t="s">
        <v>317</v>
      </c>
      <c r="R316" s="20" t="s">
        <v>36</v>
      </c>
      <c r="S316" s="21">
        <f t="shared" si="23"/>
        <v>1445</v>
      </c>
      <c r="T316" s="25">
        <f t="shared" si="24"/>
        <v>3</v>
      </c>
    </row>
    <row r="317" spans="1:20" x14ac:dyDescent="0.3">
      <c r="A317" s="14">
        <v>316</v>
      </c>
      <c r="B317" s="14" t="s">
        <v>182</v>
      </c>
      <c r="C317" s="14">
        <v>2</v>
      </c>
      <c r="D317" s="14" t="s">
        <v>481</v>
      </c>
      <c r="E317" s="14" t="s">
        <v>447</v>
      </c>
      <c r="F317" s="14">
        <v>5</v>
      </c>
      <c r="G317" s="15">
        <f>_xlfn.XLOOKUP(C317,[1]products!$A$2:$A$71,[1]products!$D$2:$D$71)</f>
        <v>441</v>
      </c>
      <c r="H317" s="16">
        <v>44968</v>
      </c>
      <c r="I317" s="16" t="str">
        <f t="shared" si="20"/>
        <v>February</v>
      </c>
      <c r="J317" s="16" t="str">
        <f t="shared" si="21"/>
        <v>Saturday</v>
      </c>
      <c r="K317" s="17">
        <v>0.89936342592592589</v>
      </c>
      <c r="L317" s="16">
        <v>44972</v>
      </c>
      <c r="M317" s="18">
        <f>HOUR(orders!$K317)</f>
        <v>21</v>
      </c>
      <c r="N317" s="16" t="str">
        <f t="shared" si="22"/>
        <v>February</v>
      </c>
      <c r="O317" s="17">
        <v>0.30682870370370369</v>
      </c>
      <c r="P317" s="17" t="str">
        <f>_xlfn.XLOOKUP(B317,[2]customers!$A$2:$A$101,[2]customers!$C$2:$C$101)</f>
        <v>Guntakal</v>
      </c>
      <c r="Q317" s="14" t="s">
        <v>306</v>
      </c>
      <c r="R317" s="14" t="s">
        <v>23</v>
      </c>
      <c r="S317" s="15">
        <f t="shared" si="23"/>
        <v>2205</v>
      </c>
      <c r="T317" s="19">
        <f t="shared" si="24"/>
        <v>4</v>
      </c>
    </row>
    <row r="318" spans="1:20" x14ac:dyDescent="0.3">
      <c r="A318" s="20">
        <v>317</v>
      </c>
      <c r="B318" s="20" t="s">
        <v>99</v>
      </c>
      <c r="C318" s="20">
        <v>29</v>
      </c>
      <c r="D318" s="20" t="s">
        <v>497</v>
      </c>
      <c r="E318" s="20" t="s">
        <v>429</v>
      </c>
      <c r="F318" s="20">
        <v>3</v>
      </c>
      <c r="G318" s="21">
        <f>_xlfn.XLOOKUP(C318,[1]products!$A$2:$A$71,[1]products!$D$2:$D$71)</f>
        <v>1252</v>
      </c>
      <c r="H318" s="22">
        <v>44992</v>
      </c>
      <c r="I318" s="22" t="str">
        <f t="shared" si="20"/>
        <v>March</v>
      </c>
      <c r="J318" s="22" t="str">
        <f t="shared" si="21"/>
        <v>Tuesday</v>
      </c>
      <c r="K318" s="23">
        <v>0.7857291666666667</v>
      </c>
      <c r="L318" s="22">
        <v>45000</v>
      </c>
      <c r="M318" s="24">
        <f>HOUR(orders!$K318)</f>
        <v>18</v>
      </c>
      <c r="N318" s="22" t="str">
        <f t="shared" si="22"/>
        <v>March</v>
      </c>
      <c r="O318" s="23">
        <v>0.67557870370370365</v>
      </c>
      <c r="P318" s="23" t="str">
        <f>_xlfn.XLOOKUP(B318,[2]customers!$A$2:$A$101,[2]customers!$C$2:$C$101)</f>
        <v>Panvel</v>
      </c>
      <c r="Q318" s="20" t="s">
        <v>168</v>
      </c>
      <c r="R318" s="20" t="s">
        <v>36</v>
      </c>
      <c r="S318" s="21">
        <f t="shared" si="23"/>
        <v>3756</v>
      </c>
      <c r="T318" s="25">
        <f t="shared" si="24"/>
        <v>8</v>
      </c>
    </row>
    <row r="319" spans="1:20" x14ac:dyDescent="0.3">
      <c r="A319" s="14">
        <v>318</v>
      </c>
      <c r="B319" s="14" t="s">
        <v>144</v>
      </c>
      <c r="C319" s="14">
        <v>26</v>
      </c>
      <c r="D319" s="14" t="s">
        <v>473</v>
      </c>
      <c r="E319" s="14" t="s">
        <v>429</v>
      </c>
      <c r="F319" s="14">
        <v>5</v>
      </c>
      <c r="G319" s="15">
        <f>_xlfn.XLOOKUP(C319,[1]products!$A$2:$A$71,[1]products!$D$2:$D$71)</f>
        <v>289</v>
      </c>
      <c r="H319" s="16">
        <v>44992</v>
      </c>
      <c r="I319" s="16" t="str">
        <f t="shared" si="20"/>
        <v>March</v>
      </c>
      <c r="J319" s="16" t="str">
        <f t="shared" si="21"/>
        <v>Tuesday</v>
      </c>
      <c r="K319" s="17">
        <v>0.51098379629629631</v>
      </c>
      <c r="L319" s="16">
        <v>44996</v>
      </c>
      <c r="M319" s="18">
        <f>HOUR(orders!$K319)</f>
        <v>12</v>
      </c>
      <c r="N319" s="16" t="str">
        <f t="shared" si="22"/>
        <v>March</v>
      </c>
      <c r="O319" s="17">
        <v>0.66651620370370368</v>
      </c>
      <c r="P319" s="17" t="str">
        <f>_xlfn.XLOOKUP(B319,[2]customers!$A$2:$A$101,[2]customers!$C$2:$C$101)</f>
        <v>Aizawl</v>
      </c>
      <c r="Q319" s="14" t="s">
        <v>318</v>
      </c>
      <c r="R319" s="14" t="s">
        <v>36</v>
      </c>
      <c r="S319" s="15">
        <f t="shared" si="23"/>
        <v>1445</v>
      </c>
      <c r="T319" s="19">
        <f t="shared" si="24"/>
        <v>4</v>
      </c>
    </row>
    <row r="320" spans="1:20" x14ac:dyDescent="0.3">
      <c r="A320" s="20">
        <v>319</v>
      </c>
      <c r="B320" s="20" t="s">
        <v>31</v>
      </c>
      <c r="C320" s="20">
        <v>64</v>
      </c>
      <c r="D320" s="20" t="s">
        <v>492</v>
      </c>
      <c r="E320" s="20" t="s">
        <v>445</v>
      </c>
      <c r="F320" s="20">
        <v>1</v>
      </c>
      <c r="G320" s="21">
        <f>_xlfn.XLOOKUP(C320,[1]products!$A$2:$A$71,[1]products!$D$2:$D$71)</f>
        <v>1878</v>
      </c>
      <c r="H320" s="22">
        <v>45158</v>
      </c>
      <c r="I320" s="22" t="str">
        <f t="shared" si="20"/>
        <v>August</v>
      </c>
      <c r="J320" s="22" t="str">
        <f t="shared" si="21"/>
        <v>Sunday</v>
      </c>
      <c r="K320" s="23">
        <v>0.26605324074074072</v>
      </c>
      <c r="L320" s="22">
        <v>45164</v>
      </c>
      <c r="M320" s="24">
        <f>HOUR(orders!$K320)</f>
        <v>6</v>
      </c>
      <c r="N320" s="22" t="str">
        <f t="shared" si="22"/>
        <v>August</v>
      </c>
      <c r="O320" s="23">
        <v>0.94748842592592597</v>
      </c>
      <c r="P320" s="23" t="str">
        <f>_xlfn.XLOOKUP(B320,[2]customers!$A$2:$A$101,[2]customers!$C$2:$C$101)</f>
        <v>Agra</v>
      </c>
      <c r="Q320" s="20" t="s">
        <v>319</v>
      </c>
      <c r="R320" s="20" t="s">
        <v>26</v>
      </c>
      <c r="S320" s="21">
        <f t="shared" si="23"/>
        <v>1878</v>
      </c>
      <c r="T320" s="25">
        <f t="shared" si="24"/>
        <v>6</v>
      </c>
    </row>
    <row r="321" spans="1:20" x14ac:dyDescent="0.3">
      <c r="A321" s="14">
        <v>320</v>
      </c>
      <c r="B321" s="14" t="s">
        <v>220</v>
      </c>
      <c r="C321" s="14">
        <v>13</v>
      </c>
      <c r="D321" s="14" t="s">
        <v>495</v>
      </c>
      <c r="E321" s="14" t="s">
        <v>458</v>
      </c>
      <c r="F321" s="14">
        <v>1</v>
      </c>
      <c r="G321" s="15">
        <f>_xlfn.XLOOKUP(C321,[1]products!$A$2:$A$71,[1]products!$D$2:$D$71)</f>
        <v>1141</v>
      </c>
      <c r="H321" s="16">
        <v>44986</v>
      </c>
      <c r="I321" s="16" t="str">
        <f t="shared" si="20"/>
        <v>March</v>
      </c>
      <c r="J321" s="16" t="str">
        <f t="shared" si="21"/>
        <v>Wednesday</v>
      </c>
      <c r="K321" s="17">
        <v>0.32633101851851848</v>
      </c>
      <c r="L321" s="16">
        <v>44993</v>
      </c>
      <c r="M321" s="18">
        <f>HOUR(orders!$K321)</f>
        <v>7</v>
      </c>
      <c r="N321" s="16" t="str">
        <f t="shared" si="22"/>
        <v>March</v>
      </c>
      <c r="O321" s="17">
        <v>0.35996527777777776</v>
      </c>
      <c r="P321" s="17" t="str">
        <f>_xlfn.XLOOKUP(B321,[2]customers!$A$2:$A$101,[2]customers!$C$2:$C$101)</f>
        <v>Berhampore</v>
      </c>
      <c r="Q321" s="14" t="s">
        <v>274</v>
      </c>
      <c r="R321" s="14" t="s">
        <v>36</v>
      </c>
      <c r="S321" s="15">
        <f t="shared" si="23"/>
        <v>1141</v>
      </c>
      <c r="T321" s="19">
        <f t="shared" si="24"/>
        <v>7</v>
      </c>
    </row>
    <row r="322" spans="1:20" x14ac:dyDescent="0.3">
      <c r="A322" s="20">
        <v>321</v>
      </c>
      <c r="B322" s="20" t="s">
        <v>218</v>
      </c>
      <c r="C322" s="20">
        <v>12</v>
      </c>
      <c r="D322" s="20" t="s">
        <v>446</v>
      </c>
      <c r="E322" s="20" t="s">
        <v>447</v>
      </c>
      <c r="F322" s="20">
        <v>5</v>
      </c>
      <c r="G322" s="21">
        <f>_xlfn.XLOOKUP(C322,[1]products!$A$2:$A$71,[1]products!$D$2:$D$71)</f>
        <v>672</v>
      </c>
      <c r="H322" s="22">
        <v>44993</v>
      </c>
      <c r="I322" s="22" t="str">
        <f t="shared" si="20"/>
        <v>March</v>
      </c>
      <c r="J322" s="22" t="str">
        <f t="shared" si="21"/>
        <v>Wednesday</v>
      </c>
      <c r="K322" s="23">
        <v>0.47714120370370372</v>
      </c>
      <c r="L322" s="22">
        <v>45002</v>
      </c>
      <c r="M322" s="24">
        <f>HOUR(orders!$K322)</f>
        <v>11</v>
      </c>
      <c r="N322" s="22" t="str">
        <f t="shared" si="22"/>
        <v>March</v>
      </c>
      <c r="O322" s="23">
        <v>0.41091435185185188</v>
      </c>
      <c r="P322" s="23" t="str">
        <f>_xlfn.XLOOKUP(B322,[2]customers!$A$2:$A$101,[2]customers!$C$2:$C$101)</f>
        <v>Imphal</v>
      </c>
      <c r="Q322" s="20" t="s">
        <v>320</v>
      </c>
      <c r="R322" s="20" t="s">
        <v>12</v>
      </c>
      <c r="S322" s="21">
        <f t="shared" si="23"/>
        <v>3360</v>
      </c>
      <c r="T322" s="25">
        <f t="shared" si="24"/>
        <v>9</v>
      </c>
    </row>
    <row r="323" spans="1:20" x14ac:dyDescent="0.3">
      <c r="A323" s="14">
        <v>322</v>
      </c>
      <c r="B323" s="14" t="s">
        <v>45</v>
      </c>
      <c r="C323" s="14">
        <v>15</v>
      </c>
      <c r="D323" s="14" t="s">
        <v>482</v>
      </c>
      <c r="E323" s="14" t="s">
        <v>26</v>
      </c>
      <c r="F323" s="14">
        <v>1</v>
      </c>
      <c r="G323" s="15">
        <f>_xlfn.XLOOKUP(C323,[1]products!$A$2:$A$71,[1]products!$D$2:$D$71)</f>
        <v>1488</v>
      </c>
      <c r="H323" s="16">
        <v>45027</v>
      </c>
      <c r="I323" s="16" t="str">
        <f t="shared" ref="I323:I386" si="25">TEXT(H323,"mmmm")</f>
        <v>April</v>
      </c>
      <c r="J323" s="16" t="str">
        <f t="shared" ref="J323:J386" si="26">TEXT(H323,"dddd")</f>
        <v>Tuesday</v>
      </c>
      <c r="K323" s="17">
        <v>0.35568287037037033</v>
      </c>
      <c r="L323" s="16">
        <v>45031</v>
      </c>
      <c r="M323" s="18">
        <f>HOUR(orders!$K323)</f>
        <v>8</v>
      </c>
      <c r="N323" s="16" t="str">
        <f t="shared" ref="N323:N386" si="27">TEXT(L323,"mmmm")</f>
        <v>April</v>
      </c>
      <c r="O323" s="17">
        <v>0.14614583333333334</v>
      </c>
      <c r="P323" s="17" t="str">
        <f>_xlfn.XLOOKUP(B323,[2]customers!$A$2:$A$101,[2]customers!$C$2:$C$101)</f>
        <v>Haridwar</v>
      </c>
      <c r="Q323" s="14" t="s">
        <v>321</v>
      </c>
      <c r="R323" s="14" t="s">
        <v>12</v>
      </c>
      <c r="S323" s="15">
        <f t="shared" ref="S323:S386" si="28">G323*F323</f>
        <v>1488</v>
      </c>
      <c r="T323" s="19">
        <f t="shared" ref="T323:T386" si="29">L323-H323</f>
        <v>4</v>
      </c>
    </row>
    <row r="324" spans="1:20" x14ac:dyDescent="0.3">
      <c r="A324" s="20">
        <v>323</v>
      </c>
      <c r="B324" s="20" t="s">
        <v>43</v>
      </c>
      <c r="C324" s="20">
        <v>23</v>
      </c>
      <c r="D324" s="20" t="s">
        <v>441</v>
      </c>
      <c r="E324" s="20" t="s">
        <v>427</v>
      </c>
      <c r="F324" s="20">
        <v>2</v>
      </c>
      <c r="G324" s="21">
        <f>_xlfn.XLOOKUP(C324,[1]products!$A$2:$A$71,[1]products!$D$2:$D$71)</f>
        <v>1098</v>
      </c>
      <c r="H324" s="22">
        <v>44966</v>
      </c>
      <c r="I324" s="22" t="str">
        <f t="shared" si="25"/>
        <v>February</v>
      </c>
      <c r="J324" s="22" t="str">
        <f t="shared" si="26"/>
        <v>Thursday</v>
      </c>
      <c r="K324" s="23">
        <v>0.75907407407407401</v>
      </c>
      <c r="L324" s="22">
        <v>44967</v>
      </c>
      <c r="M324" s="24">
        <f>HOUR(orders!$K324)</f>
        <v>18</v>
      </c>
      <c r="N324" s="22" t="str">
        <f t="shared" si="27"/>
        <v>February</v>
      </c>
      <c r="O324" s="23">
        <v>0.43234953703703699</v>
      </c>
      <c r="P324" s="23" t="str">
        <f>_xlfn.XLOOKUP(B324,[2]customers!$A$2:$A$101,[2]customers!$C$2:$C$101)</f>
        <v>Mangalore</v>
      </c>
      <c r="Q324" s="20" t="s">
        <v>294</v>
      </c>
      <c r="R324" s="20" t="s">
        <v>12</v>
      </c>
      <c r="S324" s="21">
        <f t="shared" si="28"/>
        <v>2196</v>
      </c>
      <c r="T324" s="25">
        <f t="shared" si="29"/>
        <v>1</v>
      </c>
    </row>
    <row r="325" spans="1:20" x14ac:dyDescent="0.3">
      <c r="A325" s="14">
        <v>324</v>
      </c>
      <c r="B325" s="14" t="s">
        <v>322</v>
      </c>
      <c r="C325" s="14">
        <v>14</v>
      </c>
      <c r="D325" s="14" t="s">
        <v>428</v>
      </c>
      <c r="E325" s="14" t="s">
        <v>429</v>
      </c>
      <c r="F325" s="14">
        <v>2</v>
      </c>
      <c r="G325" s="15">
        <f>_xlfn.XLOOKUP(C325,[1]products!$A$2:$A$71,[1]products!$D$2:$D$71)</f>
        <v>1915</v>
      </c>
      <c r="H325" s="16">
        <v>44959</v>
      </c>
      <c r="I325" s="16" t="str">
        <f t="shared" si="25"/>
        <v>February</v>
      </c>
      <c r="J325" s="16" t="str">
        <f t="shared" si="26"/>
        <v>Thursday</v>
      </c>
      <c r="K325" s="17">
        <v>0.78296296296296297</v>
      </c>
      <c r="L325" s="16">
        <v>44968</v>
      </c>
      <c r="M325" s="18">
        <f>HOUR(orders!$K325)</f>
        <v>18</v>
      </c>
      <c r="N325" s="16" t="str">
        <f t="shared" si="27"/>
        <v>February</v>
      </c>
      <c r="O325" s="17">
        <v>0.64923611111111112</v>
      </c>
      <c r="P325" s="17" t="str">
        <f>_xlfn.XLOOKUP(B325,[2]customers!$A$2:$A$101,[2]customers!$C$2:$C$101)</f>
        <v>Parbhani</v>
      </c>
      <c r="Q325" s="14" t="s">
        <v>323</v>
      </c>
      <c r="R325" s="14" t="s">
        <v>20</v>
      </c>
      <c r="S325" s="15">
        <f t="shared" si="28"/>
        <v>3830</v>
      </c>
      <c r="T325" s="19">
        <f t="shared" si="29"/>
        <v>9</v>
      </c>
    </row>
    <row r="326" spans="1:20" x14ac:dyDescent="0.3">
      <c r="A326" s="20">
        <v>325</v>
      </c>
      <c r="B326" s="20" t="s">
        <v>61</v>
      </c>
      <c r="C326" s="20">
        <v>27</v>
      </c>
      <c r="D326" s="20" t="s">
        <v>435</v>
      </c>
      <c r="E326" s="20" t="s">
        <v>431</v>
      </c>
      <c r="F326" s="20">
        <v>5</v>
      </c>
      <c r="G326" s="21">
        <f>_xlfn.XLOOKUP(C326,[1]products!$A$2:$A$71,[1]products!$D$2:$D$71)</f>
        <v>548</v>
      </c>
      <c r="H326" s="22">
        <v>45163</v>
      </c>
      <c r="I326" s="22" t="str">
        <f t="shared" si="25"/>
        <v>August</v>
      </c>
      <c r="J326" s="22" t="str">
        <f t="shared" si="26"/>
        <v>Friday</v>
      </c>
      <c r="K326" s="23">
        <v>0.77135416666666667</v>
      </c>
      <c r="L326" s="22">
        <v>45173</v>
      </c>
      <c r="M326" s="24">
        <f>HOUR(orders!$K326)</f>
        <v>18</v>
      </c>
      <c r="N326" s="22" t="str">
        <f t="shared" si="27"/>
        <v>September</v>
      </c>
      <c r="O326" s="23">
        <v>0.83515046296296302</v>
      </c>
      <c r="P326" s="23" t="str">
        <f>_xlfn.XLOOKUP(B326,[2]customers!$A$2:$A$101,[2]customers!$C$2:$C$101)</f>
        <v>New Delhi</v>
      </c>
      <c r="Q326" s="20" t="s">
        <v>202</v>
      </c>
      <c r="R326" s="20" t="s">
        <v>26</v>
      </c>
      <c r="S326" s="21">
        <f t="shared" si="28"/>
        <v>2740</v>
      </c>
      <c r="T326" s="25">
        <f t="shared" si="29"/>
        <v>10</v>
      </c>
    </row>
    <row r="327" spans="1:20" x14ac:dyDescent="0.3">
      <c r="A327" s="14">
        <v>326</v>
      </c>
      <c r="B327" s="14" t="s">
        <v>66</v>
      </c>
      <c r="C327" s="14">
        <v>34</v>
      </c>
      <c r="D327" s="14" t="s">
        <v>472</v>
      </c>
      <c r="E327" s="14" t="s">
        <v>445</v>
      </c>
      <c r="F327" s="14">
        <v>3</v>
      </c>
      <c r="G327" s="15">
        <f>_xlfn.XLOOKUP(C327,[1]products!$A$2:$A$71,[1]products!$D$2:$D$71)</f>
        <v>1335</v>
      </c>
      <c r="H327" s="16">
        <v>45165</v>
      </c>
      <c r="I327" s="16" t="str">
        <f t="shared" si="25"/>
        <v>August</v>
      </c>
      <c r="J327" s="16" t="str">
        <f t="shared" si="26"/>
        <v>Sunday</v>
      </c>
      <c r="K327" s="17">
        <v>0.65214120370370365</v>
      </c>
      <c r="L327" s="16">
        <v>45172</v>
      </c>
      <c r="M327" s="18">
        <f>HOUR(orders!$K327)</f>
        <v>15</v>
      </c>
      <c r="N327" s="16" t="str">
        <f t="shared" si="27"/>
        <v>September</v>
      </c>
      <c r="O327" s="17">
        <v>0.64828703703703705</v>
      </c>
      <c r="P327" s="17" t="str">
        <f>_xlfn.XLOOKUP(B327,[2]customers!$A$2:$A$101,[2]customers!$C$2:$C$101)</f>
        <v xml:space="preserve">Khora </v>
      </c>
      <c r="Q327" s="14" t="s">
        <v>324</v>
      </c>
      <c r="R327" s="14" t="s">
        <v>26</v>
      </c>
      <c r="S327" s="15">
        <f t="shared" si="28"/>
        <v>4005</v>
      </c>
      <c r="T327" s="19">
        <f t="shared" si="29"/>
        <v>7</v>
      </c>
    </row>
    <row r="328" spans="1:20" x14ac:dyDescent="0.3">
      <c r="A328" s="20">
        <v>327</v>
      </c>
      <c r="B328" s="20" t="s">
        <v>182</v>
      </c>
      <c r="C328" s="20">
        <v>51</v>
      </c>
      <c r="D328" s="20" t="s">
        <v>469</v>
      </c>
      <c r="E328" s="20" t="s">
        <v>445</v>
      </c>
      <c r="F328" s="20">
        <v>1</v>
      </c>
      <c r="G328" s="21">
        <f>_xlfn.XLOOKUP(C328,[1]products!$A$2:$A$71,[1]products!$D$2:$D$71)</f>
        <v>1084</v>
      </c>
      <c r="H328" s="22">
        <v>45193</v>
      </c>
      <c r="I328" s="22" t="str">
        <f t="shared" si="25"/>
        <v>September</v>
      </c>
      <c r="J328" s="22" t="str">
        <f t="shared" si="26"/>
        <v>Sunday</v>
      </c>
      <c r="K328" s="23">
        <v>0.39519675925925929</v>
      </c>
      <c r="L328" s="22">
        <v>45195</v>
      </c>
      <c r="M328" s="24">
        <f>HOUR(orders!$K328)</f>
        <v>9</v>
      </c>
      <c r="N328" s="22" t="str">
        <f t="shared" si="27"/>
        <v>September</v>
      </c>
      <c r="O328" s="23">
        <v>0.83964120370370365</v>
      </c>
      <c r="P328" s="23" t="str">
        <f>_xlfn.XLOOKUP(B328,[2]customers!$A$2:$A$101,[2]customers!$C$2:$C$101)</f>
        <v>Guntakal</v>
      </c>
      <c r="Q328" s="20" t="s">
        <v>306</v>
      </c>
      <c r="R328" s="20" t="s">
        <v>60</v>
      </c>
      <c r="S328" s="21">
        <f t="shared" si="28"/>
        <v>1084</v>
      </c>
      <c r="T328" s="25">
        <f t="shared" si="29"/>
        <v>2</v>
      </c>
    </row>
    <row r="329" spans="1:20" x14ac:dyDescent="0.3">
      <c r="A329" s="14">
        <v>328</v>
      </c>
      <c r="B329" s="14" t="s">
        <v>38</v>
      </c>
      <c r="C329" s="14">
        <v>23</v>
      </c>
      <c r="D329" s="14" t="s">
        <v>441</v>
      </c>
      <c r="E329" s="14" t="s">
        <v>427</v>
      </c>
      <c r="F329" s="14">
        <v>3</v>
      </c>
      <c r="G329" s="15">
        <f>_xlfn.XLOOKUP(C329,[1]products!$A$2:$A$71,[1]products!$D$2:$D$71)</f>
        <v>1098</v>
      </c>
      <c r="H329" s="16">
        <v>45033</v>
      </c>
      <c r="I329" s="16" t="str">
        <f t="shared" si="25"/>
        <v>April</v>
      </c>
      <c r="J329" s="16" t="str">
        <f t="shared" si="26"/>
        <v>Monday</v>
      </c>
      <c r="K329" s="17">
        <v>0.74418981481481483</v>
      </c>
      <c r="L329" s="16">
        <v>45038</v>
      </c>
      <c r="M329" s="18">
        <f>HOUR(orders!$K329)</f>
        <v>17</v>
      </c>
      <c r="N329" s="16" t="str">
        <f t="shared" si="27"/>
        <v>April</v>
      </c>
      <c r="O329" s="17">
        <v>0.37451388888888887</v>
      </c>
      <c r="P329" s="17" t="str">
        <f>_xlfn.XLOOKUP(B329,[2]customers!$A$2:$A$101,[2]customers!$C$2:$C$101)</f>
        <v>Kavali</v>
      </c>
      <c r="Q329" s="14" t="s">
        <v>325</v>
      </c>
      <c r="R329" s="14" t="s">
        <v>12</v>
      </c>
      <c r="S329" s="15">
        <f t="shared" si="28"/>
        <v>3294</v>
      </c>
      <c r="T329" s="19">
        <f t="shared" si="29"/>
        <v>5</v>
      </c>
    </row>
    <row r="330" spans="1:20" x14ac:dyDescent="0.3">
      <c r="A330" s="20">
        <v>329</v>
      </c>
      <c r="B330" s="20" t="s">
        <v>109</v>
      </c>
      <c r="C330" s="20">
        <v>17</v>
      </c>
      <c r="D330" s="20" t="s">
        <v>455</v>
      </c>
      <c r="E330" s="20" t="s">
        <v>445</v>
      </c>
      <c r="F330" s="20">
        <v>3</v>
      </c>
      <c r="G330" s="21">
        <f>_xlfn.XLOOKUP(C330,[1]products!$A$2:$A$71,[1]products!$D$2:$D$71)</f>
        <v>1899</v>
      </c>
      <c r="H330" s="22">
        <v>45164</v>
      </c>
      <c r="I330" s="22" t="str">
        <f t="shared" si="25"/>
        <v>August</v>
      </c>
      <c r="J330" s="22" t="str">
        <f t="shared" si="26"/>
        <v>Saturday</v>
      </c>
      <c r="K330" s="23">
        <v>9.8645833333333335E-2</v>
      </c>
      <c r="L330" s="22">
        <v>45173</v>
      </c>
      <c r="M330" s="24">
        <f>HOUR(orders!$K330)</f>
        <v>2</v>
      </c>
      <c r="N330" s="22" t="str">
        <f t="shared" si="27"/>
        <v>September</v>
      </c>
      <c r="O330" s="23">
        <v>0.13115740740740742</v>
      </c>
      <c r="P330" s="23" t="str">
        <f>_xlfn.XLOOKUP(B330,[2]customers!$A$2:$A$101,[2]customers!$C$2:$C$101)</f>
        <v>Warangal</v>
      </c>
      <c r="Q330" s="20" t="s">
        <v>326</v>
      </c>
      <c r="R330" s="20" t="s">
        <v>12</v>
      </c>
      <c r="S330" s="21">
        <f t="shared" si="28"/>
        <v>5697</v>
      </c>
      <c r="T330" s="25">
        <f t="shared" si="29"/>
        <v>9</v>
      </c>
    </row>
    <row r="331" spans="1:20" x14ac:dyDescent="0.3">
      <c r="A331" s="14">
        <v>330</v>
      </c>
      <c r="B331" s="14" t="s">
        <v>93</v>
      </c>
      <c r="C331" s="14">
        <v>59</v>
      </c>
      <c r="D331" s="14" t="s">
        <v>489</v>
      </c>
      <c r="E331" s="14" t="s">
        <v>431</v>
      </c>
      <c r="F331" s="14">
        <v>2</v>
      </c>
      <c r="G331" s="15">
        <f>_xlfn.XLOOKUP(C331,[1]products!$A$2:$A$71,[1]products!$D$2:$D$71)</f>
        <v>811</v>
      </c>
      <c r="H331" s="16">
        <v>45162</v>
      </c>
      <c r="I331" s="16" t="str">
        <f t="shared" si="25"/>
        <v>August</v>
      </c>
      <c r="J331" s="16" t="str">
        <f t="shared" si="26"/>
        <v>Thursday</v>
      </c>
      <c r="K331" s="17">
        <v>0.8507986111111111</v>
      </c>
      <c r="L331" s="16">
        <v>45170</v>
      </c>
      <c r="M331" s="18">
        <f>HOUR(orders!$K331)</f>
        <v>20</v>
      </c>
      <c r="N331" s="16" t="str">
        <f t="shared" si="27"/>
        <v>September</v>
      </c>
      <c r="O331" s="17">
        <v>0.51828703703703705</v>
      </c>
      <c r="P331" s="17" t="str">
        <f>_xlfn.XLOOKUP(B331,[2]customers!$A$2:$A$101,[2]customers!$C$2:$C$101)</f>
        <v>Kalyan-Dombivli</v>
      </c>
      <c r="Q331" s="14" t="s">
        <v>152</v>
      </c>
      <c r="R331" s="14" t="s">
        <v>26</v>
      </c>
      <c r="S331" s="15">
        <f t="shared" si="28"/>
        <v>1622</v>
      </c>
      <c r="T331" s="19">
        <f t="shared" si="29"/>
        <v>8</v>
      </c>
    </row>
    <row r="332" spans="1:20" x14ac:dyDescent="0.3">
      <c r="A332" s="20">
        <v>331</v>
      </c>
      <c r="B332" s="20" t="s">
        <v>103</v>
      </c>
      <c r="C332" s="20">
        <v>41</v>
      </c>
      <c r="D332" s="20" t="s">
        <v>426</v>
      </c>
      <c r="E332" s="20" t="s">
        <v>427</v>
      </c>
      <c r="F332" s="20">
        <v>5</v>
      </c>
      <c r="G332" s="21">
        <f>_xlfn.XLOOKUP(C332,[1]products!$A$2:$A$71,[1]products!$D$2:$D$71)</f>
        <v>1977</v>
      </c>
      <c r="H332" s="22">
        <v>45234</v>
      </c>
      <c r="I332" s="22" t="str">
        <f t="shared" si="25"/>
        <v>November</v>
      </c>
      <c r="J332" s="22" t="str">
        <f t="shared" si="26"/>
        <v>Saturday</v>
      </c>
      <c r="K332" s="23">
        <v>0.90967592592592583</v>
      </c>
      <c r="L332" s="22">
        <v>45235</v>
      </c>
      <c r="M332" s="24">
        <f>HOUR(orders!$K332)</f>
        <v>21</v>
      </c>
      <c r="N332" s="22" t="str">
        <f t="shared" si="27"/>
        <v>November</v>
      </c>
      <c r="O332" s="23">
        <v>0.59273148148148147</v>
      </c>
      <c r="P332" s="23" t="str">
        <f>_xlfn.XLOOKUP(B332,[2]customers!$A$2:$A$101,[2]customers!$C$2:$C$101)</f>
        <v>Bidhannagar</v>
      </c>
      <c r="Q332" s="20" t="s">
        <v>300</v>
      </c>
      <c r="R332" s="20" t="s">
        <v>15</v>
      </c>
      <c r="S332" s="21">
        <f t="shared" si="28"/>
        <v>9885</v>
      </c>
      <c r="T332" s="25">
        <f t="shared" si="29"/>
        <v>1</v>
      </c>
    </row>
    <row r="333" spans="1:20" x14ac:dyDescent="0.3">
      <c r="A333" s="14">
        <v>332</v>
      </c>
      <c r="B333" s="14" t="s">
        <v>288</v>
      </c>
      <c r="C333" s="14">
        <v>20</v>
      </c>
      <c r="D333" s="14" t="s">
        <v>439</v>
      </c>
      <c r="E333" s="14" t="s">
        <v>429</v>
      </c>
      <c r="F333" s="14">
        <v>5</v>
      </c>
      <c r="G333" s="15">
        <f>_xlfn.XLOOKUP(C333,[1]products!$A$2:$A$71,[1]products!$D$2:$D$71)</f>
        <v>697</v>
      </c>
      <c r="H333" s="16">
        <v>45027</v>
      </c>
      <c r="I333" s="16" t="str">
        <f t="shared" si="25"/>
        <v>April</v>
      </c>
      <c r="J333" s="16" t="str">
        <f t="shared" si="26"/>
        <v>Tuesday</v>
      </c>
      <c r="K333" s="17">
        <v>0.84320601851851851</v>
      </c>
      <c r="L333" s="16">
        <v>45034</v>
      </c>
      <c r="M333" s="18">
        <f>HOUR(orders!$K333)</f>
        <v>20</v>
      </c>
      <c r="N333" s="16" t="str">
        <f t="shared" si="27"/>
        <v>April</v>
      </c>
      <c r="O333" s="17">
        <v>0.59078703703703705</v>
      </c>
      <c r="P333" s="17" t="str">
        <f>_xlfn.XLOOKUP(B333,[2]customers!$A$2:$A$101,[2]customers!$C$2:$C$101)</f>
        <v>Dhanbad</v>
      </c>
      <c r="Q333" s="14" t="s">
        <v>44</v>
      </c>
      <c r="R333" s="14" t="s">
        <v>12</v>
      </c>
      <c r="S333" s="15">
        <f t="shared" si="28"/>
        <v>3485</v>
      </c>
      <c r="T333" s="19">
        <f t="shared" si="29"/>
        <v>7</v>
      </c>
    </row>
    <row r="334" spans="1:20" x14ac:dyDescent="0.3">
      <c r="A334" s="20">
        <v>333</v>
      </c>
      <c r="B334" s="20" t="s">
        <v>155</v>
      </c>
      <c r="C334" s="20">
        <v>22</v>
      </c>
      <c r="D334" s="20" t="s">
        <v>465</v>
      </c>
      <c r="E334" s="20" t="s">
        <v>445</v>
      </c>
      <c r="F334" s="20">
        <v>5</v>
      </c>
      <c r="G334" s="21">
        <f>_xlfn.XLOOKUP(C334,[1]products!$A$2:$A$71,[1]products!$D$2:$D$71)</f>
        <v>1639</v>
      </c>
      <c r="H334" s="22">
        <v>44966</v>
      </c>
      <c r="I334" s="22" t="str">
        <f t="shared" si="25"/>
        <v>February</v>
      </c>
      <c r="J334" s="22" t="str">
        <f t="shared" si="26"/>
        <v>Thursday</v>
      </c>
      <c r="K334" s="23">
        <v>0.26336805555555559</v>
      </c>
      <c r="L334" s="22">
        <v>44967</v>
      </c>
      <c r="M334" s="24">
        <f>HOUR(orders!$K334)</f>
        <v>6</v>
      </c>
      <c r="N334" s="22" t="str">
        <f t="shared" si="27"/>
        <v>February</v>
      </c>
      <c r="O334" s="23">
        <v>0.1572800925925926</v>
      </c>
      <c r="P334" s="23" t="str">
        <f>_xlfn.XLOOKUP(B334,[2]customers!$A$2:$A$101,[2]customers!$C$2:$C$101)</f>
        <v>Phagwara</v>
      </c>
      <c r="Q334" s="20" t="s">
        <v>327</v>
      </c>
      <c r="R334" s="20" t="s">
        <v>60</v>
      </c>
      <c r="S334" s="21">
        <f t="shared" si="28"/>
        <v>8195</v>
      </c>
      <c r="T334" s="25">
        <f t="shared" si="29"/>
        <v>1</v>
      </c>
    </row>
    <row r="335" spans="1:20" x14ac:dyDescent="0.3">
      <c r="A335" s="14">
        <v>334</v>
      </c>
      <c r="B335" s="14" t="s">
        <v>83</v>
      </c>
      <c r="C335" s="14">
        <v>53</v>
      </c>
      <c r="D335" s="14" t="s">
        <v>496</v>
      </c>
      <c r="E335" s="14" t="s">
        <v>427</v>
      </c>
      <c r="F335" s="14">
        <v>1</v>
      </c>
      <c r="G335" s="15">
        <f>_xlfn.XLOOKUP(C335,[1]products!$A$2:$A$71,[1]products!$D$2:$D$71)</f>
        <v>1672</v>
      </c>
      <c r="H335" s="16">
        <v>45166</v>
      </c>
      <c r="I335" s="16" t="str">
        <f t="shared" si="25"/>
        <v>August</v>
      </c>
      <c r="J335" s="16" t="str">
        <f t="shared" si="26"/>
        <v>Monday</v>
      </c>
      <c r="K335" s="17">
        <v>0.88872685185185185</v>
      </c>
      <c r="L335" s="16">
        <v>45170</v>
      </c>
      <c r="M335" s="18">
        <f>HOUR(orders!$K335)</f>
        <v>21</v>
      </c>
      <c r="N335" s="16" t="str">
        <f t="shared" si="27"/>
        <v>September</v>
      </c>
      <c r="O335" s="17">
        <v>0.91878472222222218</v>
      </c>
      <c r="P335" s="17" t="str">
        <f>_xlfn.XLOOKUP(B335,[2]customers!$A$2:$A$101,[2]customers!$C$2:$C$101)</f>
        <v>Malegaon</v>
      </c>
      <c r="Q335" s="14" t="s">
        <v>230</v>
      </c>
      <c r="R335" s="14" t="s">
        <v>26</v>
      </c>
      <c r="S335" s="15">
        <f t="shared" si="28"/>
        <v>1672</v>
      </c>
      <c r="T335" s="19">
        <f t="shared" si="29"/>
        <v>4</v>
      </c>
    </row>
    <row r="336" spans="1:20" x14ac:dyDescent="0.3">
      <c r="A336" s="20">
        <v>335</v>
      </c>
      <c r="B336" s="20" t="s">
        <v>43</v>
      </c>
      <c r="C336" s="20">
        <v>17</v>
      </c>
      <c r="D336" s="20" t="s">
        <v>455</v>
      </c>
      <c r="E336" s="20" t="s">
        <v>445</v>
      </c>
      <c r="F336" s="20">
        <v>2</v>
      </c>
      <c r="G336" s="21">
        <f>_xlfn.XLOOKUP(C336,[1]products!$A$2:$A$71,[1]products!$D$2:$D$71)</f>
        <v>1899</v>
      </c>
      <c r="H336" s="22">
        <v>45236</v>
      </c>
      <c r="I336" s="22" t="str">
        <f t="shared" si="25"/>
        <v>November</v>
      </c>
      <c r="J336" s="22" t="str">
        <f t="shared" si="26"/>
        <v>Monday</v>
      </c>
      <c r="K336" s="23">
        <v>8.998842592592593E-2</v>
      </c>
      <c r="L336" s="22">
        <v>45238</v>
      </c>
      <c r="M336" s="24">
        <f>HOUR(orders!$K336)</f>
        <v>2</v>
      </c>
      <c r="N336" s="22" t="str">
        <f t="shared" si="27"/>
        <v>November</v>
      </c>
      <c r="O336" s="23">
        <v>9.9583333333333343E-2</v>
      </c>
      <c r="P336" s="23" t="str">
        <f>_xlfn.XLOOKUP(B336,[2]customers!$A$2:$A$101,[2]customers!$C$2:$C$101)</f>
        <v>Mangalore</v>
      </c>
      <c r="Q336" s="20" t="s">
        <v>328</v>
      </c>
      <c r="R336" s="20" t="s">
        <v>12</v>
      </c>
      <c r="S336" s="21">
        <f t="shared" si="28"/>
        <v>3798</v>
      </c>
      <c r="T336" s="25">
        <f t="shared" si="29"/>
        <v>2</v>
      </c>
    </row>
    <row r="337" spans="1:20" x14ac:dyDescent="0.3">
      <c r="A337" s="14">
        <v>336</v>
      </c>
      <c r="B337" s="14" t="s">
        <v>41</v>
      </c>
      <c r="C337" s="14">
        <v>53</v>
      </c>
      <c r="D337" s="14" t="s">
        <v>496</v>
      </c>
      <c r="E337" s="14" t="s">
        <v>427</v>
      </c>
      <c r="F337" s="14">
        <v>1</v>
      </c>
      <c r="G337" s="15">
        <f>_xlfn.XLOOKUP(C337,[1]products!$A$2:$A$71,[1]products!$D$2:$D$71)</f>
        <v>1672</v>
      </c>
      <c r="H337" s="16">
        <v>45158</v>
      </c>
      <c r="I337" s="16" t="str">
        <f t="shared" si="25"/>
        <v>August</v>
      </c>
      <c r="J337" s="16" t="str">
        <f t="shared" si="26"/>
        <v>Sunday</v>
      </c>
      <c r="K337" s="17">
        <v>0.18916666666666668</v>
      </c>
      <c r="L337" s="16">
        <v>45163</v>
      </c>
      <c r="M337" s="18">
        <f>HOUR(orders!$K337)</f>
        <v>4</v>
      </c>
      <c r="N337" s="16" t="str">
        <f t="shared" si="27"/>
        <v>August</v>
      </c>
      <c r="O337" s="17">
        <v>0.82936342592592593</v>
      </c>
      <c r="P337" s="17" t="str">
        <f>_xlfn.XLOOKUP(B337,[2]customers!$A$2:$A$101,[2]customers!$C$2:$C$101)</f>
        <v>Madhyamgram</v>
      </c>
      <c r="Q337" s="14" t="s">
        <v>312</v>
      </c>
      <c r="R337" s="14" t="s">
        <v>26</v>
      </c>
      <c r="S337" s="15">
        <f t="shared" si="28"/>
        <v>1672</v>
      </c>
      <c r="T337" s="19">
        <f t="shared" si="29"/>
        <v>5</v>
      </c>
    </row>
    <row r="338" spans="1:20" x14ac:dyDescent="0.3">
      <c r="A338" s="20">
        <v>337</v>
      </c>
      <c r="B338" s="20" t="s">
        <v>140</v>
      </c>
      <c r="C338" s="20">
        <v>24</v>
      </c>
      <c r="D338" s="20" t="s">
        <v>485</v>
      </c>
      <c r="E338" s="20" t="s">
        <v>458</v>
      </c>
      <c r="F338" s="20">
        <v>3</v>
      </c>
      <c r="G338" s="21">
        <f>_xlfn.XLOOKUP(C338,[1]products!$A$2:$A$71,[1]products!$D$2:$D$71)</f>
        <v>535</v>
      </c>
      <c r="H338" s="22">
        <v>45062</v>
      </c>
      <c r="I338" s="22" t="str">
        <f t="shared" si="25"/>
        <v>May</v>
      </c>
      <c r="J338" s="22" t="str">
        <f t="shared" si="26"/>
        <v>Tuesday</v>
      </c>
      <c r="K338" s="23">
        <v>0.59805555555555556</v>
      </c>
      <c r="L338" s="22">
        <v>45068</v>
      </c>
      <c r="M338" s="24">
        <f>HOUR(orders!$K338)</f>
        <v>14</v>
      </c>
      <c r="N338" s="22" t="str">
        <f t="shared" si="27"/>
        <v>May</v>
      </c>
      <c r="O338" s="23">
        <v>0.85153935185185192</v>
      </c>
      <c r="P338" s="23" t="str">
        <f>_xlfn.XLOOKUP(B338,[2]customers!$A$2:$A$101,[2]customers!$C$2:$C$101)</f>
        <v>Chinsurah</v>
      </c>
      <c r="Q338" s="20" t="s">
        <v>285</v>
      </c>
      <c r="R338" s="20" t="s">
        <v>20</v>
      </c>
      <c r="S338" s="21">
        <f t="shared" si="28"/>
        <v>1605</v>
      </c>
      <c r="T338" s="25">
        <f t="shared" si="29"/>
        <v>6</v>
      </c>
    </row>
    <row r="339" spans="1:20" x14ac:dyDescent="0.3">
      <c r="A339" s="14">
        <v>338</v>
      </c>
      <c r="B339" s="14" t="s">
        <v>198</v>
      </c>
      <c r="C339" s="14">
        <v>21</v>
      </c>
      <c r="D339" s="14" t="s">
        <v>436</v>
      </c>
      <c r="E339" s="14" t="s">
        <v>429</v>
      </c>
      <c r="F339" s="14">
        <v>3</v>
      </c>
      <c r="G339" s="15">
        <f>_xlfn.XLOOKUP(C339,[1]products!$A$2:$A$71,[1]products!$D$2:$D$71)</f>
        <v>1561</v>
      </c>
      <c r="H339" s="16">
        <v>45158</v>
      </c>
      <c r="I339" s="16" t="str">
        <f t="shared" si="25"/>
        <v>August</v>
      </c>
      <c r="J339" s="16" t="str">
        <f t="shared" si="26"/>
        <v>Sunday</v>
      </c>
      <c r="K339" s="17">
        <v>0.59434027777777776</v>
      </c>
      <c r="L339" s="16">
        <v>45166</v>
      </c>
      <c r="M339" s="18">
        <f>HOUR(orders!$K339)</f>
        <v>14</v>
      </c>
      <c r="N339" s="16" t="str">
        <f t="shared" si="27"/>
        <v>August</v>
      </c>
      <c r="O339" s="17">
        <v>6.5358796296296304E-2</v>
      </c>
      <c r="P339" s="17" t="str">
        <f>_xlfn.XLOOKUP(B339,[2]customers!$A$2:$A$101,[2]customers!$C$2:$C$101)</f>
        <v>North Dumdum</v>
      </c>
      <c r="Q339" s="14" t="s">
        <v>324</v>
      </c>
      <c r="R339" s="14" t="s">
        <v>26</v>
      </c>
      <c r="S339" s="15">
        <f t="shared" si="28"/>
        <v>4683</v>
      </c>
      <c r="T339" s="19">
        <f t="shared" si="29"/>
        <v>8</v>
      </c>
    </row>
    <row r="340" spans="1:20" x14ac:dyDescent="0.3">
      <c r="A340" s="20">
        <v>339</v>
      </c>
      <c r="B340" s="20" t="s">
        <v>184</v>
      </c>
      <c r="C340" s="20">
        <v>8</v>
      </c>
      <c r="D340" s="20" t="s">
        <v>454</v>
      </c>
      <c r="E340" s="20" t="s">
        <v>427</v>
      </c>
      <c r="F340" s="20">
        <v>1</v>
      </c>
      <c r="G340" s="21">
        <f>_xlfn.XLOOKUP(C340,[1]products!$A$2:$A$71,[1]products!$D$2:$D$71)</f>
        <v>252</v>
      </c>
      <c r="H340" s="22">
        <v>45189</v>
      </c>
      <c r="I340" s="22" t="str">
        <f t="shared" si="25"/>
        <v>September</v>
      </c>
      <c r="J340" s="22" t="str">
        <f t="shared" si="26"/>
        <v>Wednesday</v>
      </c>
      <c r="K340" s="23">
        <v>0.83841435185185187</v>
      </c>
      <c r="L340" s="22">
        <v>45198</v>
      </c>
      <c r="M340" s="24">
        <f>HOUR(orders!$K340)</f>
        <v>20</v>
      </c>
      <c r="N340" s="22" t="str">
        <f t="shared" si="27"/>
        <v>September</v>
      </c>
      <c r="O340" s="23">
        <v>0.4516087962962963</v>
      </c>
      <c r="P340" s="23" t="str">
        <f>_xlfn.XLOOKUP(B340,[2]customers!$A$2:$A$101,[2]customers!$C$2:$C$101)</f>
        <v>Raurkela Industrial Township</v>
      </c>
      <c r="Q340" s="20" t="s">
        <v>25</v>
      </c>
      <c r="R340" s="20" t="s">
        <v>12</v>
      </c>
      <c r="S340" s="21">
        <f t="shared" si="28"/>
        <v>252</v>
      </c>
      <c r="T340" s="25">
        <f t="shared" si="29"/>
        <v>9</v>
      </c>
    </row>
    <row r="341" spans="1:20" x14ac:dyDescent="0.3">
      <c r="A341" s="14">
        <v>340</v>
      </c>
      <c r="B341" s="14" t="s">
        <v>268</v>
      </c>
      <c r="C341" s="14">
        <v>38</v>
      </c>
      <c r="D341" s="14" t="s">
        <v>438</v>
      </c>
      <c r="E341" s="14" t="s">
        <v>431</v>
      </c>
      <c r="F341" s="14">
        <v>3</v>
      </c>
      <c r="G341" s="15">
        <f>_xlfn.XLOOKUP(C341,[1]products!$A$2:$A$71,[1]products!$D$2:$D$71)</f>
        <v>562</v>
      </c>
      <c r="H341" s="16">
        <v>45121</v>
      </c>
      <c r="I341" s="16" t="str">
        <f t="shared" si="25"/>
        <v>July</v>
      </c>
      <c r="J341" s="16" t="str">
        <f t="shared" si="26"/>
        <v>Friday</v>
      </c>
      <c r="K341" s="17">
        <v>0.32848379629629632</v>
      </c>
      <c r="L341" s="16">
        <v>45129</v>
      </c>
      <c r="M341" s="18">
        <f>HOUR(orders!$K341)</f>
        <v>7</v>
      </c>
      <c r="N341" s="16" t="str">
        <f t="shared" si="27"/>
        <v>July</v>
      </c>
      <c r="O341" s="17">
        <v>0.12223379629629628</v>
      </c>
      <c r="P341" s="17" t="str">
        <f>_xlfn.XLOOKUP(B341,[2]customers!$A$2:$A$101,[2]customers!$C$2:$C$101)</f>
        <v>Gaya</v>
      </c>
      <c r="Q341" s="14" t="s">
        <v>222</v>
      </c>
      <c r="R341" s="14" t="s">
        <v>20</v>
      </c>
      <c r="S341" s="15">
        <f t="shared" si="28"/>
        <v>1686</v>
      </c>
      <c r="T341" s="19">
        <f t="shared" si="29"/>
        <v>8</v>
      </c>
    </row>
    <row r="342" spans="1:20" x14ac:dyDescent="0.3">
      <c r="A342" s="20">
        <v>341</v>
      </c>
      <c r="B342" s="20" t="s">
        <v>134</v>
      </c>
      <c r="C342" s="20">
        <v>9</v>
      </c>
      <c r="D342" s="20" t="s">
        <v>451</v>
      </c>
      <c r="E342" s="20" t="s">
        <v>429</v>
      </c>
      <c r="F342" s="20">
        <v>2</v>
      </c>
      <c r="G342" s="21">
        <f>_xlfn.XLOOKUP(C342,[1]products!$A$2:$A$71,[1]products!$D$2:$D$71)</f>
        <v>1605</v>
      </c>
      <c r="H342" s="22">
        <v>45158</v>
      </c>
      <c r="I342" s="22" t="str">
        <f t="shared" si="25"/>
        <v>August</v>
      </c>
      <c r="J342" s="22" t="str">
        <f t="shared" si="26"/>
        <v>Sunday</v>
      </c>
      <c r="K342" s="23">
        <v>0.62123842592592593</v>
      </c>
      <c r="L342" s="22">
        <v>45168</v>
      </c>
      <c r="M342" s="24">
        <f>HOUR(orders!$K342)</f>
        <v>14</v>
      </c>
      <c r="N342" s="22" t="str">
        <f t="shared" si="27"/>
        <v>August</v>
      </c>
      <c r="O342" s="23">
        <v>0.93903935185185183</v>
      </c>
      <c r="P342" s="23" t="str">
        <f>_xlfn.XLOOKUP(B342,[2]customers!$A$2:$A$101,[2]customers!$C$2:$C$101)</f>
        <v>Noida</v>
      </c>
      <c r="Q342" s="20" t="s">
        <v>329</v>
      </c>
      <c r="R342" s="20" t="s">
        <v>26</v>
      </c>
      <c r="S342" s="21">
        <f t="shared" si="28"/>
        <v>3210</v>
      </c>
      <c r="T342" s="25">
        <f t="shared" si="29"/>
        <v>10</v>
      </c>
    </row>
    <row r="343" spans="1:20" x14ac:dyDescent="0.3">
      <c r="A343" s="14">
        <v>342</v>
      </c>
      <c r="B343" s="14" t="s">
        <v>136</v>
      </c>
      <c r="C343" s="14">
        <v>36</v>
      </c>
      <c r="D343" s="14" t="s">
        <v>468</v>
      </c>
      <c r="E343" s="14" t="s">
        <v>447</v>
      </c>
      <c r="F343" s="14">
        <v>5</v>
      </c>
      <c r="G343" s="15">
        <f>_xlfn.XLOOKUP(C343,[1]products!$A$2:$A$71,[1]products!$D$2:$D$71)</f>
        <v>203</v>
      </c>
      <c r="H343" s="16">
        <v>45233</v>
      </c>
      <c r="I343" s="16" t="str">
        <f t="shared" si="25"/>
        <v>November</v>
      </c>
      <c r="J343" s="16" t="str">
        <f t="shared" si="26"/>
        <v>Friday</v>
      </c>
      <c r="K343" s="17">
        <v>0.16924768518518518</v>
      </c>
      <c r="L343" s="16">
        <v>45238</v>
      </c>
      <c r="M343" s="18">
        <f>HOUR(orders!$K343)</f>
        <v>4</v>
      </c>
      <c r="N343" s="16" t="str">
        <f t="shared" si="27"/>
        <v>November</v>
      </c>
      <c r="O343" s="17">
        <v>0.68490740740740741</v>
      </c>
      <c r="P343" s="17" t="str">
        <f>_xlfn.XLOOKUP(B343,[2]customers!$A$2:$A$101,[2]customers!$C$2:$C$101)</f>
        <v>Nagpur</v>
      </c>
      <c r="Q343" s="14" t="s">
        <v>141</v>
      </c>
      <c r="R343" s="14" t="s">
        <v>20</v>
      </c>
      <c r="S343" s="15">
        <f t="shared" si="28"/>
        <v>1015</v>
      </c>
      <c r="T343" s="19">
        <f t="shared" si="29"/>
        <v>5</v>
      </c>
    </row>
    <row r="344" spans="1:20" x14ac:dyDescent="0.3">
      <c r="A344" s="20">
        <v>343</v>
      </c>
      <c r="B344" s="20" t="s">
        <v>90</v>
      </c>
      <c r="C344" s="20">
        <v>66</v>
      </c>
      <c r="D344" s="20" t="s">
        <v>456</v>
      </c>
      <c r="E344" s="20" t="s">
        <v>429</v>
      </c>
      <c r="F344" s="20">
        <v>3</v>
      </c>
      <c r="G344" s="21">
        <f>_xlfn.XLOOKUP(C344,[1]products!$A$2:$A$71,[1]products!$D$2:$D$71)</f>
        <v>610</v>
      </c>
      <c r="H344" s="22">
        <v>44991</v>
      </c>
      <c r="I344" s="22" t="str">
        <f t="shared" si="25"/>
        <v>March</v>
      </c>
      <c r="J344" s="22" t="str">
        <f t="shared" si="26"/>
        <v>Monday</v>
      </c>
      <c r="K344" s="23">
        <v>0.59212962962962956</v>
      </c>
      <c r="L344" s="22">
        <v>44994</v>
      </c>
      <c r="M344" s="24">
        <f>HOUR(orders!$K344)</f>
        <v>14</v>
      </c>
      <c r="N344" s="22" t="str">
        <f t="shared" si="27"/>
        <v>March</v>
      </c>
      <c r="O344" s="23">
        <v>0.39380787037037041</v>
      </c>
      <c r="P344" s="23" t="str">
        <f>_xlfn.XLOOKUP(B344,[2]customers!$A$2:$A$101,[2]customers!$C$2:$C$101)</f>
        <v>Karimnagar</v>
      </c>
      <c r="Q344" s="20" t="s">
        <v>330</v>
      </c>
      <c r="R344" s="20" t="s">
        <v>36</v>
      </c>
      <c r="S344" s="21">
        <f t="shared" si="28"/>
        <v>1830</v>
      </c>
      <c r="T344" s="25">
        <f t="shared" si="29"/>
        <v>3</v>
      </c>
    </row>
    <row r="345" spans="1:20" x14ac:dyDescent="0.3">
      <c r="A345" s="14">
        <v>344</v>
      </c>
      <c r="B345" s="14" t="s">
        <v>97</v>
      </c>
      <c r="C345" s="14">
        <v>28</v>
      </c>
      <c r="D345" s="14" t="s">
        <v>432</v>
      </c>
      <c r="E345" s="14" t="s">
        <v>427</v>
      </c>
      <c r="F345" s="14">
        <v>5</v>
      </c>
      <c r="G345" s="15">
        <f>_xlfn.XLOOKUP(C345,[1]products!$A$2:$A$71,[1]products!$D$2:$D$71)</f>
        <v>1778</v>
      </c>
      <c r="H345" s="16">
        <v>45167</v>
      </c>
      <c r="I345" s="16" t="str">
        <f t="shared" si="25"/>
        <v>August</v>
      </c>
      <c r="J345" s="16" t="str">
        <f t="shared" si="26"/>
        <v>Tuesday</v>
      </c>
      <c r="K345" s="17">
        <v>0.71275462962962965</v>
      </c>
      <c r="L345" s="16">
        <v>45172</v>
      </c>
      <c r="M345" s="18">
        <f>HOUR(orders!$K345)</f>
        <v>17</v>
      </c>
      <c r="N345" s="16" t="str">
        <f t="shared" si="27"/>
        <v>September</v>
      </c>
      <c r="O345" s="17">
        <v>0.26952546296296298</v>
      </c>
      <c r="P345" s="17" t="str">
        <f>_xlfn.XLOOKUP(B345,[2]customers!$A$2:$A$101,[2]customers!$C$2:$C$101)</f>
        <v>Machilipatnam</v>
      </c>
      <c r="Q345" s="14" t="s">
        <v>229</v>
      </c>
      <c r="R345" s="14" t="s">
        <v>26</v>
      </c>
      <c r="S345" s="15">
        <f t="shared" si="28"/>
        <v>8890</v>
      </c>
      <c r="T345" s="19">
        <f t="shared" si="29"/>
        <v>5</v>
      </c>
    </row>
    <row r="346" spans="1:20" x14ac:dyDescent="0.3">
      <c r="A346" s="20">
        <v>345</v>
      </c>
      <c r="B346" s="20" t="s">
        <v>45</v>
      </c>
      <c r="C346" s="20">
        <v>45</v>
      </c>
      <c r="D346" s="20" t="s">
        <v>433</v>
      </c>
      <c r="E346" s="20" t="s">
        <v>26</v>
      </c>
      <c r="F346" s="20">
        <v>4</v>
      </c>
      <c r="G346" s="21">
        <f>_xlfn.XLOOKUP(C346,[1]products!$A$2:$A$71,[1]products!$D$2:$D$71)</f>
        <v>722</v>
      </c>
      <c r="H346" s="22">
        <v>45184</v>
      </c>
      <c r="I346" s="22" t="str">
        <f t="shared" si="25"/>
        <v>September</v>
      </c>
      <c r="J346" s="22" t="str">
        <f t="shared" si="26"/>
        <v>Friday</v>
      </c>
      <c r="K346" s="23">
        <v>0.65326388888888887</v>
      </c>
      <c r="L346" s="22">
        <v>45192</v>
      </c>
      <c r="M346" s="24">
        <f>HOUR(orders!$K346)</f>
        <v>15</v>
      </c>
      <c r="N346" s="22" t="str">
        <f t="shared" si="27"/>
        <v>September</v>
      </c>
      <c r="O346" s="23">
        <v>0.96633101851851855</v>
      </c>
      <c r="P346" s="23" t="str">
        <f>_xlfn.XLOOKUP(B346,[2]customers!$A$2:$A$101,[2]customers!$C$2:$C$101)</f>
        <v>Haridwar</v>
      </c>
      <c r="Q346" s="20" t="s">
        <v>313</v>
      </c>
      <c r="R346" s="20" t="s">
        <v>20</v>
      </c>
      <c r="S346" s="21">
        <f t="shared" si="28"/>
        <v>2888</v>
      </c>
      <c r="T346" s="25">
        <f t="shared" si="29"/>
        <v>8</v>
      </c>
    </row>
    <row r="347" spans="1:20" x14ac:dyDescent="0.3">
      <c r="A347" s="14">
        <v>346</v>
      </c>
      <c r="B347" s="14" t="s">
        <v>52</v>
      </c>
      <c r="C347" s="14">
        <v>50</v>
      </c>
      <c r="D347" s="14" t="s">
        <v>487</v>
      </c>
      <c r="E347" s="14" t="s">
        <v>447</v>
      </c>
      <c r="F347" s="14">
        <v>1</v>
      </c>
      <c r="G347" s="15">
        <f>_xlfn.XLOOKUP(C347,[1]products!$A$2:$A$71,[1]products!$D$2:$D$71)</f>
        <v>422</v>
      </c>
      <c r="H347" s="16">
        <v>44989</v>
      </c>
      <c r="I347" s="16" t="str">
        <f t="shared" si="25"/>
        <v>March</v>
      </c>
      <c r="J347" s="16" t="str">
        <f t="shared" si="26"/>
        <v>Saturday</v>
      </c>
      <c r="K347" s="17">
        <v>0.9751967592592593</v>
      </c>
      <c r="L347" s="16">
        <v>44997</v>
      </c>
      <c r="M347" s="18">
        <f>HOUR(orders!$K347)</f>
        <v>23</v>
      </c>
      <c r="N347" s="16" t="str">
        <f t="shared" si="27"/>
        <v>March</v>
      </c>
      <c r="O347" s="17">
        <v>0.69900462962962961</v>
      </c>
      <c r="P347" s="17" t="str">
        <f>_xlfn.XLOOKUP(B347,[2]customers!$A$2:$A$101,[2]customers!$C$2:$C$101)</f>
        <v>Anantapuram</v>
      </c>
      <c r="Q347" s="14" t="s">
        <v>246</v>
      </c>
      <c r="R347" s="14" t="s">
        <v>36</v>
      </c>
      <c r="S347" s="15">
        <f t="shared" si="28"/>
        <v>422</v>
      </c>
      <c r="T347" s="19">
        <f t="shared" si="29"/>
        <v>8</v>
      </c>
    </row>
    <row r="348" spans="1:20" x14ac:dyDescent="0.3">
      <c r="A348" s="20">
        <v>347</v>
      </c>
      <c r="B348" s="20" t="s">
        <v>331</v>
      </c>
      <c r="C348" s="20">
        <v>34</v>
      </c>
      <c r="D348" s="20" t="s">
        <v>472</v>
      </c>
      <c r="E348" s="20" t="s">
        <v>445</v>
      </c>
      <c r="F348" s="20">
        <v>2</v>
      </c>
      <c r="G348" s="21">
        <f>_xlfn.XLOOKUP(C348,[1]products!$A$2:$A$71,[1]products!$D$2:$D$71)</f>
        <v>1335</v>
      </c>
      <c r="H348" s="22">
        <v>45167</v>
      </c>
      <c r="I348" s="22" t="str">
        <f t="shared" si="25"/>
        <v>August</v>
      </c>
      <c r="J348" s="22" t="str">
        <f t="shared" si="26"/>
        <v>Tuesday</v>
      </c>
      <c r="K348" s="23">
        <v>0.40718750000000004</v>
      </c>
      <c r="L348" s="22">
        <v>45177</v>
      </c>
      <c r="M348" s="24">
        <f>HOUR(orders!$K348)</f>
        <v>9</v>
      </c>
      <c r="N348" s="22" t="str">
        <f t="shared" si="27"/>
        <v>September</v>
      </c>
      <c r="O348" s="23">
        <v>0.35913194444444446</v>
      </c>
      <c r="P348" s="23" t="str">
        <f>_xlfn.XLOOKUP(B348,[2]customers!$A$2:$A$101,[2]customers!$C$2:$C$101)</f>
        <v>Bhatpara</v>
      </c>
      <c r="Q348" s="20" t="s">
        <v>332</v>
      </c>
      <c r="R348" s="20" t="s">
        <v>26</v>
      </c>
      <c r="S348" s="21">
        <f t="shared" si="28"/>
        <v>2670</v>
      </c>
      <c r="T348" s="25">
        <f t="shared" si="29"/>
        <v>10</v>
      </c>
    </row>
    <row r="349" spans="1:20" x14ac:dyDescent="0.3">
      <c r="A349" s="14">
        <v>348</v>
      </c>
      <c r="B349" s="14" t="s">
        <v>150</v>
      </c>
      <c r="C349" s="14">
        <v>30</v>
      </c>
      <c r="D349" s="14" t="s">
        <v>449</v>
      </c>
      <c r="E349" s="14" t="s">
        <v>429</v>
      </c>
      <c r="F349" s="14">
        <v>2</v>
      </c>
      <c r="G349" s="15">
        <f>_xlfn.XLOOKUP(C349,[1]products!$A$2:$A$71,[1]products!$D$2:$D$71)</f>
        <v>751</v>
      </c>
      <c r="H349" s="16">
        <v>45258</v>
      </c>
      <c r="I349" s="16" t="str">
        <f t="shared" si="25"/>
        <v>November</v>
      </c>
      <c r="J349" s="16" t="str">
        <f t="shared" si="26"/>
        <v>Tuesday</v>
      </c>
      <c r="K349" s="17">
        <v>0.85667824074074073</v>
      </c>
      <c r="L349" s="16">
        <v>45267</v>
      </c>
      <c r="M349" s="18">
        <f>HOUR(orders!$K349)</f>
        <v>20</v>
      </c>
      <c r="N349" s="16" t="str">
        <f t="shared" si="27"/>
        <v>December</v>
      </c>
      <c r="O349" s="17">
        <v>0.50207175925925929</v>
      </c>
      <c r="P349" s="17" t="str">
        <f>_xlfn.XLOOKUP(B349,[2]customers!$A$2:$A$101,[2]customers!$C$2:$C$101)</f>
        <v>Satara</v>
      </c>
      <c r="Q349" s="14" t="s">
        <v>143</v>
      </c>
      <c r="R349" s="14" t="s">
        <v>12</v>
      </c>
      <c r="S349" s="15">
        <f t="shared" si="28"/>
        <v>1502</v>
      </c>
      <c r="T349" s="19">
        <f t="shared" si="29"/>
        <v>9</v>
      </c>
    </row>
    <row r="350" spans="1:20" x14ac:dyDescent="0.3">
      <c r="A350" s="20">
        <v>349</v>
      </c>
      <c r="B350" s="20" t="s">
        <v>125</v>
      </c>
      <c r="C350" s="20">
        <v>44</v>
      </c>
      <c r="D350" s="20" t="s">
        <v>470</v>
      </c>
      <c r="E350" s="20" t="s">
        <v>447</v>
      </c>
      <c r="F350" s="20">
        <v>4</v>
      </c>
      <c r="G350" s="21">
        <f>_xlfn.XLOOKUP(C350,[1]products!$A$2:$A$71,[1]products!$D$2:$D$71)</f>
        <v>794</v>
      </c>
      <c r="H350" s="22">
        <v>45241</v>
      </c>
      <c r="I350" s="22" t="str">
        <f t="shared" si="25"/>
        <v>November</v>
      </c>
      <c r="J350" s="22" t="str">
        <f t="shared" si="26"/>
        <v>Saturday</v>
      </c>
      <c r="K350" s="23">
        <v>0.14765046296296297</v>
      </c>
      <c r="L350" s="22">
        <v>45242</v>
      </c>
      <c r="M350" s="24">
        <f>HOUR(orders!$K350)</f>
        <v>3</v>
      </c>
      <c r="N350" s="22" t="str">
        <f t="shared" si="27"/>
        <v>November</v>
      </c>
      <c r="O350" s="23">
        <v>0.43834490740740745</v>
      </c>
      <c r="P350" s="23" t="str">
        <f>_xlfn.XLOOKUP(B350,[2]customers!$A$2:$A$101,[2]customers!$C$2:$C$101)</f>
        <v>Gangtok</v>
      </c>
      <c r="Q350" s="20" t="s">
        <v>276</v>
      </c>
      <c r="R350" s="20" t="s">
        <v>15</v>
      </c>
      <c r="S350" s="21">
        <f t="shared" si="28"/>
        <v>3176</v>
      </c>
      <c r="T350" s="25">
        <f t="shared" si="29"/>
        <v>1</v>
      </c>
    </row>
    <row r="351" spans="1:20" x14ac:dyDescent="0.3">
      <c r="A351" s="14">
        <v>350</v>
      </c>
      <c r="B351" s="14" t="s">
        <v>97</v>
      </c>
      <c r="C351" s="14">
        <v>19</v>
      </c>
      <c r="D351" s="14" t="s">
        <v>457</v>
      </c>
      <c r="E351" s="14" t="s">
        <v>458</v>
      </c>
      <c r="F351" s="14">
        <v>3</v>
      </c>
      <c r="G351" s="15">
        <f>_xlfn.XLOOKUP(C351,[1]products!$A$2:$A$71,[1]products!$D$2:$D$71)</f>
        <v>1234</v>
      </c>
      <c r="H351" s="16">
        <v>44970</v>
      </c>
      <c r="I351" s="16" t="str">
        <f t="shared" si="25"/>
        <v>February</v>
      </c>
      <c r="J351" s="16" t="str">
        <f t="shared" si="26"/>
        <v>Monday</v>
      </c>
      <c r="K351" s="17">
        <v>0.51593750000000005</v>
      </c>
      <c r="L351" s="16">
        <v>44979</v>
      </c>
      <c r="M351" s="18">
        <f>HOUR(orders!$K351)</f>
        <v>12</v>
      </c>
      <c r="N351" s="16" t="str">
        <f t="shared" si="27"/>
        <v>February</v>
      </c>
      <c r="O351" s="17">
        <v>0.68483796296296295</v>
      </c>
      <c r="P351" s="17" t="str">
        <f>_xlfn.XLOOKUP(B351,[2]customers!$A$2:$A$101,[2]customers!$C$2:$C$101)</f>
        <v>Machilipatnam</v>
      </c>
      <c r="Q351" s="14" t="s">
        <v>190</v>
      </c>
      <c r="R351" s="14" t="s">
        <v>23</v>
      </c>
      <c r="S351" s="15">
        <f t="shared" si="28"/>
        <v>3702</v>
      </c>
      <c r="T351" s="19">
        <f t="shared" si="29"/>
        <v>9</v>
      </c>
    </row>
    <row r="352" spans="1:20" x14ac:dyDescent="0.3">
      <c r="A352" s="20">
        <v>351</v>
      </c>
      <c r="B352" s="20" t="s">
        <v>32</v>
      </c>
      <c r="C352" s="20">
        <v>1</v>
      </c>
      <c r="D352" s="20" t="s">
        <v>479</v>
      </c>
      <c r="E352" s="20" t="s">
        <v>445</v>
      </c>
      <c r="F352" s="20">
        <v>1</v>
      </c>
      <c r="G352" s="21">
        <f>_xlfn.XLOOKUP(C352,[1]products!$A$2:$A$71,[1]products!$D$2:$D$71)</f>
        <v>1935</v>
      </c>
      <c r="H352" s="22">
        <v>44942</v>
      </c>
      <c r="I352" s="22" t="str">
        <f t="shared" si="25"/>
        <v>January</v>
      </c>
      <c r="J352" s="22" t="str">
        <f t="shared" si="26"/>
        <v>Monday</v>
      </c>
      <c r="K352" s="23">
        <v>0.63271990740740736</v>
      </c>
      <c r="L352" s="22">
        <v>44951</v>
      </c>
      <c r="M352" s="24">
        <f>HOUR(orders!$K352)</f>
        <v>15</v>
      </c>
      <c r="N352" s="22" t="str">
        <f t="shared" si="27"/>
        <v>January</v>
      </c>
      <c r="O352" s="23">
        <v>0.93748842592592585</v>
      </c>
      <c r="P352" s="23" t="str">
        <f>_xlfn.XLOOKUP(B352,[2]customers!$A$2:$A$101,[2]customers!$C$2:$C$101)</f>
        <v>Dhanbad</v>
      </c>
      <c r="Q352" s="20" t="s">
        <v>234</v>
      </c>
      <c r="R352" s="20" t="s">
        <v>60</v>
      </c>
      <c r="S352" s="21">
        <f t="shared" si="28"/>
        <v>1935</v>
      </c>
      <c r="T352" s="25">
        <f t="shared" si="29"/>
        <v>9</v>
      </c>
    </row>
    <row r="353" spans="1:20" x14ac:dyDescent="0.3">
      <c r="A353" s="14">
        <v>352</v>
      </c>
      <c r="B353" s="14" t="s">
        <v>86</v>
      </c>
      <c r="C353" s="14">
        <v>28</v>
      </c>
      <c r="D353" s="14" t="s">
        <v>432</v>
      </c>
      <c r="E353" s="14" t="s">
        <v>427</v>
      </c>
      <c r="F353" s="14">
        <v>1</v>
      </c>
      <c r="G353" s="15">
        <f>_xlfn.XLOOKUP(C353,[1]products!$A$2:$A$71,[1]products!$D$2:$D$71)</f>
        <v>1778</v>
      </c>
      <c r="H353" s="16">
        <v>45161</v>
      </c>
      <c r="I353" s="16" t="str">
        <f t="shared" si="25"/>
        <v>August</v>
      </c>
      <c r="J353" s="16" t="str">
        <f t="shared" si="26"/>
        <v>Wednesday</v>
      </c>
      <c r="K353" s="17">
        <v>0.99288194444444444</v>
      </c>
      <c r="L353" s="16">
        <v>45171</v>
      </c>
      <c r="M353" s="18">
        <f>HOUR(orders!$K353)</f>
        <v>23</v>
      </c>
      <c r="N353" s="16" t="str">
        <f t="shared" si="27"/>
        <v>September</v>
      </c>
      <c r="O353" s="17">
        <v>0.38532407407407404</v>
      </c>
      <c r="P353" s="17" t="str">
        <f>_xlfn.XLOOKUP(B353,[2]customers!$A$2:$A$101,[2]customers!$C$2:$C$101)</f>
        <v>Bhopal</v>
      </c>
      <c r="Q353" s="14" t="s">
        <v>313</v>
      </c>
      <c r="R353" s="14" t="s">
        <v>26</v>
      </c>
      <c r="S353" s="15">
        <f t="shared" si="28"/>
        <v>1778</v>
      </c>
      <c r="T353" s="19">
        <f t="shared" si="29"/>
        <v>10</v>
      </c>
    </row>
    <row r="354" spans="1:20" x14ac:dyDescent="0.3">
      <c r="A354" s="20">
        <v>353</v>
      </c>
      <c r="B354" s="20" t="s">
        <v>253</v>
      </c>
      <c r="C354" s="20">
        <v>55</v>
      </c>
      <c r="D354" s="20" t="s">
        <v>491</v>
      </c>
      <c r="E354" s="20" t="s">
        <v>445</v>
      </c>
      <c r="F354" s="20">
        <v>2</v>
      </c>
      <c r="G354" s="21">
        <f>_xlfn.XLOOKUP(C354,[1]products!$A$2:$A$71,[1]products!$D$2:$D$71)</f>
        <v>1904</v>
      </c>
      <c r="H354" s="22">
        <v>45159</v>
      </c>
      <c r="I354" s="22" t="str">
        <f t="shared" si="25"/>
        <v>August</v>
      </c>
      <c r="J354" s="22" t="str">
        <f t="shared" si="26"/>
        <v>Monday</v>
      </c>
      <c r="K354" s="23">
        <v>0.40517361111111111</v>
      </c>
      <c r="L354" s="22">
        <v>45162</v>
      </c>
      <c r="M354" s="24">
        <f>HOUR(orders!$K354)</f>
        <v>9</v>
      </c>
      <c r="N354" s="22" t="str">
        <f t="shared" si="27"/>
        <v>August</v>
      </c>
      <c r="O354" s="23">
        <v>0.59182870370370366</v>
      </c>
      <c r="P354" s="23" t="str">
        <f>_xlfn.XLOOKUP(B354,[2]customers!$A$2:$A$101,[2]customers!$C$2:$C$101)</f>
        <v>Nellore</v>
      </c>
      <c r="Q354" s="20" t="s">
        <v>293</v>
      </c>
      <c r="R354" s="20" t="s">
        <v>26</v>
      </c>
      <c r="S354" s="21">
        <f t="shared" si="28"/>
        <v>3808</v>
      </c>
      <c r="T354" s="25">
        <f t="shared" si="29"/>
        <v>3</v>
      </c>
    </row>
    <row r="355" spans="1:20" x14ac:dyDescent="0.3">
      <c r="A355" s="14">
        <v>354</v>
      </c>
      <c r="B355" s="14" t="s">
        <v>198</v>
      </c>
      <c r="C355" s="14">
        <v>13</v>
      </c>
      <c r="D355" s="14" t="s">
        <v>495</v>
      </c>
      <c r="E355" s="14" t="s">
        <v>458</v>
      </c>
      <c r="F355" s="14">
        <v>5</v>
      </c>
      <c r="G355" s="15">
        <f>_xlfn.XLOOKUP(C355,[1]products!$A$2:$A$71,[1]products!$D$2:$D$71)</f>
        <v>1141</v>
      </c>
      <c r="H355" s="16">
        <v>44983</v>
      </c>
      <c r="I355" s="16" t="str">
        <f t="shared" si="25"/>
        <v>February</v>
      </c>
      <c r="J355" s="16" t="str">
        <f t="shared" si="26"/>
        <v>Sunday</v>
      </c>
      <c r="K355" s="17">
        <v>0.72601851851851851</v>
      </c>
      <c r="L355" s="16">
        <v>44991</v>
      </c>
      <c r="M355" s="18">
        <f>HOUR(orders!$K355)</f>
        <v>17</v>
      </c>
      <c r="N355" s="16" t="str">
        <f t="shared" si="27"/>
        <v>March</v>
      </c>
      <c r="O355" s="17">
        <v>0.40523148148148147</v>
      </c>
      <c r="P355" s="17" t="str">
        <f>_xlfn.XLOOKUP(B355,[2]customers!$A$2:$A$101,[2]customers!$C$2:$C$101)</f>
        <v>North Dumdum</v>
      </c>
      <c r="Q355" s="14" t="s">
        <v>160</v>
      </c>
      <c r="R355" s="14" t="s">
        <v>36</v>
      </c>
      <c r="S355" s="15">
        <f t="shared" si="28"/>
        <v>5705</v>
      </c>
      <c r="T355" s="19">
        <f t="shared" si="29"/>
        <v>8</v>
      </c>
    </row>
    <row r="356" spans="1:20" x14ac:dyDescent="0.3">
      <c r="A356" s="20">
        <v>355</v>
      </c>
      <c r="B356" s="20" t="s">
        <v>32</v>
      </c>
      <c r="C356" s="20">
        <v>10</v>
      </c>
      <c r="D356" s="20" t="s">
        <v>452</v>
      </c>
      <c r="E356" s="20" t="s">
        <v>431</v>
      </c>
      <c r="F356" s="20">
        <v>1</v>
      </c>
      <c r="G356" s="21">
        <f>_xlfn.XLOOKUP(C356,[1]products!$A$2:$A$71,[1]products!$D$2:$D$71)</f>
        <v>259</v>
      </c>
      <c r="H356" s="22">
        <v>45284</v>
      </c>
      <c r="I356" s="22" t="str">
        <f t="shared" si="25"/>
        <v>December</v>
      </c>
      <c r="J356" s="22" t="str">
        <f t="shared" si="26"/>
        <v>Sunday</v>
      </c>
      <c r="K356" s="23">
        <v>0.20328703703703702</v>
      </c>
      <c r="L356" s="22">
        <v>45293</v>
      </c>
      <c r="M356" s="24">
        <f>HOUR(orders!$K356)</f>
        <v>4</v>
      </c>
      <c r="N356" s="22" t="str">
        <f t="shared" si="27"/>
        <v>January</v>
      </c>
      <c r="O356" s="23">
        <v>0.40177083333333335</v>
      </c>
      <c r="P356" s="23" t="str">
        <f>_xlfn.XLOOKUP(B356,[2]customers!$A$2:$A$101,[2]customers!$C$2:$C$101)</f>
        <v>Dhanbad</v>
      </c>
      <c r="Q356" s="20" t="s">
        <v>195</v>
      </c>
      <c r="R356" s="20" t="s">
        <v>20</v>
      </c>
      <c r="S356" s="21">
        <f t="shared" si="28"/>
        <v>259</v>
      </c>
      <c r="T356" s="25">
        <f t="shared" si="29"/>
        <v>9</v>
      </c>
    </row>
    <row r="357" spans="1:20" x14ac:dyDescent="0.3">
      <c r="A357" s="14">
        <v>356</v>
      </c>
      <c r="B357" s="14" t="s">
        <v>134</v>
      </c>
      <c r="C357" s="14">
        <v>14</v>
      </c>
      <c r="D357" s="14" t="s">
        <v>428</v>
      </c>
      <c r="E357" s="14" t="s">
        <v>429</v>
      </c>
      <c r="F357" s="14">
        <v>1</v>
      </c>
      <c r="G357" s="15">
        <f>_xlfn.XLOOKUP(C357,[1]products!$A$2:$A$71,[1]products!$D$2:$D$71)</f>
        <v>1915</v>
      </c>
      <c r="H357" s="16">
        <v>45115</v>
      </c>
      <c r="I357" s="16" t="str">
        <f t="shared" si="25"/>
        <v>July</v>
      </c>
      <c r="J357" s="16" t="str">
        <f t="shared" si="26"/>
        <v>Saturday</v>
      </c>
      <c r="K357" s="17">
        <v>2.8935185185185185E-2</v>
      </c>
      <c r="L357" s="16">
        <v>45116</v>
      </c>
      <c r="M357" s="18">
        <f>HOUR(orders!$K357)</f>
        <v>0</v>
      </c>
      <c r="N357" s="16" t="str">
        <f t="shared" si="27"/>
        <v>July</v>
      </c>
      <c r="O357" s="17">
        <v>0.18868055555555555</v>
      </c>
      <c r="P357" s="17" t="str">
        <f>_xlfn.XLOOKUP(B357,[2]customers!$A$2:$A$101,[2]customers!$C$2:$C$101)</f>
        <v>Noida</v>
      </c>
      <c r="Q357" s="14" t="s">
        <v>282</v>
      </c>
      <c r="R357" s="14" t="s">
        <v>20</v>
      </c>
      <c r="S357" s="15">
        <f t="shared" si="28"/>
        <v>1915</v>
      </c>
      <c r="T357" s="19">
        <f t="shared" si="29"/>
        <v>1</v>
      </c>
    </row>
    <row r="358" spans="1:20" x14ac:dyDescent="0.3">
      <c r="A358" s="20">
        <v>357</v>
      </c>
      <c r="B358" s="20" t="s">
        <v>64</v>
      </c>
      <c r="C358" s="20">
        <v>62</v>
      </c>
      <c r="D358" s="20" t="s">
        <v>442</v>
      </c>
      <c r="E358" s="20" t="s">
        <v>429</v>
      </c>
      <c r="F358" s="20">
        <v>4</v>
      </c>
      <c r="G358" s="21">
        <f>_xlfn.XLOOKUP(C358,[1]products!$A$2:$A$71,[1]products!$D$2:$D$71)</f>
        <v>1356</v>
      </c>
      <c r="H358" s="22">
        <v>44988</v>
      </c>
      <c r="I358" s="22" t="str">
        <f t="shared" si="25"/>
        <v>March</v>
      </c>
      <c r="J358" s="22" t="str">
        <f t="shared" si="26"/>
        <v>Friday</v>
      </c>
      <c r="K358" s="23">
        <v>0.83423611111111118</v>
      </c>
      <c r="L358" s="22">
        <v>44998</v>
      </c>
      <c r="M358" s="24">
        <f>HOUR(orders!$K358)</f>
        <v>20</v>
      </c>
      <c r="N358" s="22" t="str">
        <f t="shared" si="27"/>
        <v>March</v>
      </c>
      <c r="O358" s="23">
        <v>0.87192129629629633</v>
      </c>
      <c r="P358" s="23" t="str">
        <f>_xlfn.XLOOKUP(B358,[2]customers!$A$2:$A$101,[2]customers!$C$2:$C$101)</f>
        <v>Jamnagar</v>
      </c>
      <c r="Q358" s="20" t="s">
        <v>333</v>
      </c>
      <c r="R358" s="20" t="s">
        <v>36</v>
      </c>
      <c r="S358" s="21">
        <f t="shared" si="28"/>
        <v>5424</v>
      </c>
      <c r="T358" s="25">
        <f t="shared" si="29"/>
        <v>10</v>
      </c>
    </row>
    <row r="359" spans="1:20" x14ac:dyDescent="0.3">
      <c r="A359" s="14">
        <v>358</v>
      </c>
      <c r="B359" s="14" t="s">
        <v>24</v>
      </c>
      <c r="C359" s="14">
        <v>55</v>
      </c>
      <c r="D359" s="14" t="s">
        <v>491</v>
      </c>
      <c r="E359" s="14" t="s">
        <v>445</v>
      </c>
      <c r="F359" s="14">
        <v>1</v>
      </c>
      <c r="G359" s="15">
        <f>_xlfn.XLOOKUP(C359,[1]products!$A$2:$A$71,[1]products!$D$2:$D$71)</f>
        <v>1904</v>
      </c>
      <c r="H359" s="16">
        <v>45158</v>
      </c>
      <c r="I359" s="16" t="str">
        <f t="shared" si="25"/>
        <v>August</v>
      </c>
      <c r="J359" s="16" t="str">
        <f t="shared" si="26"/>
        <v>Sunday</v>
      </c>
      <c r="K359" s="17">
        <v>0.7038078703703704</v>
      </c>
      <c r="L359" s="16">
        <v>45163</v>
      </c>
      <c r="M359" s="18">
        <f>HOUR(orders!$K359)</f>
        <v>16</v>
      </c>
      <c r="N359" s="16" t="str">
        <f t="shared" si="27"/>
        <v>August</v>
      </c>
      <c r="O359" s="17">
        <v>0.56292824074074077</v>
      </c>
      <c r="P359" s="17" t="str">
        <f>_xlfn.XLOOKUP(B359,[2]customers!$A$2:$A$101,[2]customers!$C$2:$C$101)</f>
        <v>Pallavaram</v>
      </c>
      <c r="Q359" s="14" t="s">
        <v>334</v>
      </c>
      <c r="R359" s="14" t="s">
        <v>26</v>
      </c>
      <c r="S359" s="15">
        <f t="shared" si="28"/>
        <v>1904</v>
      </c>
      <c r="T359" s="19">
        <f t="shared" si="29"/>
        <v>5</v>
      </c>
    </row>
    <row r="360" spans="1:20" x14ac:dyDescent="0.3">
      <c r="A360" s="20">
        <v>359</v>
      </c>
      <c r="B360" s="20" t="s">
        <v>288</v>
      </c>
      <c r="C360" s="20">
        <v>47</v>
      </c>
      <c r="D360" s="20" t="s">
        <v>480</v>
      </c>
      <c r="E360" s="20" t="s">
        <v>429</v>
      </c>
      <c r="F360" s="20">
        <v>2</v>
      </c>
      <c r="G360" s="21">
        <f>_xlfn.XLOOKUP(C360,[1]products!$A$2:$A$71,[1]products!$D$2:$D$71)</f>
        <v>1638</v>
      </c>
      <c r="H360" s="22">
        <v>44985</v>
      </c>
      <c r="I360" s="22" t="str">
        <f t="shared" si="25"/>
        <v>February</v>
      </c>
      <c r="J360" s="22" t="str">
        <f t="shared" si="26"/>
        <v>Tuesday</v>
      </c>
      <c r="K360" s="23">
        <v>0.50944444444444448</v>
      </c>
      <c r="L360" s="22">
        <v>44990</v>
      </c>
      <c r="M360" s="24">
        <f>HOUR(orders!$K360)</f>
        <v>12</v>
      </c>
      <c r="N360" s="22" t="str">
        <f t="shared" si="27"/>
        <v>March</v>
      </c>
      <c r="O360" s="23">
        <v>0.85520833333333324</v>
      </c>
      <c r="P360" s="23" t="str">
        <f>_xlfn.XLOOKUP(B360,[2]customers!$A$2:$A$101,[2]customers!$C$2:$C$101)</f>
        <v>Dhanbad</v>
      </c>
      <c r="Q360" s="20" t="s">
        <v>309</v>
      </c>
      <c r="R360" s="20" t="s">
        <v>36</v>
      </c>
      <c r="S360" s="21">
        <f t="shared" si="28"/>
        <v>3276</v>
      </c>
      <c r="T360" s="25">
        <f t="shared" si="29"/>
        <v>5</v>
      </c>
    </row>
    <row r="361" spans="1:20" x14ac:dyDescent="0.3">
      <c r="A361" s="14">
        <v>360</v>
      </c>
      <c r="B361" s="14" t="s">
        <v>32</v>
      </c>
      <c r="C361" s="14">
        <v>41</v>
      </c>
      <c r="D361" s="14" t="s">
        <v>426</v>
      </c>
      <c r="E361" s="14" t="s">
        <v>427</v>
      </c>
      <c r="F361" s="14">
        <v>1</v>
      </c>
      <c r="G361" s="15">
        <f>_xlfn.XLOOKUP(C361,[1]products!$A$2:$A$71,[1]products!$D$2:$D$71)</f>
        <v>1977</v>
      </c>
      <c r="H361" s="16">
        <v>45236</v>
      </c>
      <c r="I361" s="16" t="str">
        <f t="shared" si="25"/>
        <v>November</v>
      </c>
      <c r="J361" s="16" t="str">
        <f t="shared" si="26"/>
        <v>Monday</v>
      </c>
      <c r="K361" s="17">
        <v>0.1332986111111111</v>
      </c>
      <c r="L361" s="16">
        <v>45239</v>
      </c>
      <c r="M361" s="18">
        <f>HOUR(orders!$K361)</f>
        <v>3</v>
      </c>
      <c r="N361" s="16" t="str">
        <f t="shared" si="27"/>
        <v>November</v>
      </c>
      <c r="O361" s="17">
        <v>0.73994212962962969</v>
      </c>
      <c r="P361" s="17" t="str">
        <f>_xlfn.XLOOKUP(B361,[2]customers!$A$2:$A$101,[2]customers!$C$2:$C$101)</f>
        <v>Dhanbad</v>
      </c>
      <c r="Q361" s="14" t="s">
        <v>35</v>
      </c>
      <c r="R361" s="14" t="s">
        <v>15</v>
      </c>
      <c r="S361" s="15">
        <f t="shared" si="28"/>
        <v>1977</v>
      </c>
      <c r="T361" s="19">
        <f t="shared" si="29"/>
        <v>3</v>
      </c>
    </row>
    <row r="362" spans="1:20" x14ac:dyDescent="0.3">
      <c r="A362" s="20">
        <v>361</v>
      </c>
      <c r="B362" s="20" t="s">
        <v>218</v>
      </c>
      <c r="C362" s="20">
        <v>47</v>
      </c>
      <c r="D362" s="20" t="s">
        <v>480</v>
      </c>
      <c r="E362" s="20" t="s">
        <v>429</v>
      </c>
      <c r="F362" s="20">
        <v>4</v>
      </c>
      <c r="G362" s="21">
        <f>_xlfn.XLOOKUP(C362,[1]products!$A$2:$A$71,[1]products!$D$2:$D$71)</f>
        <v>1638</v>
      </c>
      <c r="H362" s="22">
        <v>44988</v>
      </c>
      <c r="I362" s="22" t="str">
        <f t="shared" si="25"/>
        <v>March</v>
      </c>
      <c r="J362" s="22" t="str">
        <f t="shared" si="26"/>
        <v>Friday</v>
      </c>
      <c r="K362" s="23">
        <v>0.25689814814814815</v>
      </c>
      <c r="L362" s="22">
        <v>44996</v>
      </c>
      <c r="M362" s="24">
        <f>HOUR(orders!$K362)</f>
        <v>6</v>
      </c>
      <c r="N362" s="22" t="str">
        <f t="shared" si="27"/>
        <v>March</v>
      </c>
      <c r="O362" s="23">
        <v>0.35636574074074073</v>
      </c>
      <c r="P362" s="23" t="str">
        <f>_xlfn.XLOOKUP(B362,[2]customers!$A$2:$A$101,[2]customers!$C$2:$C$101)</f>
        <v>Imphal</v>
      </c>
      <c r="Q362" s="20" t="s">
        <v>22</v>
      </c>
      <c r="R362" s="20" t="s">
        <v>36</v>
      </c>
      <c r="S362" s="21">
        <f t="shared" si="28"/>
        <v>6552</v>
      </c>
      <c r="T362" s="25">
        <f t="shared" si="29"/>
        <v>8</v>
      </c>
    </row>
    <row r="363" spans="1:20" x14ac:dyDescent="0.3">
      <c r="A363" s="14">
        <v>362</v>
      </c>
      <c r="B363" s="14" t="s">
        <v>56</v>
      </c>
      <c r="C363" s="14">
        <v>31</v>
      </c>
      <c r="D363" s="14" t="s">
        <v>474</v>
      </c>
      <c r="E363" s="14" t="s">
        <v>429</v>
      </c>
      <c r="F363" s="14">
        <v>2</v>
      </c>
      <c r="G363" s="15">
        <f>_xlfn.XLOOKUP(C363,[1]products!$A$2:$A$71,[1]products!$D$2:$D$71)</f>
        <v>1804</v>
      </c>
      <c r="H363" s="16">
        <v>44995</v>
      </c>
      <c r="I363" s="16" t="str">
        <f t="shared" si="25"/>
        <v>March</v>
      </c>
      <c r="J363" s="16" t="str">
        <f t="shared" si="26"/>
        <v>Friday</v>
      </c>
      <c r="K363" s="17">
        <v>0.15278935185185186</v>
      </c>
      <c r="L363" s="16">
        <v>45002</v>
      </c>
      <c r="M363" s="18">
        <f>HOUR(orders!$K363)</f>
        <v>3</v>
      </c>
      <c r="N363" s="16" t="str">
        <f t="shared" si="27"/>
        <v>March</v>
      </c>
      <c r="O363" s="17">
        <v>0.44123842592592594</v>
      </c>
      <c r="P363" s="17" t="str">
        <f>_xlfn.XLOOKUP(B363,[2]customers!$A$2:$A$101,[2]customers!$C$2:$C$101)</f>
        <v>Karaikudi</v>
      </c>
      <c r="Q363" s="14" t="s">
        <v>326</v>
      </c>
      <c r="R363" s="14" t="s">
        <v>60</v>
      </c>
      <c r="S363" s="15">
        <f t="shared" si="28"/>
        <v>3608</v>
      </c>
      <c r="T363" s="19">
        <f t="shared" si="29"/>
        <v>7</v>
      </c>
    </row>
    <row r="364" spans="1:20" x14ac:dyDescent="0.3">
      <c r="A364" s="20">
        <v>363</v>
      </c>
      <c r="B364" s="20" t="s">
        <v>200</v>
      </c>
      <c r="C364" s="20">
        <v>15</v>
      </c>
      <c r="D364" s="20" t="s">
        <v>482</v>
      </c>
      <c r="E364" s="20" t="s">
        <v>26</v>
      </c>
      <c r="F364" s="20">
        <v>2</v>
      </c>
      <c r="G364" s="21">
        <f>_xlfn.XLOOKUP(C364,[1]products!$A$2:$A$71,[1]products!$D$2:$D$71)</f>
        <v>1488</v>
      </c>
      <c r="H364" s="22">
        <v>45257</v>
      </c>
      <c r="I364" s="22" t="str">
        <f t="shared" si="25"/>
        <v>November</v>
      </c>
      <c r="J364" s="22" t="str">
        <f t="shared" si="26"/>
        <v>Monday</v>
      </c>
      <c r="K364" s="23">
        <v>0.79237268518518522</v>
      </c>
      <c r="L364" s="22">
        <v>45265</v>
      </c>
      <c r="M364" s="24">
        <f>HOUR(orders!$K364)</f>
        <v>19</v>
      </c>
      <c r="N364" s="22" t="str">
        <f t="shared" si="27"/>
        <v>December</v>
      </c>
      <c r="O364" s="23">
        <v>7.6805555555555557E-2</v>
      </c>
      <c r="P364" s="23" t="str">
        <f>_xlfn.XLOOKUP(B364,[2]customers!$A$2:$A$101,[2]customers!$C$2:$C$101)</f>
        <v>Khandwa</v>
      </c>
      <c r="Q364" s="20" t="s">
        <v>91</v>
      </c>
      <c r="R364" s="20" t="s">
        <v>12</v>
      </c>
      <c r="S364" s="21">
        <f t="shared" si="28"/>
        <v>2976</v>
      </c>
      <c r="T364" s="25">
        <f t="shared" si="29"/>
        <v>8</v>
      </c>
    </row>
    <row r="365" spans="1:20" x14ac:dyDescent="0.3">
      <c r="A365" s="14">
        <v>364</v>
      </c>
      <c r="B365" s="14" t="s">
        <v>291</v>
      </c>
      <c r="C365" s="14">
        <v>43</v>
      </c>
      <c r="D365" s="14" t="s">
        <v>434</v>
      </c>
      <c r="E365" s="14" t="s">
        <v>26</v>
      </c>
      <c r="F365" s="14">
        <v>3</v>
      </c>
      <c r="G365" s="15">
        <f>_xlfn.XLOOKUP(C365,[1]products!$A$2:$A$71,[1]products!$D$2:$D$71)</f>
        <v>750</v>
      </c>
      <c r="H365" s="16">
        <v>45238</v>
      </c>
      <c r="I365" s="16" t="str">
        <f t="shared" si="25"/>
        <v>November</v>
      </c>
      <c r="J365" s="16" t="str">
        <f t="shared" si="26"/>
        <v>Wednesday</v>
      </c>
      <c r="K365" s="17">
        <v>0.25626157407407407</v>
      </c>
      <c r="L365" s="16">
        <v>45239</v>
      </c>
      <c r="M365" s="18">
        <f>HOUR(orders!$K365)</f>
        <v>6</v>
      </c>
      <c r="N365" s="16" t="str">
        <f t="shared" si="27"/>
        <v>November</v>
      </c>
      <c r="O365" s="17">
        <v>0.19274305555555557</v>
      </c>
      <c r="P365" s="17" t="str">
        <f>_xlfn.XLOOKUP(B365,[2]customers!$A$2:$A$101,[2]customers!$C$2:$C$101)</f>
        <v>Bilaspur</v>
      </c>
      <c r="Q365" s="14" t="s">
        <v>195</v>
      </c>
      <c r="R365" s="14" t="s">
        <v>15</v>
      </c>
      <c r="S365" s="15">
        <f t="shared" si="28"/>
        <v>2250</v>
      </c>
      <c r="T365" s="19">
        <f t="shared" si="29"/>
        <v>1</v>
      </c>
    </row>
    <row r="366" spans="1:20" x14ac:dyDescent="0.3">
      <c r="A366" s="20">
        <v>365</v>
      </c>
      <c r="B366" s="20" t="s">
        <v>134</v>
      </c>
      <c r="C366" s="20">
        <v>8</v>
      </c>
      <c r="D366" s="20" t="s">
        <v>454</v>
      </c>
      <c r="E366" s="20" t="s">
        <v>427</v>
      </c>
      <c r="F366" s="20">
        <v>5</v>
      </c>
      <c r="G366" s="21">
        <f>_xlfn.XLOOKUP(C366,[1]products!$A$2:$A$71,[1]products!$D$2:$D$71)</f>
        <v>252</v>
      </c>
      <c r="H366" s="22">
        <v>45078</v>
      </c>
      <c r="I366" s="22" t="str">
        <f t="shared" si="25"/>
        <v>June</v>
      </c>
      <c r="J366" s="22" t="str">
        <f t="shared" si="26"/>
        <v>Thursday</v>
      </c>
      <c r="K366" s="23">
        <v>0.6470717592592593</v>
      </c>
      <c r="L366" s="22">
        <v>45081</v>
      </c>
      <c r="M366" s="24">
        <f>HOUR(orders!$K366)</f>
        <v>15</v>
      </c>
      <c r="N366" s="22" t="str">
        <f t="shared" si="27"/>
        <v>June</v>
      </c>
      <c r="O366" s="23">
        <v>0.4274189814814815</v>
      </c>
      <c r="P366" s="23" t="str">
        <f>_xlfn.XLOOKUP(B366,[2]customers!$A$2:$A$101,[2]customers!$C$2:$C$101)</f>
        <v>Noida</v>
      </c>
      <c r="Q366" s="20" t="s">
        <v>147</v>
      </c>
      <c r="R366" s="20" t="s">
        <v>12</v>
      </c>
      <c r="S366" s="21">
        <f t="shared" si="28"/>
        <v>1260</v>
      </c>
      <c r="T366" s="25">
        <f t="shared" si="29"/>
        <v>3</v>
      </c>
    </row>
    <row r="367" spans="1:20" x14ac:dyDescent="0.3">
      <c r="A367" s="14">
        <v>366</v>
      </c>
      <c r="B367" s="14" t="s">
        <v>123</v>
      </c>
      <c r="C367" s="14">
        <v>3</v>
      </c>
      <c r="D367" s="14" t="s">
        <v>483</v>
      </c>
      <c r="E367" s="14" t="s">
        <v>429</v>
      </c>
      <c r="F367" s="14">
        <v>3</v>
      </c>
      <c r="G367" s="15">
        <f>_xlfn.XLOOKUP(C367,[1]products!$A$2:$A$71,[1]products!$D$2:$D$71)</f>
        <v>1534</v>
      </c>
      <c r="H367" s="16">
        <v>44965</v>
      </c>
      <c r="I367" s="16" t="str">
        <f t="shared" si="25"/>
        <v>February</v>
      </c>
      <c r="J367" s="16" t="str">
        <f t="shared" si="26"/>
        <v>Wednesday</v>
      </c>
      <c r="K367" s="17">
        <v>0.96929398148148149</v>
      </c>
      <c r="L367" s="16">
        <v>44973</v>
      </c>
      <c r="M367" s="18">
        <f>HOUR(orders!$K367)</f>
        <v>23</v>
      </c>
      <c r="N367" s="16" t="str">
        <f t="shared" si="27"/>
        <v>February</v>
      </c>
      <c r="O367" s="17">
        <v>0.45252314814814815</v>
      </c>
      <c r="P367" s="17" t="str">
        <f>_xlfn.XLOOKUP(B367,[2]customers!$A$2:$A$101,[2]customers!$C$2:$C$101)</f>
        <v>Indore</v>
      </c>
      <c r="Q367" s="14" t="s">
        <v>190</v>
      </c>
      <c r="R367" s="14" t="s">
        <v>23</v>
      </c>
      <c r="S367" s="15">
        <f t="shared" si="28"/>
        <v>4602</v>
      </c>
      <c r="T367" s="19">
        <f t="shared" si="29"/>
        <v>8</v>
      </c>
    </row>
    <row r="368" spans="1:20" x14ac:dyDescent="0.3">
      <c r="A368" s="20">
        <v>367</v>
      </c>
      <c r="B368" s="20" t="s">
        <v>138</v>
      </c>
      <c r="C368" s="20">
        <v>47</v>
      </c>
      <c r="D368" s="20" t="s">
        <v>480</v>
      </c>
      <c r="E368" s="20" t="s">
        <v>429</v>
      </c>
      <c r="F368" s="20">
        <v>5</v>
      </c>
      <c r="G368" s="21">
        <f>_xlfn.XLOOKUP(C368,[1]products!$A$2:$A$71,[1]products!$D$2:$D$71)</f>
        <v>1638</v>
      </c>
      <c r="H368" s="22">
        <v>44988</v>
      </c>
      <c r="I368" s="22" t="str">
        <f t="shared" si="25"/>
        <v>March</v>
      </c>
      <c r="J368" s="22" t="str">
        <f t="shared" si="26"/>
        <v>Friday</v>
      </c>
      <c r="K368" s="23">
        <v>3.0659722222222224E-2</v>
      </c>
      <c r="L368" s="22">
        <v>44997</v>
      </c>
      <c r="M368" s="24">
        <f>HOUR(orders!$K368)</f>
        <v>0</v>
      </c>
      <c r="N368" s="22" t="str">
        <f t="shared" si="27"/>
        <v>March</v>
      </c>
      <c r="O368" s="23">
        <v>0.62850694444444444</v>
      </c>
      <c r="P368" s="23" t="str">
        <f>_xlfn.XLOOKUP(B368,[2]customers!$A$2:$A$101,[2]customers!$C$2:$C$101)</f>
        <v>Kanpur</v>
      </c>
      <c r="Q368" s="20" t="s">
        <v>327</v>
      </c>
      <c r="R368" s="20" t="s">
        <v>36</v>
      </c>
      <c r="S368" s="21">
        <f t="shared" si="28"/>
        <v>8190</v>
      </c>
      <c r="T368" s="25">
        <f t="shared" si="29"/>
        <v>9</v>
      </c>
    </row>
    <row r="369" spans="1:20" x14ac:dyDescent="0.3">
      <c r="A369" s="14">
        <v>368</v>
      </c>
      <c r="B369" s="14" t="s">
        <v>40</v>
      </c>
      <c r="C369" s="14">
        <v>6</v>
      </c>
      <c r="D369" s="14" t="s">
        <v>450</v>
      </c>
      <c r="E369" s="14" t="s">
        <v>431</v>
      </c>
      <c r="F369" s="14">
        <v>3</v>
      </c>
      <c r="G369" s="15">
        <f>_xlfn.XLOOKUP(C369,[1]products!$A$2:$A$71,[1]products!$D$2:$D$71)</f>
        <v>1112</v>
      </c>
      <c r="H369" s="16">
        <v>44989</v>
      </c>
      <c r="I369" s="16" t="str">
        <f t="shared" si="25"/>
        <v>March</v>
      </c>
      <c r="J369" s="16" t="str">
        <f t="shared" si="26"/>
        <v>Saturday</v>
      </c>
      <c r="K369" s="17">
        <v>0.96067129629629633</v>
      </c>
      <c r="L369" s="16">
        <v>44991</v>
      </c>
      <c r="M369" s="18">
        <f>HOUR(orders!$K369)</f>
        <v>23</v>
      </c>
      <c r="N369" s="16" t="str">
        <f t="shared" si="27"/>
        <v>March</v>
      </c>
      <c r="O369" s="17">
        <v>0.11956018518518519</v>
      </c>
      <c r="P369" s="17" t="str">
        <f>_xlfn.XLOOKUP(B369,[2]customers!$A$2:$A$101,[2]customers!$C$2:$C$101)</f>
        <v>Ajmer</v>
      </c>
      <c r="Q369" s="14" t="s">
        <v>326</v>
      </c>
      <c r="R369" s="14" t="s">
        <v>36</v>
      </c>
      <c r="S369" s="15">
        <f t="shared" si="28"/>
        <v>3336</v>
      </c>
      <c r="T369" s="19">
        <f t="shared" si="29"/>
        <v>2</v>
      </c>
    </row>
    <row r="370" spans="1:20" x14ac:dyDescent="0.3">
      <c r="A370" s="20">
        <v>369</v>
      </c>
      <c r="B370" s="20" t="s">
        <v>99</v>
      </c>
      <c r="C370" s="20">
        <v>63</v>
      </c>
      <c r="D370" s="20" t="s">
        <v>498</v>
      </c>
      <c r="E370" s="20" t="s">
        <v>427</v>
      </c>
      <c r="F370" s="20">
        <v>3</v>
      </c>
      <c r="G370" s="21">
        <f>_xlfn.XLOOKUP(C370,[1]products!$A$2:$A$71,[1]products!$D$2:$D$71)</f>
        <v>1348</v>
      </c>
      <c r="H370" s="22">
        <v>45145</v>
      </c>
      <c r="I370" s="22" t="str">
        <f t="shared" si="25"/>
        <v>August</v>
      </c>
      <c r="J370" s="22" t="str">
        <f t="shared" si="26"/>
        <v>Monday</v>
      </c>
      <c r="K370" s="23">
        <v>0.30814814814814812</v>
      </c>
      <c r="L370" s="22">
        <v>45153</v>
      </c>
      <c r="M370" s="24">
        <f>HOUR(orders!$K370)</f>
        <v>7</v>
      </c>
      <c r="N370" s="22" t="str">
        <f t="shared" si="27"/>
        <v>August</v>
      </c>
      <c r="O370" s="23">
        <v>0.18645833333333331</v>
      </c>
      <c r="P370" s="23" t="str">
        <f>_xlfn.XLOOKUP(B370,[2]customers!$A$2:$A$101,[2]customers!$C$2:$C$101)</f>
        <v>Panvel</v>
      </c>
      <c r="Q370" s="20" t="s">
        <v>284</v>
      </c>
      <c r="R370" s="20" t="s">
        <v>60</v>
      </c>
      <c r="S370" s="21">
        <f t="shared" si="28"/>
        <v>4044</v>
      </c>
      <c r="T370" s="25">
        <f t="shared" si="29"/>
        <v>8</v>
      </c>
    </row>
    <row r="371" spans="1:20" x14ac:dyDescent="0.3">
      <c r="A371" s="14">
        <v>370</v>
      </c>
      <c r="B371" s="14" t="s">
        <v>322</v>
      </c>
      <c r="C371" s="14">
        <v>54</v>
      </c>
      <c r="D371" s="14" t="s">
        <v>461</v>
      </c>
      <c r="E371" s="14" t="s">
        <v>431</v>
      </c>
      <c r="F371" s="14">
        <v>2</v>
      </c>
      <c r="G371" s="15">
        <f>_xlfn.XLOOKUP(C371,[1]products!$A$2:$A$71,[1]products!$D$2:$D$71)</f>
        <v>1236</v>
      </c>
      <c r="H371" s="16">
        <v>45116</v>
      </c>
      <c r="I371" s="16" t="str">
        <f t="shared" si="25"/>
        <v>July</v>
      </c>
      <c r="J371" s="16" t="str">
        <f t="shared" si="26"/>
        <v>Sunday</v>
      </c>
      <c r="K371" s="17">
        <v>0.24836805555555555</v>
      </c>
      <c r="L371" s="16">
        <v>45120</v>
      </c>
      <c r="M371" s="18">
        <f>HOUR(orders!$K371)</f>
        <v>5</v>
      </c>
      <c r="N371" s="16" t="str">
        <f t="shared" si="27"/>
        <v>July</v>
      </c>
      <c r="O371" s="17">
        <v>0.79282407407407407</v>
      </c>
      <c r="P371" s="17" t="str">
        <f>_xlfn.XLOOKUP(B371,[2]customers!$A$2:$A$101,[2]customers!$C$2:$C$101)</f>
        <v>Parbhani</v>
      </c>
      <c r="Q371" s="14" t="s">
        <v>110</v>
      </c>
      <c r="R371" s="14" t="s">
        <v>12</v>
      </c>
      <c r="S371" s="15">
        <f t="shared" si="28"/>
        <v>2472</v>
      </c>
      <c r="T371" s="19">
        <f t="shared" si="29"/>
        <v>4</v>
      </c>
    </row>
    <row r="372" spans="1:20" x14ac:dyDescent="0.3">
      <c r="A372" s="20">
        <v>371</v>
      </c>
      <c r="B372" s="20" t="s">
        <v>52</v>
      </c>
      <c r="C372" s="20">
        <v>23</v>
      </c>
      <c r="D372" s="20" t="s">
        <v>441</v>
      </c>
      <c r="E372" s="20" t="s">
        <v>427</v>
      </c>
      <c r="F372" s="20">
        <v>4</v>
      </c>
      <c r="G372" s="21">
        <f>_xlfn.XLOOKUP(C372,[1]products!$A$2:$A$71,[1]products!$D$2:$D$71)</f>
        <v>1098</v>
      </c>
      <c r="H372" s="22">
        <v>45061</v>
      </c>
      <c r="I372" s="22" t="str">
        <f t="shared" si="25"/>
        <v>May</v>
      </c>
      <c r="J372" s="22" t="str">
        <f t="shared" si="26"/>
        <v>Monday</v>
      </c>
      <c r="K372" s="23">
        <v>6.1087962962962962E-2</v>
      </c>
      <c r="L372" s="22">
        <v>45065</v>
      </c>
      <c r="M372" s="24">
        <f>HOUR(orders!$K372)</f>
        <v>1</v>
      </c>
      <c r="N372" s="22" t="str">
        <f t="shared" si="27"/>
        <v>May</v>
      </c>
      <c r="O372" s="23">
        <v>0.43665509259259255</v>
      </c>
      <c r="P372" s="23" t="str">
        <f>_xlfn.XLOOKUP(B372,[2]customers!$A$2:$A$101,[2]customers!$C$2:$C$101)</f>
        <v>Anantapuram</v>
      </c>
      <c r="Q372" s="20" t="s">
        <v>222</v>
      </c>
      <c r="R372" s="20" t="s">
        <v>12</v>
      </c>
      <c r="S372" s="21">
        <f t="shared" si="28"/>
        <v>4392</v>
      </c>
      <c r="T372" s="25">
        <f t="shared" si="29"/>
        <v>4</v>
      </c>
    </row>
    <row r="373" spans="1:20" x14ac:dyDescent="0.3">
      <c r="A373" s="14">
        <v>372</v>
      </c>
      <c r="B373" s="14" t="s">
        <v>90</v>
      </c>
      <c r="C373" s="14">
        <v>25</v>
      </c>
      <c r="D373" s="14" t="s">
        <v>471</v>
      </c>
      <c r="E373" s="14" t="s">
        <v>447</v>
      </c>
      <c r="F373" s="14">
        <v>3</v>
      </c>
      <c r="G373" s="15">
        <f>_xlfn.XLOOKUP(C373,[1]products!$A$2:$A$71,[1]products!$D$2:$D$71)</f>
        <v>1202</v>
      </c>
      <c r="H373" s="16">
        <v>45238</v>
      </c>
      <c r="I373" s="16" t="str">
        <f t="shared" si="25"/>
        <v>November</v>
      </c>
      <c r="J373" s="16" t="str">
        <f t="shared" si="26"/>
        <v>Wednesday</v>
      </c>
      <c r="K373" s="17">
        <v>0.79473379629629637</v>
      </c>
      <c r="L373" s="16">
        <v>45248</v>
      </c>
      <c r="M373" s="18">
        <f>HOUR(orders!$K373)</f>
        <v>19</v>
      </c>
      <c r="N373" s="16" t="str">
        <f t="shared" si="27"/>
        <v>November</v>
      </c>
      <c r="O373" s="17">
        <v>0.76997685185185183</v>
      </c>
      <c r="P373" s="17" t="str">
        <f>_xlfn.XLOOKUP(B373,[2]customers!$A$2:$A$101,[2]customers!$C$2:$C$101)</f>
        <v>Karimnagar</v>
      </c>
      <c r="Q373" s="14" t="s">
        <v>228</v>
      </c>
      <c r="R373" s="14" t="s">
        <v>12</v>
      </c>
      <c r="S373" s="15">
        <f t="shared" si="28"/>
        <v>3606</v>
      </c>
      <c r="T373" s="19">
        <f t="shared" si="29"/>
        <v>10</v>
      </c>
    </row>
    <row r="374" spans="1:20" x14ac:dyDescent="0.3">
      <c r="A374" s="20">
        <v>373</v>
      </c>
      <c r="B374" s="20" t="s">
        <v>186</v>
      </c>
      <c r="C374" s="20">
        <v>65</v>
      </c>
      <c r="D374" s="20" t="s">
        <v>466</v>
      </c>
      <c r="E374" s="20" t="s">
        <v>26</v>
      </c>
      <c r="F374" s="20">
        <v>2</v>
      </c>
      <c r="G374" s="21">
        <f>_xlfn.XLOOKUP(C374,[1]products!$A$2:$A$71,[1]products!$D$2:$D$71)</f>
        <v>1895</v>
      </c>
      <c r="H374" s="22">
        <v>45084</v>
      </c>
      <c r="I374" s="22" t="str">
        <f t="shared" si="25"/>
        <v>June</v>
      </c>
      <c r="J374" s="22" t="str">
        <f t="shared" si="26"/>
        <v>Wednesday</v>
      </c>
      <c r="K374" s="23">
        <v>0.8674884259259259</v>
      </c>
      <c r="L374" s="22">
        <v>45087</v>
      </c>
      <c r="M374" s="24">
        <f>HOUR(orders!$K374)</f>
        <v>20</v>
      </c>
      <c r="N374" s="22" t="str">
        <f t="shared" si="27"/>
        <v>June</v>
      </c>
      <c r="O374" s="23">
        <v>0.99837962962962967</v>
      </c>
      <c r="P374" s="23" t="str">
        <f>_xlfn.XLOOKUP(B374,[2]customers!$A$2:$A$101,[2]customers!$C$2:$C$101)</f>
        <v>Farrukhabad</v>
      </c>
      <c r="Q374" s="20" t="s">
        <v>323</v>
      </c>
      <c r="R374" s="20" t="s">
        <v>60</v>
      </c>
      <c r="S374" s="21">
        <f t="shared" si="28"/>
        <v>3790</v>
      </c>
      <c r="T374" s="25">
        <f t="shared" si="29"/>
        <v>3</v>
      </c>
    </row>
    <row r="375" spans="1:20" x14ac:dyDescent="0.3">
      <c r="A375" s="14">
        <v>374</v>
      </c>
      <c r="B375" s="14" t="s">
        <v>198</v>
      </c>
      <c r="C375" s="14">
        <v>4</v>
      </c>
      <c r="D375" s="14" t="s">
        <v>475</v>
      </c>
      <c r="E375" s="14" t="s">
        <v>427</v>
      </c>
      <c r="F375" s="14">
        <v>1</v>
      </c>
      <c r="G375" s="15">
        <f>_xlfn.XLOOKUP(C375,[1]products!$A$2:$A$71,[1]products!$D$2:$D$71)</f>
        <v>1199</v>
      </c>
      <c r="H375" s="16">
        <v>45237</v>
      </c>
      <c r="I375" s="16" t="str">
        <f t="shared" si="25"/>
        <v>November</v>
      </c>
      <c r="J375" s="16" t="str">
        <f t="shared" si="26"/>
        <v>Tuesday</v>
      </c>
      <c r="K375" s="17">
        <v>0.32467592592592592</v>
      </c>
      <c r="L375" s="16">
        <v>45239</v>
      </c>
      <c r="M375" s="18">
        <f>HOUR(orders!$K375)</f>
        <v>7</v>
      </c>
      <c r="N375" s="16" t="str">
        <f t="shared" si="27"/>
        <v>November</v>
      </c>
      <c r="O375" s="17">
        <v>0.93939814814814815</v>
      </c>
      <c r="P375" s="17" t="str">
        <f>_xlfn.XLOOKUP(B375,[2]customers!$A$2:$A$101,[2]customers!$C$2:$C$101)</f>
        <v>North Dumdum</v>
      </c>
      <c r="Q375" s="14" t="s">
        <v>94</v>
      </c>
      <c r="R375" s="14" t="s">
        <v>15</v>
      </c>
      <c r="S375" s="15">
        <f t="shared" si="28"/>
        <v>1199</v>
      </c>
      <c r="T375" s="19">
        <f t="shared" si="29"/>
        <v>2</v>
      </c>
    </row>
    <row r="376" spans="1:20" x14ac:dyDescent="0.3">
      <c r="A376" s="20">
        <v>375</v>
      </c>
      <c r="B376" s="20" t="s">
        <v>61</v>
      </c>
      <c r="C376" s="20">
        <v>46</v>
      </c>
      <c r="D376" s="20" t="s">
        <v>493</v>
      </c>
      <c r="E376" s="20" t="s">
        <v>431</v>
      </c>
      <c r="F376" s="20">
        <v>1</v>
      </c>
      <c r="G376" s="21">
        <f>_xlfn.XLOOKUP(C376,[1]products!$A$2:$A$71,[1]products!$D$2:$D$71)</f>
        <v>758</v>
      </c>
      <c r="H376" s="22">
        <v>44968</v>
      </c>
      <c r="I376" s="22" t="str">
        <f t="shared" si="25"/>
        <v>February</v>
      </c>
      <c r="J376" s="22" t="str">
        <f t="shared" si="26"/>
        <v>Saturday</v>
      </c>
      <c r="K376" s="23">
        <v>0.17806712962962964</v>
      </c>
      <c r="L376" s="22">
        <v>44977</v>
      </c>
      <c r="M376" s="24">
        <f>HOUR(orders!$K376)</f>
        <v>4</v>
      </c>
      <c r="N376" s="22" t="str">
        <f t="shared" si="27"/>
        <v>February</v>
      </c>
      <c r="O376" s="23">
        <v>0.8178009259259259</v>
      </c>
      <c r="P376" s="23" t="str">
        <f>_xlfn.XLOOKUP(B376,[2]customers!$A$2:$A$101,[2]customers!$C$2:$C$101)</f>
        <v>New Delhi</v>
      </c>
      <c r="Q376" s="20" t="s">
        <v>335</v>
      </c>
      <c r="R376" s="20" t="s">
        <v>12</v>
      </c>
      <c r="S376" s="21">
        <f t="shared" si="28"/>
        <v>758</v>
      </c>
      <c r="T376" s="25">
        <f t="shared" si="29"/>
        <v>9</v>
      </c>
    </row>
    <row r="377" spans="1:20" x14ac:dyDescent="0.3">
      <c r="A377" s="14">
        <v>376</v>
      </c>
      <c r="B377" s="14" t="s">
        <v>29</v>
      </c>
      <c r="C377" s="14">
        <v>10</v>
      </c>
      <c r="D377" s="14" t="s">
        <v>452</v>
      </c>
      <c r="E377" s="14" t="s">
        <v>431</v>
      </c>
      <c r="F377" s="14">
        <v>2</v>
      </c>
      <c r="G377" s="15">
        <f>_xlfn.XLOOKUP(C377,[1]products!$A$2:$A$71,[1]products!$D$2:$D$71)</f>
        <v>259</v>
      </c>
      <c r="H377" s="16">
        <v>45060</v>
      </c>
      <c r="I377" s="16" t="str">
        <f t="shared" si="25"/>
        <v>May</v>
      </c>
      <c r="J377" s="16" t="str">
        <f t="shared" si="26"/>
        <v>Sunday</v>
      </c>
      <c r="K377" s="17">
        <v>0.84620370370370368</v>
      </c>
      <c r="L377" s="16">
        <v>45065</v>
      </c>
      <c r="M377" s="18">
        <f>HOUR(orders!$K377)</f>
        <v>20</v>
      </c>
      <c r="N377" s="16" t="str">
        <f t="shared" si="27"/>
        <v>May</v>
      </c>
      <c r="O377" s="17">
        <v>0.99168981481481477</v>
      </c>
      <c r="P377" s="17" t="str">
        <f>_xlfn.XLOOKUP(B377,[2]customers!$A$2:$A$101,[2]customers!$C$2:$C$101)</f>
        <v>Sri Ganganagar</v>
      </c>
      <c r="Q377" s="14" t="s">
        <v>69</v>
      </c>
      <c r="R377" s="14" t="s">
        <v>20</v>
      </c>
      <c r="S377" s="15">
        <f t="shared" si="28"/>
        <v>518</v>
      </c>
      <c r="T377" s="19">
        <f t="shared" si="29"/>
        <v>5</v>
      </c>
    </row>
    <row r="378" spans="1:20" x14ac:dyDescent="0.3">
      <c r="A378" s="20">
        <v>377</v>
      </c>
      <c r="B378" s="20" t="s">
        <v>43</v>
      </c>
      <c r="C378" s="20">
        <v>55</v>
      </c>
      <c r="D378" s="20" t="s">
        <v>491</v>
      </c>
      <c r="E378" s="20" t="s">
        <v>445</v>
      </c>
      <c r="F378" s="20">
        <v>4</v>
      </c>
      <c r="G378" s="21">
        <f>_xlfn.XLOOKUP(C378,[1]products!$A$2:$A$71,[1]products!$D$2:$D$71)</f>
        <v>1904</v>
      </c>
      <c r="H378" s="22">
        <v>45164</v>
      </c>
      <c r="I378" s="22" t="str">
        <f t="shared" si="25"/>
        <v>August</v>
      </c>
      <c r="J378" s="22" t="str">
        <f t="shared" si="26"/>
        <v>Saturday</v>
      </c>
      <c r="K378" s="23">
        <v>0.35701388888888891</v>
      </c>
      <c r="L378" s="22">
        <v>45169</v>
      </c>
      <c r="M378" s="24">
        <f>HOUR(orders!$K378)</f>
        <v>8</v>
      </c>
      <c r="N378" s="22" t="str">
        <f t="shared" si="27"/>
        <v>August</v>
      </c>
      <c r="O378" s="23">
        <v>0.49107638888888888</v>
      </c>
      <c r="P378" s="23" t="str">
        <f>_xlfn.XLOOKUP(B378,[2]customers!$A$2:$A$101,[2]customers!$C$2:$C$101)</f>
        <v>Mangalore</v>
      </c>
      <c r="Q378" s="20" t="s">
        <v>336</v>
      </c>
      <c r="R378" s="20" t="s">
        <v>26</v>
      </c>
      <c r="S378" s="21">
        <f t="shared" si="28"/>
        <v>7616</v>
      </c>
      <c r="T378" s="25">
        <f t="shared" si="29"/>
        <v>5</v>
      </c>
    </row>
    <row r="379" spans="1:20" x14ac:dyDescent="0.3">
      <c r="A379" s="14">
        <v>378</v>
      </c>
      <c r="B379" s="14" t="s">
        <v>24</v>
      </c>
      <c r="C379" s="14">
        <v>6</v>
      </c>
      <c r="D379" s="14" t="s">
        <v>450</v>
      </c>
      <c r="E379" s="14" t="s">
        <v>431</v>
      </c>
      <c r="F379" s="14">
        <v>2</v>
      </c>
      <c r="G379" s="15">
        <f>_xlfn.XLOOKUP(C379,[1]products!$A$2:$A$71,[1]products!$D$2:$D$71)</f>
        <v>1112</v>
      </c>
      <c r="H379" s="16">
        <v>44986</v>
      </c>
      <c r="I379" s="16" t="str">
        <f t="shared" si="25"/>
        <v>March</v>
      </c>
      <c r="J379" s="16" t="str">
        <f t="shared" si="26"/>
        <v>Wednesday</v>
      </c>
      <c r="K379" s="17">
        <v>0.47939814814814818</v>
      </c>
      <c r="L379" s="16">
        <v>44993</v>
      </c>
      <c r="M379" s="18">
        <f>HOUR(orders!$K379)</f>
        <v>11</v>
      </c>
      <c r="N379" s="16" t="str">
        <f t="shared" si="27"/>
        <v>March</v>
      </c>
      <c r="O379" s="17">
        <v>0.81032407407407403</v>
      </c>
      <c r="P379" s="17" t="str">
        <f>_xlfn.XLOOKUP(B379,[2]customers!$A$2:$A$101,[2]customers!$C$2:$C$101)</f>
        <v>Pallavaram</v>
      </c>
      <c r="Q379" s="14" t="s">
        <v>337</v>
      </c>
      <c r="R379" s="14" t="s">
        <v>36</v>
      </c>
      <c r="S379" s="15">
        <f t="shared" si="28"/>
        <v>2224</v>
      </c>
      <c r="T379" s="19">
        <f t="shared" si="29"/>
        <v>7</v>
      </c>
    </row>
    <row r="380" spans="1:20" x14ac:dyDescent="0.3">
      <c r="A380" s="20">
        <v>379</v>
      </c>
      <c r="B380" s="20" t="s">
        <v>21</v>
      </c>
      <c r="C380" s="20">
        <v>66</v>
      </c>
      <c r="D380" s="20" t="s">
        <v>456</v>
      </c>
      <c r="E380" s="20" t="s">
        <v>429</v>
      </c>
      <c r="F380" s="20">
        <v>1</v>
      </c>
      <c r="G380" s="21">
        <f>_xlfn.XLOOKUP(C380,[1]products!$A$2:$A$71,[1]products!$D$2:$D$71)</f>
        <v>610</v>
      </c>
      <c r="H380" s="22">
        <v>44988</v>
      </c>
      <c r="I380" s="22" t="str">
        <f t="shared" si="25"/>
        <v>March</v>
      </c>
      <c r="J380" s="22" t="str">
        <f t="shared" si="26"/>
        <v>Friday</v>
      </c>
      <c r="K380" s="23">
        <v>0.98033564814814822</v>
      </c>
      <c r="L380" s="22">
        <v>44991</v>
      </c>
      <c r="M380" s="24">
        <f>HOUR(orders!$K380)</f>
        <v>23</v>
      </c>
      <c r="N380" s="22" t="str">
        <f t="shared" si="27"/>
        <v>March</v>
      </c>
      <c r="O380" s="23">
        <v>0.44725694444444447</v>
      </c>
      <c r="P380" s="23" t="str">
        <f>_xlfn.XLOOKUP(B380,[2]customers!$A$2:$A$101,[2]customers!$C$2:$C$101)</f>
        <v>Bhubaneswar</v>
      </c>
      <c r="Q380" s="20" t="s">
        <v>91</v>
      </c>
      <c r="R380" s="20" t="s">
        <v>36</v>
      </c>
      <c r="S380" s="21">
        <f t="shared" si="28"/>
        <v>610</v>
      </c>
      <c r="T380" s="25">
        <f t="shared" si="29"/>
        <v>3</v>
      </c>
    </row>
    <row r="381" spans="1:20" x14ac:dyDescent="0.3">
      <c r="A381" s="14">
        <v>380</v>
      </c>
      <c r="B381" s="14" t="s">
        <v>27</v>
      </c>
      <c r="C381" s="14">
        <v>60</v>
      </c>
      <c r="D381" s="14" t="s">
        <v>440</v>
      </c>
      <c r="E381" s="14" t="s">
        <v>427</v>
      </c>
      <c r="F381" s="14">
        <v>4</v>
      </c>
      <c r="G381" s="15">
        <f>_xlfn.XLOOKUP(C381,[1]products!$A$2:$A$71,[1]products!$D$2:$D$71)</f>
        <v>827</v>
      </c>
      <c r="H381" s="16">
        <v>45238</v>
      </c>
      <c r="I381" s="16" t="str">
        <f t="shared" si="25"/>
        <v>November</v>
      </c>
      <c r="J381" s="16" t="str">
        <f t="shared" si="26"/>
        <v>Wednesday</v>
      </c>
      <c r="K381" s="17">
        <v>0.56460648148148151</v>
      </c>
      <c r="L381" s="16">
        <v>45245</v>
      </c>
      <c r="M381" s="18">
        <f>HOUR(orders!$K381)</f>
        <v>13</v>
      </c>
      <c r="N381" s="16" t="str">
        <f t="shared" si="27"/>
        <v>November</v>
      </c>
      <c r="O381" s="17">
        <v>0.98653935185185182</v>
      </c>
      <c r="P381" s="17" t="str">
        <f>_xlfn.XLOOKUP(B381,[2]customers!$A$2:$A$101,[2]customers!$C$2:$C$101)</f>
        <v>Madurai</v>
      </c>
      <c r="Q381" s="14" t="s">
        <v>338</v>
      </c>
      <c r="R381" s="14" t="s">
        <v>15</v>
      </c>
      <c r="S381" s="15">
        <f t="shared" si="28"/>
        <v>3308</v>
      </c>
      <c r="T381" s="19">
        <f t="shared" si="29"/>
        <v>7</v>
      </c>
    </row>
    <row r="382" spans="1:20" x14ac:dyDescent="0.3">
      <c r="A382" s="20">
        <v>381</v>
      </c>
      <c r="B382" s="20" t="s">
        <v>43</v>
      </c>
      <c r="C382" s="20">
        <v>25</v>
      </c>
      <c r="D382" s="20" t="s">
        <v>471</v>
      </c>
      <c r="E382" s="20" t="s">
        <v>447</v>
      </c>
      <c r="F382" s="20">
        <v>3</v>
      </c>
      <c r="G382" s="21">
        <f>_xlfn.XLOOKUP(C382,[1]products!$A$2:$A$71,[1]products!$D$2:$D$71)</f>
        <v>1202</v>
      </c>
      <c r="H382" s="22">
        <v>44951</v>
      </c>
      <c r="I382" s="22" t="str">
        <f t="shared" si="25"/>
        <v>January</v>
      </c>
      <c r="J382" s="22" t="str">
        <f t="shared" si="26"/>
        <v>Wednesday</v>
      </c>
      <c r="K382" s="23">
        <v>0.77086805555555549</v>
      </c>
      <c r="L382" s="22">
        <v>44954</v>
      </c>
      <c r="M382" s="24">
        <f>HOUR(orders!$K382)</f>
        <v>18</v>
      </c>
      <c r="N382" s="22" t="str">
        <f t="shared" si="27"/>
        <v>January</v>
      </c>
      <c r="O382" s="23">
        <v>0.26465277777777779</v>
      </c>
      <c r="P382" s="23" t="str">
        <f>_xlfn.XLOOKUP(B382,[2]customers!$A$2:$A$101,[2]customers!$C$2:$C$101)</f>
        <v>Mangalore</v>
      </c>
      <c r="Q382" s="20" t="s">
        <v>312</v>
      </c>
      <c r="R382" s="20" t="s">
        <v>12</v>
      </c>
      <c r="S382" s="21">
        <f t="shared" si="28"/>
        <v>3606</v>
      </c>
      <c r="T382" s="25">
        <f t="shared" si="29"/>
        <v>3</v>
      </c>
    </row>
    <row r="383" spans="1:20" x14ac:dyDescent="0.3">
      <c r="A383" s="14">
        <v>382</v>
      </c>
      <c r="B383" s="14" t="s">
        <v>291</v>
      </c>
      <c r="C383" s="14">
        <v>24</v>
      </c>
      <c r="D383" s="14" t="s">
        <v>485</v>
      </c>
      <c r="E383" s="14" t="s">
        <v>458</v>
      </c>
      <c r="F383" s="14">
        <v>1</v>
      </c>
      <c r="G383" s="15">
        <f>_xlfn.XLOOKUP(C383,[1]products!$A$2:$A$71,[1]products!$D$2:$D$71)</f>
        <v>535</v>
      </c>
      <c r="H383" s="16">
        <v>45080</v>
      </c>
      <c r="I383" s="16" t="str">
        <f t="shared" si="25"/>
        <v>June</v>
      </c>
      <c r="J383" s="16" t="str">
        <f t="shared" si="26"/>
        <v>Saturday</v>
      </c>
      <c r="K383" s="17">
        <v>0.41827546296296297</v>
      </c>
      <c r="L383" s="16">
        <v>45090</v>
      </c>
      <c r="M383" s="18">
        <f>HOUR(orders!$K383)</f>
        <v>10</v>
      </c>
      <c r="N383" s="16" t="str">
        <f t="shared" si="27"/>
        <v>June</v>
      </c>
      <c r="O383" s="17">
        <v>0.91236111111111118</v>
      </c>
      <c r="P383" s="17" t="str">
        <f>_xlfn.XLOOKUP(B383,[2]customers!$A$2:$A$101,[2]customers!$C$2:$C$101)</f>
        <v>Bilaspur</v>
      </c>
      <c r="Q383" s="14" t="s">
        <v>228</v>
      </c>
      <c r="R383" s="14" t="s">
        <v>20</v>
      </c>
      <c r="S383" s="15">
        <f t="shared" si="28"/>
        <v>535</v>
      </c>
      <c r="T383" s="19">
        <f t="shared" si="29"/>
        <v>10</v>
      </c>
    </row>
    <row r="384" spans="1:20" x14ac:dyDescent="0.3">
      <c r="A384" s="20">
        <v>383</v>
      </c>
      <c r="B384" s="20" t="s">
        <v>243</v>
      </c>
      <c r="C384" s="20">
        <v>37</v>
      </c>
      <c r="D384" s="20" t="s">
        <v>459</v>
      </c>
      <c r="E384" s="20" t="s">
        <v>429</v>
      </c>
      <c r="F384" s="20">
        <v>1</v>
      </c>
      <c r="G384" s="21">
        <f>_xlfn.XLOOKUP(C384,[1]products!$A$2:$A$71,[1]products!$D$2:$D$71)</f>
        <v>1428</v>
      </c>
      <c r="H384" s="22">
        <v>45236</v>
      </c>
      <c r="I384" s="22" t="str">
        <f t="shared" si="25"/>
        <v>November</v>
      </c>
      <c r="J384" s="22" t="str">
        <f t="shared" si="26"/>
        <v>Monday</v>
      </c>
      <c r="K384" s="23">
        <v>1.1631944444444445E-2</v>
      </c>
      <c r="L384" s="22">
        <v>45238</v>
      </c>
      <c r="M384" s="24">
        <f>HOUR(orders!$K384)</f>
        <v>0</v>
      </c>
      <c r="N384" s="22" t="str">
        <f t="shared" si="27"/>
        <v>November</v>
      </c>
      <c r="O384" s="23">
        <v>0.84018518518518526</v>
      </c>
      <c r="P384" s="23" t="str">
        <f>_xlfn.XLOOKUP(B384,[2]customers!$A$2:$A$101,[2]customers!$C$2:$C$101)</f>
        <v>Tenali</v>
      </c>
      <c r="Q384" s="20" t="s">
        <v>324</v>
      </c>
      <c r="R384" s="20" t="s">
        <v>15</v>
      </c>
      <c r="S384" s="21">
        <f t="shared" si="28"/>
        <v>1428</v>
      </c>
      <c r="T384" s="25">
        <f t="shared" si="29"/>
        <v>2</v>
      </c>
    </row>
    <row r="385" spans="1:20" x14ac:dyDescent="0.3">
      <c r="A385" s="14">
        <v>384</v>
      </c>
      <c r="B385" s="14" t="s">
        <v>251</v>
      </c>
      <c r="C385" s="14">
        <v>25</v>
      </c>
      <c r="D385" s="14" t="s">
        <v>471</v>
      </c>
      <c r="E385" s="14" t="s">
        <v>447</v>
      </c>
      <c r="F385" s="14">
        <v>3</v>
      </c>
      <c r="G385" s="15">
        <f>_xlfn.XLOOKUP(C385,[1]products!$A$2:$A$71,[1]products!$D$2:$D$71)</f>
        <v>1202</v>
      </c>
      <c r="H385" s="16">
        <v>45057</v>
      </c>
      <c r="I385" s="16" t="str">
        <f t="shared" si="25"/>
        <v>May</v>
      </c>
      <c r="J385" s="16" t="str">
        <f t="shared" si="26"/>
        <v>Thursday</v>
      </c>
      <c r="K385" s="17">
        <v>0.70690972222222215</v>
      </c>
      <c r="L385" s="16">
        <v>45061</v>
      </c>
      <c r="M385" s="18">
        <f>HOUR(orders!$K385)</f>
        <v>16</v>
      </c>
      <c r="N385" s="16" t="str">
        <f t="shared" si="27"/>
        <v>May</v>
      </c>
      <c r="O385" s="17">
        <v>0.58140046296296299</v>
      </c>
      <c r="P385" s="17" t="str">
        <f>_xlfn.XLOOKUP(B385,[2]customers!$A$2:$A$101,[2]customers!$C$2:$C$101)</f>
        <v>Miryalaguda</v>
      </c>
      <c r="Q385" s="14" t="s">
        <v>234</v>
      </c>
      <c r="R385" s="14" t="s">
        <v>12</v>
      </c>
      <c r="S385" s="15">
        <f t="shared" si="28"/>
        <v>3606</v>
      </c>
      <c r="T385" s="19">
        <f t="shared" si="29"/>
        <v>4</v>
      </c>
    </row>
    <row r="386" spans="1:20" x14ac:dyDescent="0.3">
      <c r="A386" s="20">
        <v>385</v>
      </c>
      <c r="B386" s="20" t="s">
        <v>339</v>
      </c>
      <c r="C386" s="20">
        <v>50</v>
      </c>
      <c r="D386" s="20" t="s">
        <v>487</v>
      </c>
      <c r="E386" s="20" t="s">
        <v>447</v>
      </c>
      <c r="F386" s="20">
        <v>4</v>
      </c>
      <c r="G386" s="21">
        <f>_xlfn.XLOOKUP(C386,[1]products!$A$2:$A$71,[1]products!$D$2:$D$71)</f>
        <v>422</v>
      </c>
      <c r="H386" s="22">
        <v>44988</v>
      </c>
      <c r="I386" s="22" t="str">
        <f t="shared" si="25"/>
        <v>March</v>
      </c>
      <c r="J386" s="22" t="str">
        <f t="shared" si="26"/>
        <v>Friday</v>
      </c>
      <c r="K386" s="23">
        <v>5.2789351851851851E-2</v>
      </c>
      <c r="L386" s="22">
        <v>44993</v>
      </c>
      <c r="M386" s="24">
        <f>HOUR(orders!$K386)</f>
        <v>1</v>
      </c>
      <c r="N386" s="22" t="str">
        <f t="shared" si="27"/>
        <v>March</v>
      </c>
      <c r="O386" s="23">
        <v>0.44881944444444444</v>
      </c>
      <c r="P386" s="23" t="str">
        <f>_xlfn.XLOOKUP(B386,[2]customers!$A$2:$A$101,[2]customers!$C$2:$C$101)</f>
        <v>Bulandshahr</v>
      </c>
      <c r="Q386" s="20" t="s">
        <v>290</v>
      </c>
      <c r="R386" s="20" t="s">
        <v>36</v>
      </c>
      <c r="S386" s="21">
        <f t="shared" si="28"/>
        <v>1688</v>
      </c>
      <c r="T386" s="25">
        <f t="shared" si="29"/>
        <v>5</v>
      </c>
    </row>
    <row r="387" spans="1:20" x14ac:dyDescent="0.3">
      <c r="A387" s="14">
        <v>386</v>
      </c>
      <c r="B387" s="14" t="s">
        <v>61</v>
      </c>
      <c r="C387" s="14">
        <v>5</v>
      </c>
      <c r="D387" s="14" t="s">
        <v>467</v>
      </c>
      <c r="E387" s="14" t="s">
        <v>429</v>
      </c>
      <c r="F387" s="14">
        <v>4</v>
      </c>
      <c r="G387" s="15">
        <f>_xlfn.XLOOKUP(C387,[1]products!$A$2:$A$71,[1]products!$D$2:$D$71)</f>
        <v>1444</v>
      </c>
      <c r="H387" s="16">
        <v>45081</v>
      </c>
      <c r="I387" s="16" t="str">
        <f t="shared" ref="I387:I450" si="30">TEXT(H387,"mmmm")</f>
        <v>June</v>
      </c>
      <c r="J387" s="16" t="str">
        <f t="shared" ref="J387:J450" si="31">TEXT(H387,"dddd")</f>
        <v>Sunday</v>
      </c>
      <c r="K387" s="17">
        <v>0.53315972222222219</v>
      </c>
      <c r="L387" s="16">
        <v>45091</v>
      </c>
      <c r="M387" s="18">
        <f>HOUR(orders!$K387)</f>
        <v>12</v>
      </c>
      <c r="N387" s="16" t="str">
        <f t="shared" ref="N387:N450" si="32">TEXT(L387,"mmmm")</f>
        <v>June</v>
      </c>
      <c r="O387" s="17">
        <v>0.89908564814814806</v>
      </c>
      <c r="P387" s="17" t="str">
        <f>_xlfn.XLOOKUP(B387,[2]customers!$A$2:$A$101,[2]customers!$C$2:$C$101)</f>
        <v>New Delhi</v>
      </c>
      <c r="Q387" s="14" t="s">
        <v>267</v>
      </c>
      <c r="R387" s="14" t="s">
        <v>60</v>
      </c>
      <c r="S387" s="15">
        <f t="shared" ref="S387:S450" si="33">G387*F387</f>
        <v>5776</v>
      </c>
      <c r="T387" s="19">
        <f t="shared" ref="T387:T450" si="34">L387-H387</f>
        <v>10</v>
      </c>
    </row>
    <row r="388" spans="1:20" x14ac:dyDescent="0.3">
      <c r="A388" s="20">
        <v>387</v>
      </c>
      <c r="B388" s="20" t="s">
        <v>153</v>
      </c>
      <c r="C388" s="20">
        <v>1</v>
      </c>
      <c r="D388" s="20" t="s">
        <v>479</v>
      </c>
      <c r="E388" s="20" t="s">
        <v>445</v>
      </c>
      <c r="F388" s="20">
        <v>2</v>
      </c>
      <c r="G388" s="21">
        <f>_xlfn.XLOOKUP(C388,[1]products!$A$2:$A$71,[1]products!$D$2:$D$71)</f>
        <v>1935</v>
      </c>
      <c r="H388" s="22">
        <v>45046</v>
      </c>
      <c r="I388" s="22" t="str">
        <f t="shared" si="30"/>
        <v>April</v>
      </c>
      <c r="J388" s="22" t="str">
        <f t="shared" si="31"/>
        <v>Sunday</v>
      </c>
      <c r="K388" s="23">
        <v>0.23501157407407405</v>
      </c>
      <c r="L388" s="22">
        <v>45055</v>
      </c>
      <c r="M388" s="24">
        <f>HOUR(orders!$K388)</f>
        <v>5</v>
      </c>
      <c r="N388" s="22" t="str">
        <f t="shared" si="32"/>
        <v>May</v>
      </c>
      <c r="O388" s="23">
        <v>9.4421296296296295E-2</v>
      </c>
      <c r="P388" s="23" t="str">
        <f>_xlfn.XLOOKUP(B388,[2]customers!$A$2:$A$101,[2]customers!$C$2:$C$101)</f>
        <v>Kavali</v>
      </c>
      <c r="Q388" s="20" t="s">
        <v>111</v>
      </c>
      <c r="R388" s="20" t="s">
        <v>60</v>
      </c>
      <c r="S388" s="21">
        <f t="shared" si="33"/>
        <v>3870</v>
      </c>
      <c r="T388" s="25">
        <f t="shared" si="34"/>
        <v>9</v>
      </c>
    </row>
    <row r="389" spans="1:20" x14ac:dyDescent="0.3">
      <c r="A389" s="14">
        <v>388</v>
      </c>
      <c r="B389" s="14" t="s">
        <v>83</v>
      </c>
      <c r="C389" s="14">
        <v>36</v>
      </c>
      <c r="D389" s="14" t="s">
        <v>468</v>
      </c>
      <c r="E389" s="14" t="s">
        <v>447</v>
      </c>
      <c r="F389" s="14">
        <v>2</v>
      </c>
      <c r="G389" s="15">
        <f>_xlfn.XLOOKUP(C389,[1]products!$A$2:$A$71,[1]products!$D$2:$D$71)</f>
        <v>203</v>
      </c>
      <c r="H389" s="16">
        <v>45240</v>
      </c>
      <c r="I389" s="16" t="str">
        <f t="shared" si="30"/>
        <v>November</v>
      </c>
      <c r="J389" s="16" t="str">
        <f t="shared" si="31"/>
        <v>Friday</v>
      </c>
      <c r="K389" s="17">
        <v>1.0532407407407407E-2</v>
      </c>
      <c r="L389" s="16">
        <v>45248</v>
      </c>
      <c r="M389" s="18">
        <f>HOUR(orders!$K389)</f>
        <v>0</v>
      </c>
      <c r="N389" s="16" t="str">
        <f t="shared" si="32"/>
        <v>November</v>
      </c>
      <c r="O389" s="17">
        <v>0.4424305555555556</v>
      </c>
      <c r="P389" s="17" t="str">
        <f>_xlfn.XLOOKUP(B389,[2]customers!$A$2:$A$101,[2]customers!$C$2:$C$101)</f>
        <v>Malegaon</v>
      </c>
      <c r="Q389" s="14" t="s">
        <v>214</v>
      </c>
      <c r="R389" s="14" t="s">
        <v>20</v>
      </c>
      <c r="S389" s="15">
        <f t="shared" si="33"/>
        <v>406</v>
      </c>
      <c r="T389" s="19">
        <f t="shared" si="34"/>
        <v>8</v>
      </c>
    </row>
    <row r="390" spans="1:20" x14ac:dyDescent="0.3">
      <c r="A390" s="20">
        <v>389</v>
      </c>
      <c r="B390" s="20" t="s">
        <v>153</v>
      </c>
      <c r="C390" s="20">
        <v>29</v>
      </c>
      <c r="D390" s="20" t="s">
        <v>497</v>
      </c>
      <c r="E390" s="20" t="s">
        <v>429</v>
      </c>
      <c r="F390" s="20">
        <v>2</v>
      </c>
      <c r="G390" s="21">
        <f>_xlfn.XLOOKUP(C390,[1]products!$A$2:$A$71,[1]products!$D$2:$D$71)</f>
        <v>1252</v>
      </c>
      <c r="H390" s="22">
        <v>44991</v>
      </c>
      <c r="I390" s="22" t="str">
        <f t="shared" si="30"/>
        <v>March</v>
      </c>
      <c r="J390" s="22" t="str">
        <f t="shared" si="31"/>
        <v>Monday</v>
      </c>
      <c r="K390" s="23">
        <v>0.14326388888888889</v>
      </c>
      <c r="L390" s="22">
        <v>45001</v>
      </c>
      <c r="M390" s="24">
        <f>HOUR(orders!$K390)</f>
        <v>3</v>
      </c>
      <c r="N390" s="22" t="str">
        <f t="shared" si="32"/>
        <v>March</v>
      </c>
      <c r="O390" s="23">
        <v>0.75949074074074074</v>
      </c>
      <c r="P390" s="23" t="str">
        <f>_xlfn.XLOOKUP(B390,[2]customers!$A$2:$A$101,[2]customers!$C$2:$C$101)</f>
        <v>Kavali</v>
      </c>
      <c r="Q390" s="20" t="s">
        <v>154</v>
      </c>
      <c r="R390" s="20" t="s">
        <v>36</v>
      </c>
      <c r="S390" s="21">
        <f t="shared" si="33"/>
        <v>2504</v>
      </c>
      <c r="T390" s="25">
        <f t="shared" si="34"/>
        <v>10</v>
      </c>
    </row>
    <row r="391" spans="1:20" x14ac:dyDescent="0.3">
      <c r="A391" s="14">
        <v>390</v>
      </c>
      <c r="B391" s="14" t="s">
        <v>260</v>
      </c>
      <c r="C391" s="14">
        <v>26</v>
      </c>
      <c r="D391" s="14" t="s">
        <v>473</v>
      </c>
      <c r="E391" s="14" t="s">
        <v>429</v>
      </c>
      <c r="F391" s="14">
        <v>4</v>
      </c>
      <c r="G391" s="15">
        <f>_xlfn.XLOOKUP(C391,[1]products!$A$2:$A$71,[1]products!$D$2:$D$71)</f>
        <v>289</v>
      </c>
      <c r="H391" s="16">
        <v>44988</v>
      </c>
      <c r="I391" s="16" t="str">
        <f t="shared" si="30"/>
        <v>March</v>
      </c>
      <c r="J391" s="16" t="str">
        <f t="shared" si="31"/>
        <v>Friday</v>
      </c>
      <c r="K391" s="17">
        <v>0.65342592592592597</v>
      </c>
      <c r="L391" s="16">
        <v>44995</v>
      </c>
      <c r="M391" s="18">
        <f>HOUR(orders!$K391)</f>
        <v>15</v>
      </c>
      <c r="N391" s="16" t="str">
        <f t="shared" si="32"/>
        <v>March</v>
      </c>
      <c r="O391" s="17">
        <v>0.95980324074074075</v>
      </c>
      <c r="P391" s="17" t="str">
        <f>_xlfn.XLOOKUP(B391,[2]customers!$A$2:$A$101,[2]customers!$C$2:$C$101)</f>
        <v>Vellore</v>
      </c>
      <c r="Q391" s="14" t="s">
        <v>315</v>
      </c>
      <c r="R391" s="14" t="s">
        <v>36</v>
      </c>
      <c r="S391" s="15">
        <f t="shared" si="33"/>
        <v>1156</v>
      </c>
      <c r="T391" s="19">
        <f t="shared" si="34"/>
        <v>7</v>
      </c>
    </row>
    <row r="392" spans="1:20" x14ac:dyDescent="0.3">
      <c r="A392" s="20">
        <v>391</v>
      </c>
      <c r="B392" s="20" t="s">
        <v>184</v>
      </c>
      <c r="C392" s="20">
        <v>22</v>
      </c>
      <c r="D392" s="20" t="s">
        <v>465</v>
      </c>
      <c r="E392" s="20" t="s">
        <v>445</v>
      </c>
      <c r="F392" s="20">
        <v>4</v>
      </c>
      <c r="G392" s="21">
        <f>_xlfn.XLOOKUP(C392,[1]products!$A$2:$A$71,[1]products!$D$2:$D$71)</f>
        <v>1639</v>
      </c>
      <c r="H392" s="22">
        <v>45289</v>
      </c>
      <c r="I392" s="22" t="str">
        <f t="shared" si="30"/>
        <v>December</v>
      </c>
      <c r="J392" s="22" t="str">
        <f t="shared" si="31"/>
        <v>Friday</v>
      </c>
      <c r="K392" s="23">
        <v>0.57229166666666664</v>
      </c>
      <c r="L392" s="22">
        <v>45298</v>
      </c>
      <c r="M392" s="24">
        <f>HOUR(orders!$K392)</f>
        <v>13</v>
      </c>
      <c r="N392" s="22" t="str">
        <f t="shared" si="32"/>
        <v>January</v>
      </c>
      <c r="O392" s="23">
        <v>0.54075231481481478</v>
      </c>
      <c r="P392" s="23" t="str">
        <f>_xlfn.XLOOKUP(B392,[2]customers!$A$2:$A$101,[2]customers!$C$2:$C$101)</f>
        <v>Raurkela Industrial Township</v>
      </c>
      <c r="Q392" s="20" t="s">
        <v>250</v>
      </c>
      <c r="R392" s="20" t="s">
        <v>60</v>
      </c>
      <c r="S392" s="21">
        <f t="shared" si="33"/>
        <v>6556</v>
      </c>
      <c r="T392" s="25">
        <f t="shared" si="34"/>
        <v>9</v>
      </c>
    </row>
    <row r="393" spans="1:20" x14ac:dyDescent="0.3">
      <c r="A393" s="14">
        <v>392</v>
      </c>
      <c r="B393" s="14" t="s">
        <v>233</v>
      </c>
      <c r="C393" s="14">
        <v>4</v>
      </c>
      <c r="D393" s="14" t="s">
        <v>475</v>
      </c>
      <c r="E393" s="14" t="s">
        <v>427</v>
      </c>
      <c r="F393" s="14">
        <v>2</v>
      </c>
      <c r="G393" s="15">
        <f>_xlfn.XLOOKUP(C393,[1]products!$A$2:$A$71,[1]products!$D$2:$D$71)</f>
        <v>1199</v>
      </c>
      <c r="H393" s="16">
        <v>45235</v>
      </c>
      <c r="I393" s="16" t="str">
        <f t="shared" si="30"/>
        <v>November</v>
      </c>
      <c r="J393" s="16" t="str">
        <f t="shared" si="31"/>
        <v>Sunday</v>
      </c>
      <c r="K393" s="17">
        <v>0.13813657407407406</v>
      </c>
      <c r="L393" s="16">
        <v>45236</v>
      </c>
      <c r="M393" s="18">
        <f>HOUR(orders!$K393)</f>
        <v>3</v>
      </c>
      <c r="N393" s="16" t="str">
        <f t="shared" si="32"/>
        <v>November</v>
      </c>
      <c r="O393" s="17">
        <v>0.78690972222222222</v>
      </c>
      <c r="P393" s="17" t="str">
        <f>_xlfn.XLOOKUP(B393,[2]customers!$A$2:$A$101,[2]customers!$C$2:$C$101)</f>
        <v>Raipur</v>
      </c>
      <c r="Q393" s="14" t="s">
        <v>340</v>
      </c>
      <c r="R393" s="14" t="s">
        <v>15</v>
      </c>
      <c r="S393" s="15">
        <f t="shared" si="33"/>
        <v>2398</v>
      </c>
      <c r="T393" s="19">
        <f t="shared" si="34"/>
        <v>1</v>
      </c>
    </row>
    <row r="394" spans="1:20" x14ac:dyDescent="0.3">
      <c r="A394" s="20">
        <v>393</v>
      </c>
      <c r="B394" s="20" t="s">
        <v>198</v>
      </c>
      <c r="C394" s="20">
        <v>17</v>
      </c>
      <c r="D394" s="20" t="s">
        <v>455</v>
      </c>
      <c r="E394" s="20" t="s">
        <v>445</v>
      </c>
      <c r="F394" s="20">
        <v>5</v>
      </c>
      <c r="G394" s="21">
        <f>_xlfn.XLOOKUP(C394,[1]products!$A$2:$A$71,[1]products!$D$2:$D$71)</f>
        <v>1899</v>
      </c>
      <c r="H394" s="22">
        <v>45244</v>
      </c>
      <c r="I394" s="22" t="str">
        <f t="shared" si="30"/>
        <v>November</v>
      </c>
      <c r="J394" s="22" t="str">
        <f t="shared" si="31"/>
        <v>Tuesday</v>
      </c>
      <c r="K394" s="23">
        <v>0.45923611111111112</v>
      </c>
      <c r="L394" s="22">
        <v>45252</v>
      </c>
      <c r="M394" s="24">
        <f>HOUR(orders!$K394)</f>
        <v>11</v>
      </c>
      <c r="N394" s="22" t="str">
        <f t="shared" si="32"/>
        <v>November</v>
      </c>
      <c r="O394" s="23">
        <v>0.67414351851851861</v>
      </c>
      <c r="P394" s="23" t="str">
        <f>_xlfn.XLOOKUP(B394,[2]customers!$A$2:$A$101,[2]customers!$C$2:$C$101)</f>
        <v>North Dumdum</v>
      </c>
      <c r="Q394" s="20" t="s">
        <v>341</v>
      </c>
      <c r="R394" s="20" t="s">
        <v>12</v>
      </c>
      <c r="S394" s="21">
        <f t="shared" si="33"/>
        <v>9495</v>
      </c>
      <c r="T394" s="25">
        <f t="shared" si="34"/>
        <v>8</v>
      </c>
    </row>
    <row r="395" spans="1:20" x14ac:dyDescent="0.3">
      <c r="A395" s="14">
        <v>394</v>
      </c>
      <c r="B395" s="14" t="s">
        <v>134</v>
      </c>
      <c r="C395" s="14">
        <v>38</v>
      </c>
      <c r="D395" s="14" t="s">
        <v>438</v>
      </c>
      <c r="E395" s="14" t="s">
        <v>431</v>
      </c>
      <c r="F395" s="14">
        <v>5</v>
      </c>
      <c r="G395" s="15">
        <f>_xlfn.XLOOKUP(C395,[1]products!$A$2:$A$71,[1]products!$D$2:$D$71)</f>
        <v>562</v>
      </c>
      <c r="H395" s="16">
        <v>45008</v>
      </c>
      <c r="I395" s="16" t="str">
        <f t="shared" si="30"/>
        <v>March</v>
      </c>
      <c r="J395" s="16" t="str">
        <f t="shared" si="31"/>
        <v>Thursday</v>
      </c>
      <c r="K395" s="17">
        <v>0.18515046296296298</v>
      </c>
      <c r="L395" s="16">
        <v>45016</v>
      </c>
      <c r="M395" s="18">
        <f>HOUR(orders!$K395)</f>
        <v>4</v>
      </c>
      <c r="N395" s="16" t="str">
        <f t="shared" si="32"/>
        <v>March</v>
      </c>
      <c r="O395" s="17">
        <v>0.80969907407407404</v>
      </c>
      <c r="P395" s="17" t="str">
        <f>_xlfn.XLOOKUP(B395,[2]customers!$A$2:$A$101,[2]customers!$C$2:$C$101)</f>
        <v>Noida</v>
      </c>
      <c r="Q395" s="14" t="s">
        <v>252</v>
      </c>
      <c r="R395" s="14" t="s">
        <v>20</v>
      </c>
      <c r="S395" s="15">
        <f t="shared" si="33"/>
        <v>2810</v>
      </c>
      <c r="T395" s="19">
        <f t="shared" si="34"/>
        <v>8</v>
      </c>
    </row>
    <row r="396" spans="1:20" x14ac:dyDescent="0.3">
      <c r="A396" s="20">
        <v>395</v>
      </c>
      <c r="B396" s="20" t="s">
        <v>80</v>
      </c>
      <c r="C396" s="20">
        <v>26</v>
      </c>
      <c r="D396" s="20" t="s">
        <v>473</v>
      </c>
      <c r="E396" s="20" t="s">
        <v>429</v>
      </c>
      <c r="F396" s="20">
        <v>2</v>
      </c>
      <c r="G396" s="21">
        <f>_xlfn.XLOOKUP(C396,[1]products!$A$2:$A$71,[1]products!$D$2:$D$71)</f>
        <v>289</v>
      </c>
      <c r="H396" s="22">
        <v>44988</v>
      </c>
      <c r="I396" s="22" t="str">
        <f t="shared" si="30"/>
        <v>March</v>
      </c>
      <c r="J396" s="22" t="str">
        <f t="shared" si="31"/>
        <v>Friday</v>
      </c>
      <c r="K396" s="23">
        <v>0.96868055555555566</v>
      </c>
      <c r="L396" s="22">
        <v>44991</v>
      </c>
      <c r="M396" s="24">
        <f>HOUR(orders!$K396)</f>
        <v>23</v>
      </c>
      <c r="N396" s="22" t="str">
        <f t="shared" si="32"/>
        <v>March</v>
      </c>
      <c r="O396" s="23">
        <v>0.77265046296296302</v>
      </c>
      <c r="P396" s="23" t="str">
        <f>_xlfn.XLOOKUP(B396,[2]customers!$A$2:$A$101,[2]customers!$C$2:$C$101)</f>
        <v>Anand</v>
      </c>
      <c r="Q396" s="20" t="s">
        <v>318</v>
      </c>
      <c r="R396" s="20" t="s">
        <v>36</v>
      </c>
      <c r="S396" s="21">
        <f t="shared" si="33"/>
        <v>578</v>
      </c>
      <c r="T396" s="25">
        <f t="shared" si="34"/>
        <v>3</v>
      </c>
    </row>
    <row r="397" spans="1:20" x14ac:dyDescent="0.3">
      <c r="A397" s="14">
        <v>396</v>
      </c>
      <c r="B397" s="14" t="s">
        <v>239</v>
      </c>
      <c r="C397" s="14">
        <v>10</v>
      </c>
      <c r="D397" s="14" t="s">
        <v>452</v>
      </c>
      <c r="E397" s="14" t="s">
        <v>431</v>
      </c>
      <c r="F397" s="14">
        <v>5</v>
      </c>
      <c r="G397" s="15">
        <f>_xlfn.XLOOKUP(C397,[1]products!$A$2:$A$71,[1]products!$D$2:$D$71)</f>
        <v>259</v>
      </c>
      <c r="H397" s="16">
        <v>45000</v>
      </c>
      <c r="I397" s="16" t="str">
        <f t="shared" si="30"/>
        <v>March</v>
      </c>
      <c r="J397" s="16" t="str">
        <f t="shared" si="31"/>
        <v>Wednesday</v>
      </c>
      <c r="K397" s="17">
        <v>0.64650462962962962</v>
      </c>
      <c r="L397" s="16">
        <v>45001</v>
      </c>
      <c r="M397" s="18">
        <f>HOUR(orders!$K397)</f>
        <v>15</v>
      </c>
      <c r="N397" s="16" t="str">
        <f t="shared" si="32"/>
        <v>March</v>
      </c>
      <c r="O397" s="17">
        <v>7.2928240740740738E-2</v>
      </c>
      <c r="P397" s="17" t="str">
        <f>_xlfn.XLOOKUP(B397,[2]customers!$A$2:$A$101,[2]customers!$C$2:$C$101)</f>
        <v>Kalyan-Dombivli</v>
      </c>
      <c r="Q397" s="14" t="s">
        <v>229</v>
      </c>
      <c r="R397" s="14" t="s">
        <v>20</v>
      </c>
      <c r="S397" s="15">
        <f t="shared" si="33"/>
        <v>1295</v>
      </c>
      <c r="T397" s="19">
        <f t="shared" si="34"/>
        <v>1</v>
      </c>
    </row>
    <row r="398" spans="1:20" x14ac:dyDescent="0.3">
      <c r="A398" s="20">
        <v>397</v>
      </c>
      <c r="B398" s="20" t="s">
        <v>331</v>
      </c>
      <c r="C398" s="20">
        <v>4</v>
      </c>
      <c r="D398" s="20" t="s">
        <v>475</v>
      </c>
      <c r="E398" s="20" t="s">
        <v>427</v>
      </c>
      <c r="F398" s="20">
        <v>5</v>
      </c>
      <c r="G398" s="21">
        <f>_xlfn.XLOOKUP(C398,[1]products!$A$2:$A$71,[1]products!$D$2:$D$71)</f>
        <v>1199</v>
      </c>
      <c r="H398" s="22">
        <v>45239</v>
      </c>
      <c r="I398" s="22" t="str">
        <f t="shared" si="30"/>
        <v>November</v>
      </c>
      <c r="J398" s="22" t="str">
        <f t="shared" si="31"/>
        <v>Thursday</v>
      </c>
      <c r="K398" s="23">
        <v>0.28343750000000001</v>
      </c>
      <c r="L398" s="22">
        <v>45244</v>
      </c>
      <c r="M398" s="24">
        <f>HOUR(orders!$K398)</f>
        <v>6</v>
      </c>
      <c r="N398" s="22" t="str">
        <f t="shared" si="32"/>
        <v>November</v>
      </c>
      <c r="O398" s="23">
        <v>0.56428240740740743</v>
      </c>
      <c r="P398" s="23" t="str">
        <f>_xlfn.XLOOKUP(B398,[2]customers!$A$2:$A$101,[2]customers!$C$2:$C$101)</f>
        <v>Bhatpara</v>
      </c>
      <c r="Q398" s="20" t="s">
        <v>276</v>
      </c>
      <c r="R398" s="20" t="s">
        <v>15</v>
      </c>
      <c r="S398" s="21">
        <f t="shared" si="33"/>
        <v>5995</v>
      </c>
      <c r="T398" s="25">
        <f t="shared" si="34"/>
        <v>5</v>
      </c>
    </row>
    <row r="399" spans="1:20" x14ac:dyDescent="0.3">
      <c r="A399" s="14">
        <v>398</v>
      </c>
      <c r="B399" s="14" t="s">
        <v>86</v>
      </c>
      <c r="C399" s="14">
        <v>54</v>
      </c>
      <c r="D399" s="14" t="s">
        <v>461</v>
      </c>
      <c r="E399" s="14" t="s">
        <v>431</v>
      </c>
      <c r="F399" s="14">
        <v>1</v>
      </c>
      <c r="G399" s="15">
        <f>_xlfn.XLOOKUP(C399,[1]products!$A$2:$A$71,[1]products!$D$2:$D$71)</f>
        <v>1236</v>
      </c>
      <c r="H399" s="16">
        <v>45051</v>
      </c>
      <c r="I399" s="16" t="str">
        <f t="shared" si="30"/>
        <v>May</v>
      </c>
      <c r="J399" s="16" t="str">
        <f t="shared" si="31"/>
        <v>Friday</v>
      </c>
      <c r="K399" s="17">
        <v>0.36482638888888891</v>
      </c>
      <c r="L399" s="16">
        <v>45061</v>
      </c>
      <c r="M399" s="18">
        <f>HOUR(orders!$K399)</f>
        <v>8</v>
      </c>
      <c r="N399" s="16" t="str">
        <f t="shared" si="32"/>
        <v>May</v>
      </c>
      <c r="O399" s="17">
        <v>0.4178587962962963</v>
      </c>
      <c r="P399" s="17" t="str">
        <f>_xlfn.XLOOKUP(B399,[2]customers!$A$2:$A$101,[2]customers!$C$2:$C$101)</f>
        <v>Bhopal</v>
      </c>
      <c r="Q399" s="14" t="s">
        <v>262</v>
      </c>
      <c r="R399" s="14" t="s">
        <v>12</v>
      </c>
      <c r="S399" s="15">
        <f t="shared" si="33"/>
        <v>1236</v>
      </c>
      <c r="T399" s="19">
        <f t="shared" si="34"/>
        <v>10</v>
      </c>
    </row>
    <row r="400" spans="1:20" x14ac:dyDescent="0.3">
      <c r="A400" s="20">
        <v>399</v>
      </c>
      <c r="B400" s="20" t="s">
        <v>140</v>
      </c>
      <c r="C400" s="20">
        <v>68</v>
      </c>
      <c r="D400" s="20" t="s">
        <v>494</v>
      </c>
      <c r="E400" s="20" t="s">
        <v>445</v>
      </c>
      <c r="F400" s="20">
        <v>1</v>
      </c>
      <c r="G400" s="21">
        <f>_xlfn.XLOOKUP(C400,[1]products!$A$2:$A$71,[1]products!$D$2:$D$71)</f>
        <v>597</v>
      </c>
      <c r="H400" s="22">
        <v>44965</v>
      </c>
      <c r="I400" s="22" t="str">
        <f t="shared" si="30"/>
        <v>February</v>
      </c>
      <c r="J400" s="22" t="str">
        <f t="shared" si="31"/>
        <v>Wednesday</v>
      </c>
      <c r="K400" s="23">
        <v>0.26512731481481483</v>
      </c>
      <c r="L400" s="22">
        <v>44972</v>
      </c>
      <c r="M400" s="24">
        <f>HOUR(orders!$K400)</f>
        <v>6</v>
      </c>
      <c r="N400" s="22" t="str">
        <f t="shared" si="32"/>
        <v>February</v>
      </c>
      <c r="O400" s="23">
        <v>0.29738425925925926</v>
      </c>
      <c r="P400" s="23" t="str">
        <f>_xlfn.XLOOKUP(B400,[2]customers!$A$2:$A$101,[2]customers!$C$2:$C$101)</f>
        <v>Chinsurah</v>
      </c>
      <c r="Q400" s="20" t="s">
        <v>250</v>
      </c>
      <c r="R400" s="20" t="s">
        <v>23</v>
      </c>
      <c r="S400" s="21">
        <f t="shared" si="33"/>
        <v>597</v>
      </c>
      <c r="T400" s="25">
        <f t="shared" si="34"/>
        <v>7</v>
      </c>
    </row>
    <row r="401" spans="1:20" x14ac:dyDescent="0.3">
      <c r="A401" s="14">
        <v>400</v>
      </c>
      <c r="B401" s="14" t="s">
        <v>184</v>
      </c>
      <c r="C401" s="14">
        <v>45</v>
      </c>
      <c r="D401" s="14" t="s">
        <v>433</v>
      </c>
      <c r="E401" s="14" t="s">
        <v>26</v>
      </c>
      <c r="F401" s="14">
        <v>3</v>
      </c>
      <c r="G401" s="15">
        <f>_xlfn.XLOOKUP(C401,[1]products!$A$2:$A$71,[1]products!$D$2:$D$71)</f>
        <v>722</v>
      </c>
      <c r="H401" s="16">
        <v>45053</v>
      </c>
      <c r="I401" s="16" t="str">
        <f t="shared" si="30"/>
        <v>May</v>
      </c>
      <c r="J401" s="16" t="str">
        <f t="shared" si="31"/>
        <v>Sunday</v>
      </c>
      <c r="K401" s="17">
        <v>0.58681712962962962</v>
      </c>
      <c r="L401" s="16">
        <v>45061</v>
      </c>
      <c r="M401" s="18">
        <f>HOUR(orders!$K401)</f>
        <v>14</v>
      </c>
      <c r="N401" s="16" t="str">
        <f t="shared" si="32"/>
        <v>May</v>
      </c>
      <c r="O401" s="17">
        <v>0.75755787037037037</v>
      </c>
      <c r="P401" s="17" t="str">
        <f>_xlfn.XLOOKUP(B401,[2]customers!$A$2:$A$101,[2]customers!$C$2:$C$101)</f>
        <v>Raurkela Industrial Township</v>
      </c>
      <c r="Q401" s="14" t="s">
        <v>207</v>
      </c>
      <c r="R401" s="14" t="s">
        <v>20</v>
      </c>
      <c r="S401" s="15">
        <f t="shared" si="33"/>
        <v>2166</v>
      </c>
      <c r="T401" s="19">
        <f t="shared" si="34"/>
        <v>8</v>
      </c>
    </row>
    <row r="402" spans="1:20" x14ac:dyDescent="0.3">
      <c r="A402" s="20">
        <v>401</v>
      </c>
      <c r="B402" s="20" t="s">
        <v>253</v>
      </c>
      <c r="C402" s="20">
        <v>9</v>
      </c>
      <c r="D402" s="20" t="s">
        <v>451</v>
      </c>
      <c r="E402" s="20" t="s">
        <v>429</v>
      </c>
      <c r="F402" s="20">
        <v>5</v>
      </c>
      <c r="G402" s="21">
        <f>_xlfn.XLOOKUP(C402,[1]products!$A$2:$A$71,[1]products!$D$2:$D$71)</f>
        <v>1605</v>
      </c>
      <c r="H402" s="22">
        <v>45167</v>
      </c>
      <c r="I402" s="22" t="str">
        <f t="shared" si="30"/>
        <v>August</v>
      </c>
      <c r="J402" s="22" t="str">
        <f t="shared" si="31"/>
        <v>Tuesday</v>
      </c>
      <c r="K402" s="23">
        <v>0.82885416666666656</v>
      </c>
      <c r="L402" s="22">
        <v>45173</v>
      </c>
      <c r="M402" s="24">
        <f>HOUR(orders!$K402)</f>
        <v>19</v>
      </c>
      <c r="N402" s="22" t="str">
        <f t="shared" si="32"/>
        <v>September</v>
      </c>
      <c r="O402" s="23">
        <v>0.30494212962962963</v>
      </c>
      <c r="P402" s="23" t="str">
        <f>_xlfn.XLOOKUP(B402,[2]customers!$A$2:$A$101,[2]customers!$C$2:$C$101)</f>
        <v>Nellore</v>
      </c>
      <c r="Q402" s="20" t="s">
        <v>203</v>
      </c>
      <c r="R402" s="20" t="s">
        <v>26</v>
      </c>
      <c r="S402" s="21">
        <f t="shared" si="33"/>
        <v>8025</v>
      </c>
      <c r="T402" s="25">
        <f t="shared" si="34"/>
        <v>6</v>
      </c>
    </row>
    <row r="403" spans="1:20" x14ac:dyDescent="0.3">
      <c r="A403" s="14">
        <v>402</v>
      </c>
      <c r="B403" s="14" t="s">
        <v>10</v>
      </c>
      <c r="C403" s="14">
        <v>29</v>
      </c>
      <c r="D403" s="14" t="s">
        <v>497</v>
      </c>
      <c r="E403" s="14" t="s">
        <v>429</v>
      </c>
      <c r="F403" s="14">
        <v>1</v>
      </c>
      <c r="G403" s="15">
        <f>_xlfn.XLOOKUP(C403,[1]products!$A$2:$A$71,[1]products!$D$2:$D$71)</f>
        <v>1252</v>
      </c>
      <c r="H403" s="16">
        <v>44990</v>
      </c>
      <c r="I403" s="16" t="str">
        <f t="shared" si="30"/>
        <v>March</v>
      </c>
      <c r="J403" s="16" t="str">
        <f t="shared" si="31"/>
        <v>Sunday</v>
      </c>
      <c r="K403" s="17">
        <v>0.69616898148148154</v>
      </c>
      <c r="L403" s="16">
        <v>44993</v>
      </c>
      <c r="M403" s="18">
        <f>HOUR(orders!$K403)</f>
        <v>16</v>
      </c>
      <c r="N403" s="16" t="str">
        <f t="shared" si="32"/>
        <v>March</v>
      </c>
      <c r="O403" s="17">
        <v>0.5644675925925926</v>
      </c>
      <c r="P403" s="17" t="str">
        <f>_xlfn.XLOOKUP(B403,[2]customers!$A$2:$A$101,[2]customers!$C$2:$C$101)</f>
        <v>Davanagere</v>
      </c>
      <c r="Q403" s="14" t="s">
        <v>126</v>
      </c>
      <c r="R403" s="14" t="s">
        <v>36</v>
      </c>
      <c r="S403" s="15">
        <f t="shared" si="33"/>
        <v>1252</v>
      </c>
      <c r="T403" s="19">
        <f t="shared" si="34"/>
        <v>3</v>
      </c>
    </row>
    <row r="404" spans="1:20" x14ac:dyDescent="0.3">
      <c r="A404" s="20">
        <v>403</v>
      </c>
      <c r="B404" s="20" t="s">
        <v>172</v>
      </c>
      <c r="C404" s="20">
        <v>57</v>
      </c>
      <c r="D404" s="20" t="s">
        <v>488</v>
      </c>
      <c r="E404" s="20" t="s">
        <v>429</v>
      </c>
      <c r="F404" s="20">
        <v>1</v>
      </c>
      <c r="G404" s="21">
        <f>_xlfn.XLOOKUP(C404,[1]products!$A$2:$A$71,[1]products!$D$2:$D$71)</f>
        <v>1582</v>
      </c>
      <c r="H404" s="22">
        <v>44932</v>
      </c>
      <c r="I404" s="22" t="str">
        <f t="shared" si="30"/>
        <v>January</v>
      </c>
      <c r="J404" s="22" t="str">
        <f t="shared" si="31"/>
        <v>Friday</v>
      </c>
      <c r="K404" s="23">
        <v>0.4899074074074074</v>
      </c>
      <c r="L404" s="22">
        <v>44942</v>
      </c>
      <c r="M404" s="24">
        <f>HOUR(orders!$K404)</f>
        <v>11</v>
      </c>
      <c r="N404" s="22" t="str">
        <f t="shared" si="32"/>
        <v>January</v>
      </c>
      <c r="O404" s="23">
        <v>0.84266203703703713</v>
      </c>
      <c r="P404" s="23" t="str">
        <f>_xlfn.XLOOKUP(B404,[2]customers!$A$2:$A$101,[2]customers!$C$2:$C$101)</f>
        <v>Aligarh</v>
      </c>
      <c r="Q404" s="20" t="s">
        <v>342</v>
      </c>
      <c r="R404" s="20" t="s">
        <v>20</v>
      </c>
      <c r="S404" s="21">
        <f t="shared" si="33"/>
        <v>1582</v>
      </c>
      <c r="T404" s="25">
        <f t="shared" si="34"/>
        <v>10</v>
      </c>
    </row>
    <row r="405" spans="1:20" x14ac:dyDescent="0.3">
      <c r="A405" s="14">
        <v>404</v>
      </c>
      <c r="B405" s="14" t="s">
        <v>75</v>
      </c>
      <c r="C405" s="14">
        <v>21</v>
      </c>
      <c r="D405" s="14" t="s">
        <v>436</v>
      </c>
      <c r="E405" s="14" t="s">
        <v>429</v>
      </c>
      <c r="F405" s="14">
        <v>5</v>
      </c>
      <c r="G405" s="15">
        <f>_xlfn.XLOOKUP(C405,[1]products!$A$2:$A$71,[1]products!$D$2:$D$71)</f>
        <v>1561</v>
      </c>
      <c r="H405" s="16">
        <v>45160</v>
      </c>
      <c r="I405" s="16" t="str">
        <f t="shared" si="30"/>
        <v>August</v>
      </c>
      <c r="J405" s="16" t="str">
        <f t="shared" si="31"/>
        <v>Tuesday</v>
      </c>
      <c r="K405" s="17">
        <v>0.3300925925925926</v>
      </c>
      <c r="L405" s="16">
        <v>45162</v>
      </c>
      <c r="M405" s="18">
        <f>HOUR(orders!$K405)</f>
        <v>7</v>
      </c>
      <c r="N405" s="16" t="str">
        <f t="shared" si="32"/>
        <v>August</v>
      </c>
      <c r="O405" s="17">
        <v>0.93563657407407408</v>
      </c>
      <c r="P405" s="17" t="str">
        <f>_xlfn.XLOOKUP(B405,[2]customers!$A$2:$A$101,[2]customers!$C$2:$C$101)</f>
        <v>Imphal</v>
      </c>
      <c r="Q405" s="14" t="s">
        <v>327</v>
      </c>
      <c r="R405" s="14" t="s">
        <v>26</v>
      </c>
      <c r="S405" s="15">
        <f t="shared" si="33"/>
        <v>7805</v>
      </c>
      <c r="T405" s="19">
        <f t="shared" si="34"/>
        <v>2</v>
      </c>
    </row>
    <row r="406" spans="1:20" x14ac:dyDescent="0.3">
      <c r="A406" s="20">
        <v>405</v>
      </c>
      <c r="B406" s="20" t="s">
        <v>123</v>
      </c>
      <c r="C406" s="20">
        <v>49</v>
      </c>
      <c r="D406" s="20" t="s">
        <v>463</v>
      </c>
      <c r="E406" s="20" t="s">
        <v>429</v>
      </c>
      <c r="F406" s="20">
        <v>1</v>
      </c>
      <c r="G406" s="21">
        <f>_xlfn.XLOOKUP(C406,[1]products!$A$2:$A$71,[1]products!$D$2:$D$71)</f>
        <v>903</v>
      </c>
      <c r="H406" s="22">
        <v>44967</v>
      </c>
      <c r="I406" s="22" t="str">
        <f t="shared" si="30"/>
        <v>February</v>
      </c>
      <c r="J406" s="22" t="str">
        <f t="shared" si="31"/>
        <v>Friday</v>
      </c>
      <c r="K406" s="23">
        <v>0.96196759259259268</v>
      </c>
      <c r="L406" s="22">
        <v>44975</v>
      </c>
      <c r="M406" s="24">
        <f>HOUR(orders!$K406)</f>
        <v>23</v>
      </c>
      <c r="N406" s="22" t="str">
        <f t="shared" si="32"/>
        <v>February</v>
      </c>
      <c r="O406" s="23">
        <v>0.61641203703703706</v>
      </c>
      <c r="P406" s="23" t="str">
        <f>_xlfn.XLOOKUP(B406,[2]customers!$A$2:$A$101,[2]customers!$C$2:$C$101)</f>
        <v>Indore</v>
      </c>
      <c r="Q406" s="20" t="s">
        <v>19</v>
      </c>
      <c r="R406" s="20" t="s">
        <v>23</v>
      </c>
      <c r="S406" s="21">
        <f t="shared" si="33"/>
        <v>903</v>
      </c>
      <c r="T406" s="25">
        <f t="shared" si="34"/>
        <v>8</v>
      </c>
    </row>
    <row r="407" spans="1:20" x14ac:dyDescent="0.3">
      <c r="A407" s="14">
        <v>406</v>
      </c>
      <c r="B407" s="14" t="s">
        <v>218</v>
      </c>
      <c r="C407" s="14">
        <v>55</v>
      </c>
      <c r="D407" s="14" t="s">
        <v>491</v>
      </c>
      <c r="E407" s="14" t="s">
        <v>445</v>
      </c>
      <c r="F407" s="14">
        <v>4</v>
      </c>
      <c r="G407" s="15">
        <f>_xlfn.XLOOKUP(C407,[1]products!$A$2:$A$71,[1]products!$D$2:$D$71)</f>
        <v>1904</v>
      </c>
      <c r="H407" s="16">
        <v>45163</v>
      </c>
      <c r="I407" s="16" t="str">
        <f t="shared" si="30"/>
        <v>August</v>
      </c>
      <c r="J407" s="16" t="str">
        <f t="shared" si="31"/>
        <v>Friday</v>
      </c>
      <c r="K407" s="17">
        <v>0.66616898148148151</v>
      </c>
      <c r="L407" s="16">
        <v>45171</v>
      </c>
      <c r="M407" s="18">
        <f>HOUR(orders!$K407)</f>
        <v>15</v>
      </c>
      <c r="N407" s="16" t="str">
        <f t="shared" si="32"/>
        <v>September</v>
      </c>
      <c r="O407" s="17">
        <v>0.26658564814814817</v>
      </c>
      <c r="P407" s="17" t="str">
        <f>_xlfn.XLOOKUP(B407,[2]customers!$A$2:$A$101,[2]customers!$C$2:$C$101)</f>
        <v>Imphal</v>
      </c>
      <c r="Q407" s="14" t="s">
        <v>244</v>
      </c>
      <c r="R407" s="14" t="s">
        <v>26</v>
      </c>
      <c r="S407" s="15">
        <f t="shared" si="33"/>
        <v>7616</v>
      </c>
      <c r="T407" s="19">
        <f t="shared" si="34"/>
        <v>8</v>
      </c>
    </row>
    <row r="408" spans="1:20" x14ac:dyDescent="0.3">
      <c r="A408" s="20">
        <v>407</v>
      </c>
      <c r="B408" s="20" t="s">
        <v>118</v>
      </c>
      <c r="C408" s="20">
        <v>69</v>
      </c>
      <c r="D408" s="20" t="s">
        <v>486</v>
      </c>
      <c r="E408" s="20" t="s">
        <v>431</v>
      </c>
      <c r="F408" s="20">
        <v>3</v>
      </c>
      <c r="G408" s="21">
        <f>_xlfn.XLOOKUP(C408,[1]products!$A$2:$A$71,[1]products!$D$2:$D$71)</f>
        <v>998</v>
      </c>
      <c r="H408" s="22">
        <v>44983</v>
      </c>
      <c r="I408" s="22" t="str">
        <f t="shared" si="30"/>
        <v>February</v>
      </c>
      <c r="J408" s="22" t="str">
        <f t="shared" si="31"/>
        <v>Sunday</v>
      </c>
      <c r="K408" s="23">
        <v>0.36957175925925928</v>
      </c>
      <c r="L408" s="22">
        <v>44985</v>
      </c>
      <c r="M408" s="24">
        <f>HOUR(orders!$K408)</f>
        <v>8</v>
      </c>
      <c r="N408" s="22" t="str">
        <f t="shared" si="32"/>
        <v>February</v>
      </c>
      <c r="O408" s="23">
        <v>0.1734259259259259</v>
      </c>
      <c r="P408" s="23" t="str">
        <f>_xlfn.XLOOKUP(B408,[2]customers!$A$2:$A$101,[2]customers!$C$2:$C$101)</f>
        <v>Sultan Pur Majra</v>
      </c>
      <c r="Q408" s="20" t="s">
        <v>100</v>
      </c>
      <c r="R408" s="20" t="s">
        <v>36</v>
      </c>
      <c r="S408" s="21">
        <f t="shared" si="33"/>
        <v>2994</v>
      </c>
      <c r="T408" s="25">
        <f t="shared" si="34"/>
        <v>2</v>
      </c>
    </row>
    <row r="409" spans="1:20" x14ac:dyDescent="0.3">
      <c r="A409" s="14">
        <v>408</v>
      </c>
      <c r="B409" s="14" t="s">
        <v>64</v>
      </c>
      <c r="C409" s="14">
        <v>31</v>
      </c>
      <c r="D409" s="14" t="s">
        <v>474</v>
      </c>
      <c r="E409" s="14" t="s">
        <v>429</v>
      </c>
      <c r="F409" s="14">
        <v>2</v>
      </c>
      <c r="G409" s="15">
        <f>_xlfn.XLOOKUP(C409,[1]products!$A$2:$A$71,[1]products!$D$2:$D$71)</f>
        <v>1804</v>
      </c>
      <c r="H409" s="16">
        <v>44990</v>
      </c>
      <c r="I409" s="16" t="str">
        <f t="shared" si="30"/>
        <v>March</v>
      </c>
      <c r="J409" s="16" t="str">
        <f t="shared" si="31"/>
        <v>Sunday</v>
      </c>
      <c r="K409" s="17">
        <v>0.5134953703703703</v>
      </c>
      <c r="L409" s="16">
        <v>44996</v>
      </c>
      <c r="M409" s="18">
        <f>HOUR(orders!$K409)</f>
        <v>12</v>
      </c>
      <c r="N409" s="16" t="str">
        <f t="shared" si="32"/>
        <v>March</v>
      </c>
      <c r="O409" s="17">
        <v>0.1955787037037037</v>
      </c>
      <c r="P409" s="17" t="str">
        <f>_xlfn.XLOOKUP(B409,[2]customers!$A$2:$A$101,[2]customers!$C$2:$C$101)</f>
        <v>Jamnagar</v>
      </c>
      <c r="Q409" s="14" t="s">
        <v>92</v>
      </c>
      <c r="R409" s="14" t="s">
        <v>60</v>
      </c>
      <c r="S409" s="15">
        <f t="shared" si="33"/>
        <v>3608</v>
      </c>
      <c r="T409" s="19">
        <f t="shared" si="34"/>
        <v>6</v>
      </c>
    </row>
    <row r="410" spans="1:20" x14ac:dyDescent="0.3">
      <c r="A410" s="20">
        <v>409</v>
      </c>
      <c r="B410" s="20" t="s">
        <v>218</v>
      </c>
      <c r="C410" s="20">
        <v>50</v>
      </c>
      <c r="D410" s="20" t="s">
        <v>487</v>
      </c>
      <c r="E410" s="20" t="s">
        <v>447</v>
      </c>
      <c r="F410" s="20">
        <v>4</v>
      </c>
      <c r="G410" s="21">
        <f>_xlfn.XLOOKUP(C410,[1]products!$A$2:$A$71,[1]products!$D$2:$D$71)</f>
        <v>422</v>
      </c>
      <c r="H410" s="22">
        <v>44983</v>
      </c>
      <c r="I410" s="22" t="str">
        <f t="shared" si="30"/>
        <v>February</v>
      </c>
      <c r="J410" s="22" t="str">
        <f t="shared" si="31"/>
        <v>Sunday</v>
      </c>
      <c r="K410" s="23">
        <v>0.73887731481481478</v>
      </c>
      <c r="L410" s="22">
        <v>44985</v>
      </c>
      <c r="M410" s="24">
        <f>HOUR(orders!$K410)</f>
        <v>17</v>
      </c>
      <c r="N410" s="22" t="str">
        <f t="shared" si="32"/>
        <v>February</v>
      </c>
      <c r="O410" s="23">
        <v>0.82288194444444451</v>
      </c>
      <c r="P410" s="23" t="str">
        <f>_xlfn.XLOOKUP(B410,[2]customers!$A$2:$A$101,[2]customers!$C$2:$C$101)</f>
        <v>Imphal</v>
      </c>
      <c r="Q410" s="20" t="s">
        <v>44</v>
      </c>
      <c r="R410" s="20" t="s">
        <v>36</v>
      </c>
      <c r="S410" s="21">
        <f t="shared" si="33"/>
        <v>1688</v>
      </c>
      <c r="T410" s="25">
        <f t="shared" si="34"/>
        <v>2</v>
      </c>
    </row>
    <row r="411" spans="1:20" x14ac:dyDescent="0.3">
      <c r="A411" s="14">
        <v>410</v>
      </c>
      <c r="B411" s="14" t="s">
        <v>343</v>
      </c>
      <c r="C411" s="14">
        <v>24</v>
      </c>
      <c r="D411" s="14" t="s">
        <v>485</v>
      </c>
      <c r="E411" s="14" t="s">
        <v>458</v>
      </c>
      <c r="F411" s="14">
        <v>1</v>
      </c>
      <c r="G411" s="15">
        <f>_xlfn.XLOOKUP(C411,[1]products!$A$2:$A$71,[1]products!$D$2:$D$71)</f>
        <v>535</v>
      </c>
      <c r="H411" s="16">
        <v>44927</v>
      </c>
      <c r="I411" s="16" t="str">
        <f t="shared" si="30"/>
        <v>January</v>
      </c>
      <c r="J411" s="16" t="str">
        <f t="shared" si="31"/>
        <v>Sunday</v>
      </c>
      <c r="K411" s="17">
        <v>0.84778935185185178</v>
      </c>
      <c r="L411" s="16">
        <v>44928</v>
      </c>
      <c r="M411" s="18">
        <f>HOUR(orders!$K411)</f>
        <v>20</v>
      </c>
      <c r="N411" s="16" t="str">
        <f t="shared" si="32"/>
        <v>January</v>
      </c>
      <c r="O411" s="17">
        <v>0.2479861111111111</v>
      </c>
      <c r="P411" s="17" t="str">
        <f>_xlfn.XLOOKUP(B411,[2]customers!$A$2:$A$101,[2]customers!$C$2:$C$101)</f>
        <v>Singrauli</v>
      </c>
      <c r="Q411" s="14" t="s">
        <v>344</v>
      </c>
      <c r="R411" s="14" t="s">
        <v>20</v>
      </c>
      <c r="S411" s="15">
        <f t="shared" si="33"/>
        <v>535</v>
      </c>
      <c r="T411" s="19">
        <f t="shared" si="34"/>
        <v>1</v>
      </c>
    </row>
    <row r="412" spans="1:20" x14ac:dyDescent="0.3">
      <c r="A412" s="20">
        <v>411</v>
      </c>
      <c r="B412" s="20" t="s">
        <v>90</v>
      </c>
      <c r="C412" s="20">
        <v>48</v>
      </c>
      <c r="D412" s="20" t="s">
        <v>460</v>
      </c>
      <c r="E412" s="20" t="s">
        <v>429</v>
      </c>
      <c r="F412" s="20">
        <v>1</v>
      </c>
      <c r="G412" s="21">
        <f>_xlfn.XLOOKUP(C412,[1]products!$A$2:$A$71,[1]products!$D$2:$D$71)</f>
        <v>433</v>
      </c>
      <c r="H412" s="22">
        <v>45235</v>
      </c>
      <c r="I412" s="22" t="str">
        <f t="shared" si="30"/>
        <v>November</v>
      </c>
      <c r="J412" s="22" t="str">
        <f t="shared" si="31"/>
        <v>Sunday</v>
      </c>
      <c r="K412" s="23">
        <v>0.68858796296296287</v>
      </c>
      <c r="L412" s="22">
        <v>45238</v>
      </c>
      <c r="M412" s="24">
        <f>HOUR(orders!$K412)</f>
        <v>16</v>
      </c>
      <c r="N412" s="22" t="str">
        <f t="shared" si="32"/>
        <v>November</v>
      </c>
      <c r="O412" s="23">
        <v>0.30655092592592592</v>
      </c>
      <c r="P412" s="23" t="str">
        <f>_xlfn.XLOOKUP(B412,[2]customers!$A$2:$A$101,[2]customers!$C$2:$C$101)</f>
        <v>Karimnagar</v>
      </c>
      <c r="Q412" s="20" t="s">
        <v>279</v>
      </c>
      <c r="R412" s="20" t="s">
        <v>15</v>
      </c>
      <c r="S412" s="21">
        <f t="shared" si="33"/>
        <v>433</v>
      </c>
      <c r="T412" s="25">
        <f t="shared" si="34"/>
        <v>3</v>
      </c>
    </row>
    <row r="413" spans="1:20" x14ac:dyDescent="0.3">
      <c r="A413" s="14">
        <v>412</v>
      </c>
      <c r="B413" s="14" t="s">
        <v>164</v>
      </c>
      <c r="C413" s="14">
        <v>67</v>
      </c>
      <c r="D413" s="14" t="s">
        <v>425</v>
      </c>
      <c r="E413" s="14" t="s">
        <v>26</v>
      </c>
      <c r="F413" s="14">
        <v>2</v>
      </c>
      <c r="G413" s="15">
        <f>_xlfn.XLOOKUP(C413,[1]products!$A$2:$A$71,[1]products!$D$2:$D$71)</f>
        <v>1374</v>
      </c>
      <c r="H413" s="16">
        <v>45227</v>
      </c>
      <c r="I413" s="16" t="str">
        <f t="shared" si="30"/>
        <v>October</v>
      </c>
      <c r="J413" s="16" t="str">
        <f t="shared" si="31"/>
        <v>Saturday</v>
      </c>
      <c r="K413" s="17">
        <v>0.3947222222222222</v>
      </c>
      <c r="L413" s="16">
        <v>45230</v>
      </c>
      <c r="M413" s="18">
        <f>HOUR(orders!$K413)</f>
        <v>9</v>
      </c>
      <c r="N413" s="16" t="str">
        <f t="shared" si="32"/>
        <v>October</v>
      </c>
      <c r="O413" s="17">
        <v>0.96836805555555561</v>
      </c>
      <c r="P413" s="17" t="str">
        <f>_xlfn.XLOOKUP(B413,[2]customers!$A$2:$A$101,[2]customers!$C$2:$C$101)</f>
        <v>Ratlam</v>
      </c>
      <c r="Q413" s="14" t="s">
        <v>325</v>
      </c>
      <c r="R413" s="14" t="s">
        <v>12</v>
      </c>
      <c r="S413" s="15">
        <f t="shared" si="33"/>
        <v>2748</v>
      </c>
      <c r="T413" s="19">
        <f t="shared" si="34"/>
        <v>3</v>
      </c>
    </row>
    <row r="414" spans="1:20" x14ac:dyDescent="0.3">
      <c r="A414" s="20">
        <v>413</v>
      </c>
      <c r="B414" s="20" t="s">
        <v>127</v>
      </c>
      <c r="C414" s="20">
        <v>59</v>
      </c>
      <c r="D414" s="20" t="s">
        <v>489</v>
      </c>
      <c r="E414" s="20" t="s">
        <v>431</v>
      </c>
      <c r="F414" s="20">
        <v>5</v>
      </c>
      <c r="G414" s="21">
        <f>_xlfn.XLOOKUP(C414,[1]products!$A$2:$A$71,[1]products!$D$2:$D$71)</f>
        <v>811</v>
      </c>
      <c r="H414" s="22">
        <v>45160</v>
      </c>
      <c r="I414" s="22" t="str">
        <f t="shared" si="30"/>
        <v>August</v>
      </c>
      <c r="J414" s="22" t="str">
        <f t="shared" si="31"/>
        <v>Tuesday</v>
      </c>
      <c r="K414" s="23">
        <v>0.23075231481481481</v>
      </c>
      <c r="L414" s="22">
        <v>45168</v>
      </c>
      <c r="M414" s="24">
        <f>HOUR(orders!$K414)</f>
        <v>5</v>
      </c>
      <c r="N414" s="22" t="str">
        <f t="shared" si="32"/>
        <v>August</v>
      </c>
      <c r="O414" s="23">
        <v>0.84804398148148152</v>
      </c>
      <c r="P414" s="23" t="str">
        <f>_xlfn.XLOOKUP(B414,[2]customers!$A$2:$A$101,[2]customers!$C$2:$C$101)</f>
        <v>Imphal</v>
      </c>
      <c r="Q414" s="20" t="s">
        <v>202</v>
      </c>
      <c r="R414" s="20" t="s">
        <v>26</v>
      </c>
      <c r="S414" s="21">
        <f t="shared" si="33"/>
        <v>4055</v>
      </c>
      <c r="T414" s="25">
        <f t="shared" si="34"/>
        <v>8</v>
      </c>
    </row>
    <row r="415" spans="1:20" x14ac:dyDescent="0.3">
      <c r="A415" s="14">
        <v>414</v>
      </c>
      <c r="B415" s="14" t="s">
        <v>331</v>
      </c>
      <c r="C415" s="14">
        <v>7</v>
      </c>
      <c r="D415" s="14" t="s">
        <v>453</v>
      </c>
      <c r="E415" s="14" t="s">
        <v>445</v>
      </c>
      <c r="F415" s="14">
        <v>4</v>
      </c>
      <c r="G415" s="15">
        <f>_xlfn.XLOOKUP(C415,[1]products!$A$2:$A$71,[1]products!$D$2:$D$71)</f>
        <v>409</v>
      </c>
      <c r="H415" s="16">
        <v>44985</v>
      </c>
      <c r="I415" s="16" t="str">
        <f t="shared" si="30"/>
        <v>February</v>
      </c>
      <c r="J415" s="16" t="str">
        <f t="shared" si="31"/>
        <v>Tuesday</v>
      </c>
      <c r="K415" s="17">
        <v>0.88762731481481483</v>
      </c>
      <c r="L415" s="16">
        <v>44992</v>
      </c>
      <c r="M415" s="18">
        <f>HOUR(orders!$K415)</f>
        <v>21</v>
      </c>
      <c r="N415" s="16" t="str">
        <f t="shared" si="32"/>
        <v>March</v>
      </c>
      <c r="O415" s="17">
        <v>4.6886574074074074E-2</v>
      </c>
      <c r="P415" s="17" t="str">
        <f>_xlfn.XLOOKUP(B415,[2]customers!$A$2:$A$101,[2]customers!$C$2:$C$101)</f>
        <v>Bhatpara</v>
      </c>
      <c r="Q415" s="14" t="s">
        <v>240</v>
      </c>
      <c r="R415" s="14" t="s">
        <v>36</v>
      </c>
      <c r="S415" s="15">
        <f t="shared" si="33"/>
        <v>1636</v>
      </c>
      <c r="T415" s="19">
        <f t="shared" si="34"/>
        <v>7</v>
      </c>
    </row>
    <row r="416" spans="1:20" x14ac:dyDescent="0.3">
      <c r="A416" s="20">
        <v>415</v>
      </c>
      <c r="B416" s="20" t="s">
        <v>34</v>
      </c>
      <c r="C416" s="20">
        <v>14</v>
      </c>
      <c r="D416" s="20" t="s">
        <v>428</v>
      </c>
      <c r="E416" s="20" t="s">
        <v>429</v>
      </c>
      <c r="F416" s="20">
        <v>4</v>
      </c>
      <c r="G416" s="21">
        <f>_xlfn.XLOOKUP(C416,[1]products!$A$2:$A$71,[1]products!$D$2:$D$71)</f>
        <v>1915</v>
      </c>
      <c r="H416" s="22">
        <v>45085</v>
      </c>
      <c r="I416" s="22" t="str">
        <f t="shared" si="30"/>
        <v>June</v>
      </c>
      <c r="J416" s="22" t="str">
        <f t="shared" si="31"/>
        <v>Thursday</v>
      </c>
      <c r="K416" s="23">
        <v>0.83923611111111107</v>
      </c>
      <c r="L416" s="22">
        <v>45087</v>
      </c>
      <c r="M416" s="24">
        <f>HOUR(orders!$K416)</f>
        <v>20</v>
      </c>
      <c r="N416" s="22" t="str">
        <f t="shared" si="32"/>
        <v>June</v>
      </c>
      <c r="O416" s="23">
        <v>5.62037037037037E-2</v>
      </c>
      <c r="P416" s="23" t="str">
        <f>_xlfn.XLOOKUP(B416,[2]customers!$A$2:$A$101,[2]customers!$C$2:$C$101)</f>
        <v>North Dumdum</v>
      </c>
      <c r="Q416" s="20" t="s">
        <v>258</v>
      </c>
      <c r="R416" s="20" t="s">
        <v>20</v>
      </c>
      <c r="S416" s="21">
        <f t="shared" si="33"/>
        <v>7660</v>
      </c>
      <c r="T416" s="25">
        <f t="shared" si="34"/>
        <v>2</v>
      </c>
    </row>
    <row r="417" spans="1:20" x14ac:dyDescent="0.3">
      <c r="A417" s="14">
        <v>416</v>
      </c>
      <c r="B417" s="14" t="s">
        <v>90</v>
      </c>
      <c r="C417" s="14">
        <v>58</v>
      </c>
      <c r="D417" s="14" t="s">
        <v>430</v>
      </c>
      <c r="E417" s="14" t="s">
        <v>431</v>
      </c>
      <c r="F417" s="14">
        <v>5</v>
      </c>
      <c r="G417" s="15">
        <f>_xlfn.XLOOKUP(C417,[1]products!$A$2:$A$71,[1]products!$D$2:$D$71)</f>
        <v>1492</v>
      </c>
      <c r="H417" s="16">
        <v>44969</v>
      </c>
      <c r="I417" s="16" t="str">
        <f t="shared" si="30"/>
        <v>February</v>
      </c>
      <c r="J417" s="16" t="str">
        <f t="shared" si="31"/>
        <v>Sunday</v>
      </c>
      <c r="K417" s="17">
        <v>0.69516203703703694</v>
      </c>
      <c r="L417" s="16">
        <v>44974</v>
      </c>
      <c r="M417" s="18">
        <f>HOUR(orders!$K417)</f>
        <v>16</v>
      </c>
      <c r="N417" s="16" t="str">
        <f t="shared" si="32"/>
        <v>February</v>
      </c>
      <c r="O417" s="17">
        <v>0.4007060185185185</v>
      </c>
      <c r="P417" s="17" t="str">
        <f>_xlfn.XLOOKUP(B417,[2]customers!$A$2:$A$101,[2]customers!$C$2:$C$101)</f>
        <v>Karimnagar</v>
      </c>
      <c r="Q417" s="14" t="s">
        <v>345</v>
      </c>
      <c r="R417" s="14" t="s">
        <v>23</v>
      </c>
      <c r="S417" s="15">
        <f t="shared" si="33"/>
        <v>7460</v>
      </c>
      <c r="T417" s="19">
        <f t="shared" si="34"/>
        <v>5</v>
      </c>
    </row>
    <row r="418" spans="1:20" x14ac:dyDescent="0.3">
      <c r="A418" s="20">
        <v>417</v>
      </c>
      <c r="B418" s="20" t="s">
        <v>251</v>
      </c>
      <c r="C418" s="20">
        <v>62</v>
      </c>
      <c r="D418" s="20" t="s">
        <v>442</v>
      </c>
      <c r="E418" s="20" t="s">
        <v>429</v>
      </c>
      <c r="F418" s="20">
        <v>4</v>
      </c>
      <c r="G418" s="21">
        <f>_xlfn.XLOOKUP(C418,[1]products!$A$2:$A$71,[1]products!$D$2:$D$71)</f>
        <v>1356</v>
      </c>
      <c r="H418" s="22">
        <v>44992</v>
      </c>
      <c r="I418" s="22" t="str">
        <f t="shared" si="30"/>
        <v>March</v>
      </c>
      <c r="J418" s="22" t="str">
        <f t="shared" si="31"/>
        <v>Tuesday</v>
      </c>
      <c r="K418" s="23">
        <v>0.94490740740740742</v>
      </c>
      <c r="L418" s="22">
        <v>44996</v>
      </c>
      <c r="M418" s="24">
        <f>HOUR(orders!$K418)</f>
        <v>22</v>
      </c>
      <c r="N418" s="22" t="str">
        <f t="shared" si="32"/>
        <v>March</v>
      </c>
      <c r="O418" s="23">
        <v>0.24760416666666665</v>
      </c>
      <c r="P418" s="23" t="str">
        <f>_xlfn.XLOOKUP(B418,[2]customers!$A$2:$A$101,[2]customers!$C$2:$C$101)</f>
        <v>Miryalaguda</v>
      </c>
      <c r="Q418" s="20" t="s">
        <v>44</v>
      </c>
      <c r="R418" s="20" t="s">
        <v>36</v>
      </c>
      <c r="S418" s="21">
        <f t="shared" si="33"/>
        <v>5424</v>
      </c>
      <c r="T418" s="25">
        <f t="shared" si="34"/>
        <v>4</v>
      </c>
    </row>
    <row r="419" spans="1:20" x14ac:dyDescent="0.3">
      <c r="A419" s="14">
        <v>418</v>
      </c>
      <c r="B419" s="14" t="s">
        <v>41</v>
      </c>
      <c r="C419" s="14">
        <v>64</v>
      </c>
      <c r="D419" s="14" t="s">
        <v>492</v>
      </c>
      <c r="E419" s="14" t="s">
        <v>445</v>
      </c>
      <c r="F419" s="14">
        <v>3</v>
      </c>
      <c r="G419" s="15">
        <f>_xlfn.XLOOKUP(C419,[1]products!$A$2:$A$71,[1]products!$D$2:$D$71)</f>
        <v>1878</v>
      </c>
      <c r="H419" s="16">
        <v>45162</v>
      </c>
      <c r="I419" s="16" t="str">
        <f t="shared" si="30"/>
        <v>August</v>
      </c>
      <c r="J419" s="16" t="str">
        <f t="shared" si="31"/>
        <v>Thursday</v>
      </c>
      <c r="K419" s="17">
        <v>0.55372685185185189</v>
      </c>
      <c r="L419" s="16">
        <v>45170</v>
      </c>
      <c r="M419" s="18">
        <f>HOUR(orders!$K419)</f>
        <v>13</v>
      </c>
      <c r="N419" s="16" t="str">
        <f t="shared" si="32"/>
        <v>September</v>
      </c>
      <c r="O419" s="17">
        <v>0.4841435185185185</v>
      </c>
      <c r="P419" s="17" t="str">
        <f>_xlfn.XLOOKUP(B419,[2]customers!$A$2:$A$101,[2]customers!$C$2:$C$101)</f>
        <v>Madhyamgram</v>
      </c>
      <c r="Q419" s="14" t="s">
        <v>346</v>
      </c>
      <c r="R419" s="14" t="s">
        <v>26</v>
      </c>
      <c r="S419" s="15">
        <f t="shared" si="33"/>
        <v>5634</v>
      </c>
      <c r="T419" s="19">
        <f t="shared" si="34"/>
        <v>8</v>
      </c>
    </row>
    <row r="420" spans="1:20" x14ac:dyDescent="0.3">
      <c r="A420" s="20">
        <v>419</v>
      </c>
      <c r="B420" s="20" t="s">
        <v>34</v>
      </c>
      <c r="C420" s="20">
        <v>47</v>
      </c>
      <c r="D420" s="20" t="s">
        <v>480</v>
      </c>
      <c r="E420" s="20" t="s">
        <v>429</v>
      </c>
      <c r="F420" s="20">
        <v>3</v>
      </c>
      <c r="G420" s="21">
        <f>_xlfn.XLOOKUP(C420,[1]products!$A$2:$A$71,[1]products!$D$2:$D$71)</f>
        <v>1638</v>
      </c>
      <c r="H420" s="22">
        <v>44990</v>
      </c>
      <c r="I420" s="22" t="str">
        <f t="shared" si="30"/>
        <v>March</v>
      </c>
      <c r="J420" s="22" t="str">
        <f t="shared" si="31"/>
        <v>Sunday</v>
      </c>
      <c r="K420" s="23">
        <v>0.72142361111111108</v>
      </c>
      <c r="L420" s="22">
        <v>44996</v>
      </c>
      <c r="M420" s="24">
        <f>HOUR(orders!$K420)</f>
        <v>17</v>
      </c>
      <c r="N420" s="22" t="str">
        <f t="shared" si="32"/>
        <v>March</v>
      </c>
      <c r="O420" s="23">
        <v>0.5788888888888889</v>
      </c>
      <c r="P420" s="23" t="str">
        <f>_xlfn.XLOOKUP(B420,[2]customers!$A$2:$A$101,[2]customers!$C$2:$C$101)</f>
        <v>North Dumdum</v>
      </c>
      <c r="Q420" s="20" t="s">
        <v>102</v>
      </c>
      <c r="R420" s="20" t="s">
        <v>36</v>
      </c>
      <c r="S420" s="21">
        <f t="shared" si="33"/>
        <v>4914</v>
      </c>
      <c r="T420" s="25">
        <f t="shared" si="34"/>
        <v>6</v>
      </c>
    </row>
    <row r="421" spans="1:20" x14ac:dyDescent="0.3">
      <c r="A421" s="14">
        <v>420</v>
      </c>
      <c r="B421" s="14" t="s">
        <v>159</v>
      </c>
      <c r="C421" s="14">
        <v>6</v>
      </c>
      <c r="D421" s="14" t="s">
        <v>450</v>
      </c>
      <c r="E421" s="14" t="s">
        <v>431</v>
      </c>
      <c r="F421" s="14">
        <v>3</v>
      </c>
      <c r="G421" s="15">
        <f>_xlfn.XLOOKUP(C421,[1]products!$A$2:$A$71,[1]products!$D$2:$D$71)</f>
        <v>1112</v>
      </c>
      <c r="H421" s="16">
        <v>44984</v>
      </c>
      <c r="I421" s="16" t="str">
        <f t="shared" si="30"/>
        <v>February</v>
      </c>
      <c r="J421" s="16" t="str">
        <f t="shared" si="31"/>
        <v>Monday</v>
      </c>
      <c r="K421" s="17">
        <v>0.35856481481481484</v>
      </c>
      <c r="L421" s="16">
        <v>44985</v>
      </c>
      <c r="M421" s="18">
        <f>HOUR(orders!$K421)</f>
        <v>8</v>
      </c>
      <c r="N421" s="16" t="str">
        <f t="shared" si="32"/>
        <v>February</v>
      </c>
      <c r="O421" s="17">
        <v>5.1967592592592595E-3</v>
      </c>
      <c r="P421" s="17" t="str">
        <f>_xlfn.XLOOKUP(B421,[2]customers!$A$2:$A$101,[2]customers!$C$2:$C$101)</f>
        <v>Kamarhati</v>
      </c>
      <c r="Q421" s="14" t="s">
        <v>46</v>
      </c>
      <c r="R421" s="14" t="s">
        <v>36</v>
      </c>
      <c r="S421" s="15">
        <f t="shared" si="33"/>
        <v>3336</v>
      </c>
      <c r="T421" s="19">
        <f t="shared" si="34"/>
        <v>1</v>
      </c>
    </row>
    <row r="422" spans="1:20" x14ac:dyDescent="0.3">
      <c r="A422" s="20">
        <v>421</v>
      </c>
      <c r="B422" s="20" t="s">
        <v>83</v>
      </c>
      <c r="C422" s="20">
        <v>38</v>
      </c>
      <c r="D422" s="20" t="s">
        <v>438</v>
      </c>
      <c r="E422" s="20" t="s">
        <v>431</v>
      </c>
      <c r="F422" s="20">
        <v>4</v>
      </c>
      <c r="G422" s="21">
        <f>_xlfn.XLOOKUP(C422,[1]products!$A$2:$A$71,[1]products!$D$2:$D$71)</f>
        <v>562</v>
      </c>
      <c r="H422" s="22">
        <v>45146</v>
      </c>
      <c r="I422" s="22" t="str">
        <f t="shared" si="30"/>
        <v>August</v>
      </c>
      <c r="J422" s="22" t="str">
        <f t="shared" si="31"/>
        <v>Tuesday</v>
      </c>
      <c r="K422" s="23">
        <v>0.84479166666666661</v>
      </c>
      <c r="L422" s="22">
        <v>45150</v>
      </c>
      <c r="M422" s="24">
        <f>HOUR(orders!$K422)</f>
        <v>20</v>
      </c>
      <c r="N422" s="22" t="str">
        <f t="shared" si="32"/>
        <v>August</v>
      </c>
      <c r="O422" s="23">
        <v>0.7944444444444444</v>
      </c>
      <c r="P422" s="23" t="str">
        <f>_xlfn.XLOOKUP(B422,[2]customers!$A$2:$A$101,[2]customers!$C$2:$C$101)</f>
        <v>Malegaon</v>
      </c>
      <c r="Q422" s="20" t="s">
        <v>242</v>
      </c>
      <c r="R422" s="20" t="s">
        <v>20</v>
      </c>
      <c r="S422" s="21">
        <f t="shared" si="33"/>
        <v>2248</v>
      </c>
      <c r="T422" s="25">
        <f t="shared" si="34"/>
        <v>4</v>
      </c>
    </row>
    <row r="423" spans="1:20" x14ac:dyDescent="0.3">
      <c r="A423" s="14">
        <v>422</v>
      </c>
      <c r="B423" s="14" t="s">
        <v>31</v>
      </c>
      <c r="C423" s="14">
        <v>53</v>
      </c>
      <c r="D423" s="14" t="s">
        <v>496</v>
      </c>
      <c r="E423" s="14" t="s">
        <v>427</v>
      </c>
      <c r="F423" s="14">
        <v>2</v>
      </c>
      <c r="G423" s="15">
        <f>_xlfn.XLOOKUP(C423,[1]products!$A$2:$A$71,[1]products!$D$2:$D$71)</f>
        <v>1672</v>
      </c>
      <c r="H423" s="16">
        <v>45158</v>
      </c>
      <c r="I423" s="16" t="str">
        <f t="shared" si="30"/>
        <v>August</v>
      </c>
      <c r="J423" s="16" t="str">
        <f t="shared" si="31"/>
        <v>Sunday</v>
      </c>
      <c r="K423" s="17">
        <v>0.12775462962962963</v>
      </c>
      <c r="L423" s="16">
        <v>45167</v>
      </c>
      <c r="M423" s="18">
        <f>HOUR(orders!$K423)</f>
        <v>3</v>
      </c>
      <c r="N423" s="16" t="str">
        <f t="shared" si="32"/>
        <v>August</v>
      </c>
      <c r="O423" s="17">
        <v>0.17059027777777777</v>
      </c>
      <c r="P423" s="17" t="str">
        <f>_xlfn.XLOOKUP(B423,[2]customers!$A$2:$A$101,[2]customers!$C$2:$C$101)</f>
        <v>Agra</v>
      </c>
      <c r="Q423" s="14" t="s">
        <v>347</v>
      </c>
      <c r="R423" s="14" t="s">
        <v>26</v>
      </c>
      <c r="S423" s="15">
        <f t="shared" si="33"/>
        <v>3344</v>
      </c>
      <c r="T423" s="19">
        <f t="shared" si="34"/>
        <v>9</v>
      </c>
    </row>
    <row r="424" spans="1:20" x14ac:dyDescent="0.3">
      <c r="A424" s="20">
        <v>423</v>
      </c>
      <c r="B424" s="20" t="s">
        <v>80</v>
      </c>
      <c r="C424" s="20">
        <v>19</v>
      </c>
      <c r="D424" s="20" t="s">
        <v>457</v>
      </c>
      <c r="E424" s="20" t="s">
        <v>458</v>
      </c>
      <c r="F424" s="20">
        <v>1</v>
      </c>
      <c r="G424" s="21">
        <f>_xlfn.XLOOKUP(C424,[1]products!$A$2:$A$71,[1]products!$D$2:$D$71)</f>
        <v>1234</v>
      </c>
      <c r="H424" s="22">
        <v>44968</v>
      </c>
      <c r="I424" s="22" t="str">
        <f t="shared" si="30"/>
        <v>February</v>
      </c>
      <c r="J424" s="22" t="str">
        <f t="shared" si="31"/>
        <v>Saturday</v>
      </c>
      <c r="K424" s="23">
        <v>0.69928240740740744</v>
      </c>
      <c r="L424" s="22">
        <v>44974</v>
      </c>
      <c r="M424" s="24">
        <f>HOUR(orders!$K424)</f>
        <v>16</v>
      </c>
      <c r="N424" s="22" t="str">
        <f t="shared" si="32"/>
        <v>February</v>
      </c>
      <c r="O424" s="23">
        <v>7.0023148148148154E-3</v>
      </c>
      <c r="P424" s="23" t="str">
        <f>_xlfn.XLOOKUP(B424,[2]customers!$A$2:$A$101,[2]customers!$C$2:$C$101)</f>
        <v>Anand</v>
      </c>
      <c r="Q424" s="20" t="s">
        <v>348</v>
      </c>
      <c r="R424" s="20" t="s">
        <v>23</v>
      </c>
      <c r="S424" s="21">
        <f t="shared" si="33"/>
        <v>1234</v>
      </c>
      <c r="T424" s="25">
        <f t="shared" si="34"/>
        <v>6</v>
      </c>
    </row>
    <row r="425" spans="1:20" x14ac:dyDescent="0.3">
      <c r="A425" s="14">
        <v>424</v>
      </c>
      <c r="B425" s="14" t="s">
        <v>47</v>
      </c>
      <c r="C425" s="14">
        <v>7</v>
      </c>
      <c r="D425" s="14" t="s">
        <v>453</v>
      </c>
      <c r="E425" s="14" t="s">
        <v>445</v>
      </c>
      <c r="F425" s="14">
        <v>4</v>
      </c>
      <c r="G425" s="15">
        <f>_xlfn.XLOOKUP(C425,[1]products!$A$2:$A$71,[1]products!$D$2:$D$71)</f>
        <v>409</v>
      </c>
      <c r="H425" s="16">
        <v>44986</v>
      </c>
      <c r="I425" s="16" t="str">
        <f t="shared" si="30"/>
        <v>March</v>
      </c>
      <c r="J425" s="16" t="str">
        <f t="shared" si="31"/>
        <v>Wednesday</v>
      </c>
      <c r="K425" s="17">
        <v>0.12842592592592592</v>
      </c>
      <c r="L425" s="16">
        <v>44994</v>
      </c>
      <c r="M425" s="18">
        <f>HOUR(orders!$K425)</f>
        <v>3</v>
      </c>
      <c r="N425" s="16" t="str">
        <f t="shared" si="32"/>
        <v>March</v>
      </c>
      <c r="O425" s="17">
        <v>0.4354513888888889</v>
      </c>
      <c r="P425" s="17" t="str">
        <f>_xlfn.XLOOKUP(B425,[2]customers!$A$2:$A$101,[2]customers!$C$2:$C$101)</f>
        <v>Hyderabad</v>
      </c>
      <c r="Q425" s="14" t="s">
        <v>173</v>
      </c>
      <c r="R425" s="14" t="s">
        <v>36</v>
      </c>
      <c r="S425" s="15">
        <f t="shared" si="33"/>
        <v>1636</v>
      </c>
      <c r="T425" s="19">
        <f t="shared" si="34"/>
        <v>8</v>
      </c>
    </row>
    <row r="426" spans="1:20" x14ac:dyDescent="0.3">
      <c r="A426" s="20">
        <v>425</v>
      </c>
      <c r="B426" s="20" t="s">
        <v>73</v>
      </c>
      <c r="C426" s="20">
        <v>56</v>
      </c>
      <c r="D426" s="20" t="s">
        <v>436</v>
      </c>
      <c r="E426" s="20" t="s">
        <v>26</v>
      </c>
      <c r="F426" s="20">
        <v>1</v>
      </c>
      <c r="G426" s="21">
        <f>_xlfn.XLOOKUP(C426,[1]products!$A$2:$A$71,[1]products!$D$2:$D$71)</f>
        <v>1272</v>
      </c>
      <c r="H426" s="22">
        <v>45199</v>
      </c>
      <c r="I426" s="22" t="str">
        <f t="shared" si="30"/>
        <v>September</v>
      </c>
      <c r="J426" s="22" t="str">
        <f t="shared" si="31"/>
        <v>Saturday</v>
      </c>
      <c r="K426" s="23">
        <v>1.4583333333333334E-3</v>
      </c>
      <c r="L426" s="22">
        <v>45208</v>
      </c>
      <c r="M426" s="24">
        <f>HOUR(orders!$K426)</f>
        <v>0</v>
      </c>
      <c r="N426" s="22" t="str">
        <f t="shared" si="32"/>
        <v>October</v>
      </c>
      <c r="O426" s="23">
        <v>0.95796296296296291</v>
      </c>
      <c r="P426" s="23" t="str">
        <f>_xlfn.XLOOKUP(B426,[2]customers!$A$2:$A$101,[2]customers!$C$2:$C$101)</f>
        <v>Tiruppur</v>
      </c>
      <c r="Q426" s="20" t="s">
        <v>323</v>
      </c>
      <c r="R426" s="20" t="s">
        <v>12</v>
      </c>
      <c r="S426" s="21">
        <f t="shared" si="33"/>
        <v>1272</v>
      </c>
      <c r="T426" s="25">
        <f t="shared" si="34"/>
        <v>9</v>
      </c>
    </row>
    <row r="427" spans="1:20" x14ac:dyDescent="0.3">
      <c r="A427" s="14">
        <v>426</v>
      </c>
      <c r="B427" s="14" t="s">
        <v>322</v>
      </c>
      <c r="C427" s="14">
        <v>2</v>
      </c>
      <c r="D427" s="14" t="s">
        <v>481</v>
      </c>
      <c r="E427" s="14" t="s">
        <v>447</v>
      </c>
      <c r="F427" s="14">
        <v>2</v>
      </c>
      <c r="G427" s="15">
        <f>_xlfn.XLOOKUP(C427,[1]products!$A$2:$A$71,[1]products!$D$2:$D$71)</f>
        <v>441</v>
      </c>
      <c r="H427" s="16">
        <v>44970</v>
      </c>
      <c r="I427" s="16" t="str">
        <f t="shared" si="30"/>
        <v>February</v>
      </c>
      <c r="J427" s="16" t="str">
        <f t="shared" si="31"/>
        <v>Monday</v>
      </c>
      <c r="K427" s="17">
        <v>0.95826388888888892</v>
      </c>
      <c r="L427" s="16">
        <v>44974</v>
      </c>
      <c r="M427" s="18">
        <f>HOUR(orders!$K427)</f>
        <v>22</v>
      </c>
      <c r="N427" s="16" t="str">
        <f t="shared" si="32"/>
        <v>February</v>
      </c>
      <c r="O427" s="17">
        <v>0.57708333333333328</v>
      </c>
      <c r="P427" s="17" t="str">
        <f>_xlfn.XLOOKUP(B427,[2]customers!$A$2:$A$101,[2]customers!$C$2:$C$101)</f>
        <v>Parbhani</v>
      </c>
      <c r="Q427" s="14" t="s">
        <v>349</v>
      </c>
      <c r="R427" s="14" t="s">
        <v>23</v>
      </c>
      <c r="S427" s="15">
        <f t="shared" si="33"/>
        <v>882</v>
      </c>
      <c r="T427" s="19">
        <f t="shared" si="34"/>
        <v>4</v>
      </c>
    </row>
    <row r="428" spans="1:20" x14ac:dyDescent="0.3">
      <c r="A428" s="20">
        <v>427</v>
      </c>
      <c r="B428" s="20" t="s">
        <v>40</v>
      </c>
      <c r="C428" s="20">
        <v>48</v>
      </c>
      <c r="D428" s="20" t="s">
        <v>460</v>
      </c>
      <c r="E428" s="20" t="s">
        <v>429</v>
      </c>
      <c r="F428" s="20">
        <v>5</v>
      </c>
      <c r="G428" s="21">
        <f>_xlfn.XLOOKUP(C428,[1]products!$A$2:$A$71,[1]products!$D$2:$D$71)</f>
        <v>433</v>
      </c>
      <c r="H428" s="22">
        <v>45233</v>
      </c>
      <c r="I428" s="22" t="str">
        <f t="shared" si="30"/>
        <v>November</v>
      </c>
      <c r="J428" s="22" t="str">
        <f t="shared" si="31"/>
        <v>Friday</v>
      </c>
      <c r="K428" s="23">
        <v>0.3309259259259259</v>
      </c>
      <c r="L428" s="22">
        <v>45243</v>
      </c>
      <c r="M428" s="24">
        <f>HOUR(orders!$K428)</f>
        <v>7</v>
      </c>
      <c r="N428" s="22" t="str">
        <f t="shared" si="32"/>
        <v>November</v>
      </c>
      <c r="O428" s="23">
        <v>0.94874999999999998</v>
      </c>
      <c r="P428" s="23" t="str">
        <f>_xlfn.XLOOKUP(B428,[2]customers!$A$2:$A$101,[2]customers!$C$2:$C$101)</f>
        <v>Ajmer</v>
      </c>
      <c r="Q428" s="20" t="s">
        <v>289</v>
      </c>
      <c r="R428" s="20" t="s">
        <v>15</v>
      </c>
      <c r="S428" s="21">
        <f t="shared" si="33"/>
        <v>2165</v>
      </c>
      <c r="T428" s="25">
        <f t="shared" si="34"/>
        <v>10</v>
      </c>
    </row>
    <row r="429" spans="1:20" x14ac:dyDescent="0.3">
      <c r="A429" s="14">
        <v>428</v>
      </c>
      <c r="B429" s="14" t="s">
        <v>144</v>
      </c>
      <c r="C429" s="14">
        <v>10</v>
      </c>
      <c r="D429" s="14" t="s">
        <v>452</v>
      </c>
      <c r="E429" s="14" t="s">
        <v>431</v>
      </c>
      <c r="F429" s="14">
        <v>2</v>
      </c>
      <c r="G429" s="15">
        <f>_xlfn.XLOOKUP(C429,[1]products!$A$2:$A$71,[1]products!$D$2:$D$71)</f>
        <v>259</v>
      </c>
      <c r="H429" s="16">
        <v>45266</v>
      </c>
      <c r="I429" s="16" t="str">
        <f t="shared" si="30"/>
        <v>December</v>
      </c>
      <c r="J429" s="16" t="str">
        <f t="shared" si="31"/>
        <v>Wednesday</v>
      </c>
      <c r="K429" s="17">
        <v>0.14766203703703704</v>
      </c>
      <c r="L429" s="16">
        <v>45272</v>
      </c>
      <c r="M429" s="18">
        <f>HOUR(orders!$K429)</f>
        <v>3</v>
      </c>
      <c r="N429" s="16" t="str">
        <f t="shared" si="32"/>
        <v>December</v>
      </c>
      <c r="O429" s="17">
        <v>0.81737268518518524</v>
      </c>
      <c r="P429" s="17" t="str">
        <f>_xlfn.XLOOKUP(B429,[2]customers!$A$2:$A$101,[2]customers!$C$2:$C$101)</f>
        <v>Aizawl</v>
      </c>
      <c r="Q429" s="14" t="s">
        <v>294</v>
      </c>
      <c r="R429" s="14" t="s">
        <v>20</v>
      </c>
      <c r="S429" s="15">
        <f t="shared" si="33"/>
        <v>518</v>
      </c>
      <c r="T429" s="19">
        <f t="shared" si="34"/>
        <v>6</v>
      </c>
    </row>
    <row r="430" spans="1:20" x14ac:dyDescent="0.3">
      <c r="A430" s="20">
        <v>429</v>
      </c>
      <c r="B430" s="20" t="s">
        <v>220</v>
      </c>
      <c r="C430" s="20">
        <v>9</v>
      </c>
      <c r="D430" s="20" t="s">
        <v>451</v>
      </c>
      <c r="E430" s="20" t="s">
        <v>429</v>
      </c>
      <c r="F430" s="20">
        <v>5</v>
      </c>
      <c r="G430" s="21">
        <f>_xlfn.XLOOKUP(C430,[1]products!$A$2:$A$71,[1]products!$D$2:$D$71)</f>
        <v>1605</v>
      </c>
      <c r="H430" s="22">
        <v>45160</v>
      </c>
      <c r="I430" s="22" t="str">
        <f t="shared" si="30"/>
        <v>August</v>
      </c>
      <c r="J430" s="22" t="str">
        <f t="shared" si="31"/>
        <v>Tuesday</v>
      </c>
      <c r="K430" s="23">
        <v>0.94927083333333329</v>
      </c>
      <c r="L430" s="22">
        <v>45169</v>
      </c>
      <c r="M430" s="24">
        <f>HOUR(orders!$K430)</f>
        <v>22</v>
      </c>
      <c r="N430" s="22" t="str">
        <f t="shared" si="32"/>
        <v>August</v>
      </c>
      <c r="O430" s="23">
        <v>0.53046296296296302</v>
      </c>
      <c r="P430" s="23" t="str">
        <f>_xlfn.XLOOKUP(B430,[2]customers!$A$2:$A$101,[2]customers!$C$2:$C$101)</f>
        <v>Berhampore</v>
      </c>
      <c r="Q430" s="20" t="s">
        <v>237</v>
      </c>
      <c r="R430" s="20" t="s">
        <v>26</v>
      </c>
      <c r="S430" s="21">
        <f t="shared" si="33"/>
        <v>8025</v>
      </c>
      <c r="T430" s="25">
        <f t="shared" si="34"/>
        <v>9</v>
      </c>
    </row>
    <row r="431" spans="1:20" x14ac:dyDescent="0.3">
      <c r="A431" s="14">
        <v>430</v>
      </c>
      <c r="B431" s="14" t="s">
        <v>105</v>
      </c>
      <c r="C431" s="14">
        <v>27</v>
      </c>
      <c r="D431" s="14" t="s">
        <v>435</v>
      </c>
      <c r="E431" s="14" t="s">
        <v>431</v>
      </c>
      <c r="F431" s="14">
        <v>2</v>
      </c>
      <c r="G431" s="15">
        <f>_xlfn.XLOOKUP(C431,[1]products!$A$2:$A$71,[1]products!$D$2:$D$71)</f>
        <v>548</v>
      </c>
      <c r="H431" s="16">
        <v>45165</v>
      </c>
      <c r="I431" s="16" t="str">
        <f t="shared" si="30"/>
        <v>August</v>
      </c>
      <c r="J431" s="16" t="str">
        <f t="shared" si="31"/>
        <v>Sunday</v>
      </c>
      <c r="K431" s="17">
        <v>0.3059027777777778</v>
      </c>
      <c r="L431" s="16">
        <v>45169</v>
      </c>
      <c r="M431" s="18">
        <f>HOUR(orders!$K431)</f>
        <v>7</v>
      </c>
      <c r="N431" s="16" t="str">
        <f t="shared" si="32"/>
        <v>August</v>
      </c>
      <c r="O431" s="17">
        <v>0.41912037037037037</v>
      </c>
      <c r="P431" s="17" t="str">
        <f>_xlfn.XLOOKUP(B431,[2]customers!$A$2:$A$101,[2]customers!$C$2:$C$101)</f>
        <v>Maheshtala</v>
      </c>
      <c r="Q431" s="14" t="s">
        <v>350</v>
      </c>
      <c r="R431" s="14" t="s">
        <v>26</v>
      </c>
      <c r="S431" s="15">
        <f t="shared" si="33"/>
        <v>1096</v>
      </c>
      <c r="T431" s="19">
        <f t="shared" si="34"/>
        <v>4</v>
      </c>
    </row>
    <row r="432" spans="1:20" x14ac:dyDescent="0.3">
      <c r="A432" s="20">
        <v>431</v>
      </c>
      <c r="B432" s="20" t="s">
        <v>130</v>
      </c>
      <c r="C432" s="20">
        <v>1</v>
      </c>
      <c r="D432" s="20" t="s">
        <v>479</v>
      </c>
      <c r="E432" s="20" t="s">
        <v>445</v>
      </c>
      <c r="F432" s="20">
        <v>4</v>
      </c>
      <c r="G432" s="21">
        <f>_xlfn.XLOOKUP(C432,[1]products!$A$2:$A$71,[1]products!$D$2:$D$71)</f>
        <v>1935</v>
      </c>
      <c r="H432" s="22">
        <v>45273</v>
      </c>
      <c r="I432" s="22" t="str">
        <f t="shared" si="30"/>
        <v>December</v>
      </c>
      <c r="J432" s="22" t="str">
        <f t="shared" si="31"/>
        <v>Wednesday</v>
      </c>
      <c r="K432" s="23">
        <v>0.8011921296296296</v>
      </c>
      <c r="L432" s="22">
        <v>45279</v>
      </c>
      <c r="M432" s="24">
        <f>HOUR(orders!$K432)</f>
        <v>19</v>
      </c>
      <c r="N432" s="22" t="str">
        <f t="shared" si="32"/>
        <v>December</v>
      </c>
      <c r="O432" s="23">
        <v>0.87666666666666659</v>
      </c>
      <c r="P432" s="23" t="str">
        <f>_xlfn.XLOOKUP(B432,[2]customers!$A$2:$A$101,[2]customers!$C$2:$C$101)</f>
        <v>Delhi</v>
      </c>
      <c r="Q432" s="20" t="s">
        <v>139</v>
      </c>
      <c r="R432" s="20" t="s">
        <v>60</v>
      </c>
      <c r="S432" s="21">
        <f t="shared" si="33"/>
        <v>7740</v>
      </c>
      <c r="T432" s="25">
        <f t="shared" si="34"/>
        <v>6</v>
      </c>
    </row>
    <row r="433" spans="1:20" x14ac:dyDescent="0.3">
      <c r="A433" s="14">
        <v>432</v>
      </c>
      <c r="B433" s="14" t="s">
        <v>212</v>
      </c>
      <c r="C433" s="14">
        <v>12</v>
      </c>
      <c r="D433" s="14" t="s">
        <v>446</v>
      </c>
      <c r="E433" s="14" t="s">
        <v>447</v>
      </c>
      <c r="F433" s="14">
        <v>4</v>
      </c>
      <c r="G433" s="15">
        <f>_xlfn.XLOOKUP(C433,[1]products!$A$2:$A$71,[1]products!$D$2:$D$71)</f>
        <v>672</v>
      </c>
      <c r="H433" s="16">
        <v>44931</v>
      </c>
      <c r="I433" s="16" t="str">
        <f t="shared" si="30"/>
        <v>January</v>
      </c>
      <c r="J433" s="16" t="str">
        <f t="shared" si="31"/>
        <v>Thursday</v>
      </c>
      <c r="K433" s="17">
        <v>0.50656250000000003</v>
      </c>
      <c r="L433" s="16">
        <v>44939</v>
      </c>
      <c r="M433" s="18">
        <f>HOUR(orders!$K433)</f>
        <v>12</v>
      </c>
      <c r="N433" s="16" t="str">
        <f t="shared" si="32"/>
        <v>January</v>
      </c>
      <c r="O433" s="17">
        <v>0.81988425925925934</v>
      </c>
      <c r="P433" s="17" t="str">
        <f>_xlfn.XLOOKUP(B433,[2]customers!$A$2:$A$101,[2]customers!$C$2:$C$101)</f>
        <v>Dibrugarh</v>
      </c>
      <c r="Q433" s="14" t="s">
        <v>303</v>
      </c>
      <c r="R433" s="14" t="s">
        <v>12</v>
      </c>
      <c r="S433" s="15">
        <f t="shared" si="33"/>
        <v>2688</v>
      </c>
      <c r="T433" s="19">
        <f t="shared" si="34"/>
        <v>8</v>
      </c>
    </row>
    <row r="434" spans="1:20" x14ac:dyDescent="0.3">
      <c r="A434" s="20">
        <v>433</v>
      </c>
      <c r="B434" s="20" t="s">
        <v>239</v>
      </c>
      <c r="C434" s="20">
        <v>7</v>
      </c>
      <c r="D434" s="20" t="s">
        <v>453</v>
      </c>
      <c r="E434" s="20" t="s">
        <v>445</v>
      </c>
      <c r="F434" s="20">
        <v>5</v>
      </c>
      <c r="G434" s="21">
        <f>_xlfn.XLOOKUP(C434,[1]products!$A$2:$A$71,[1]products!$D$2:$D$71)</f>
        <v>409</v>
      </c>
      <c r="H434" s="22">
        <v>44983</v>
      </c>
      <c r="I434" s="22" t="str">
        <f t="shared" si="30"/>
        <v>February</v>
      </c>
      <c r="J434" s="22" t="str">
        <f t="shared" si="31"/>
        <v>Sunday</v>
      </c>
      <c r="K434" s="23">
        <v>0.98184027777777771</v>
      </c>
      <c r="L434" s="22">
        <v>44987</v>
      </c>
      <c r="M434" s="24">
        <f>HOUR(orders!$K434)</f>
        <v>23</v>
      </c>
      <c r="N434" s="22" t="str">
        <f t="shared" si="32"/>
        <v>March</v>
      </c>
      <c r="O434" s="23">
        <v>0.18050925925925929</v>
      </c>
      <c r="P434" s="23" t="str">
        <f>_xlfn.XLOOKUP(B434,[2]customers!$A$2:$A$101,[2]customers!$C$2:$C$101)</f>
        <v>Kalyan-Dombivli</v>
      </c>
      <c r="Q434" s="20" t="s">
        <v>113</v>
      </c>
      <c r="R434" s="20" t="s">
        <v>36</v>
      </c>
      <c r="S434" s="21">
        <f t="shared" si="33"/>
        <v>2045</v>
      </c>
      <c r="T434" s="25">
        <f t="shared" si="34"/>
        <v>4</v>
      </c>
    </row>
    <row r="435" spans="1:20" x14ac:dyDescent="0.3">
      <c r="A435" s="14">
        <v>434</v>
      </c>
      <c r="B435" s="14" t="s">
        <v>97</v>
      </c>
      <c r="C435" s="14">
        <v>51</v>
      </c>
      <c r="D435" s="14" t="s">
        <v>469</v>
      </c>
      <c r="E435" s="14" t="s">
        <v>445</v>
      </c>
      <c r="F435" s="14">
        <v>4</v>
      </c>
      <c r="G435" s="15">
        <f>_xlfn.XLOOKUP(C435,[1]products!$A$2:$A$71,[1]products!$D$2:$D$71)</f>
        <v>1084</v>
      </c>
      <c r="H435" s="16">
        <v>45258</v>
      </c>
      <c r="I435" s="16" t="str">
        <f t="shared" si="30"/>
        <v>November</v>
      </c>
      <c r="J435" s="16" t="str">
        <f t="shared" si="31"/>
        <v>Tuesday</v>
      </c>
      <c r="K435" s="17">
        <v>0.30770833333333331</v>
      </c>
      <c r="L435" s="16">
        <v>45259</v>
      </c>
      <c r="M435" s="18">
        <f>HOUR(orders!$K435)</f>
        <v>7</v>
      </c>
      <c r="N435" s="16" t="str">
        <f t="shared" si="32"/>
        <v>November</v>
      </c>
      <c r="O435" s="17">
        <v>0.8218981481481481</v>
      </c>
      <c r="P435" s="17" t="str">
        <f>_xlfn.XLOOKUP(B435,[2]customers!$A$2:$A$101,[2]customers!$C$2:$C$101)</f>
        <v>Machilipatnam</v>
      </c>
      <c r="Q435" s="14" t="s">
        <v>176</v>
      </c>
      <c r="R435" s="14" t="s">
        <v>60</v>
      </c>
      <c r="S435" s="15">
        <f t="shared" si="33"/>
        <v>4336</v>
      </c>
      <c r="T435" s="19">
        <f t="shared" si="34"/>
        <v>1</v>
      </c>
    </row>
    <row r="436" spans="1:20" x14ac:dyDescent="0.3">
      <c r="A436" s="20">
        <v>435</v>
      </c>
      <c r="B436" s="20" t="s">
        <v>125</v>
      </c>
      <c r="C436" s="20">
        <v>53</v>
      </c>
      <c r="D436" s="20" t="s">
        <v>496</v>
      </c>
      <c r="E436" s="20" t="s">
        <v>427</v>
      </c>
      <c r="F436" s="20">
        <v>4</v>
      </c>
      <c r="G436" s="21">
        <f>_xlfn.XLOOKUP(C436,[1]products!$A$2:$A$71,[1]products!$D$2:$D$71)</f>
        <v>1672</v>
      </c>
      <c r="H436" s="22">
        <v>45160</v>
      </c>
      <c r="I436" s="22" t="str">
        <f t="shared" si="30"/>
        <v>August</v>
      </c>
      <c r="J436" s="22" t="str">
        <f t="shared" si="31"/>
        <v>Tuesday</v>
      </c>
      <c r="K436" s="23">
        <v>0.72743055555555547</v>
      </c>
      <c r="L436" s="22">
        <v>45165</v>
      </c>
      <c r="M436" s="24">
        <f>HOUR(orders!$K436)</f>
        <v>17</v>
      </c>
      <c r="N436" s="22" t="str">
        <f t="shared" si="32"/>
        <v>August</v>
      </c>
      <c r="O436" s="23">
        <v>0.52446759259259257</v>
      </c>
      <c r="P436" s="23" t="str">
        <f>_xlfn.XLOOKUP(B436,[2]customers!$A$2:$A$101,[2]customers!$C$2:$C$101)</f>
        <v>Gangtok</v>
      </c>
      <c r="Q436" s="20" t="s">
        <v>351</v>
      </c>
      <c r="R436" s="20" t="s">
        <v>26</v>
      </c>
      <c r="S436" s="21">
        <f t="shared" si="33"/>
        <v>6688</v>
      </c>
      <c r="T436" s="25">
        <f t="shared" si="34"/>
        <v>5</v>
      </c>
    </row>
    <row r="437" spans="1:20" x14ac:dyDescent="0.3">
      <c r="A437" s="14">
        <v>436</v>
      </c>
      <c r="B437" s="14" t="s">
        <v>116</v>
      </c>
      <c r="C437" s="14">
        <v>8</v>
      </c>
      <c r="D437" s="14" t="s">
        <v>454</v>
      </c>
      <c r="E437" s="14" t="s">
        <v>427</v>
      </c>
      <c r="F437" s="14">
        <v>1</v>
      </c>
      <c r="G437" s="15">
        <f>_xlfn.XLOOKUP(C437,[1]products!$A$2:$A$71,[1]products!$D$2:$D$71)</f>
        <v>252</v>
      </c>
      <c r="H437" s="16">
        <v>44953</v>
      </c>
      <c r="I437" s="16" t="str">
        <f t="shared" si="30"/>
        <v>January</v>
      </c>
      <c r="J437" s="16" t="str">
        <f t="shared" si="31"/>
        <v>Friday</v>
      </c>
      <c r="K437" s="17">
        <v>0.25555555555555559</v>
      </c>
      <c r="L437" s="16">
        <v>44960</v>
      </c>
      <c r="M437" s="18">
        <f>HOUR(orders!$K437)</f>
        <v>6</v>
      </c>
      <c r="N437" s="16" t="str">
        <f t="shared" si="32"/>
        <v>February</v>
      </c>
      <c r="O437" s="17">
        <v>0.34431712962962963</v>
      </c>
      <c r="P437" s="17" t="str">
        <f>_xlfn.XLOOKUP(B437,[2]customers!$A$2:$A$101,[2]customers!$C$2:$C$101)</f>
        <v>Guntakal</v>
      </c>
      <c r="Q437" s="14" t="s">
        <v>141</v>
      </c>
      <c r="R437" s="14" t="s">
        <v>12</v>
      </c>
      <c r="S437" s="15">
        <f t="shared" si="33"/>
        <v>252</v>
      </c>
      <c r="T437" s="19">
        <f t="shared" si="34"/>
        <v>7</v>
      </c>
    </row>
    <row r="438" spans="1:20" x14ac:dyDescent="0.3">
      <c r="A438" s="20">
        <v>437</v>
      </c>
      <c r="B438" s="20" t="s">
        <v>138</v>
      </c>
      <c r="C438" s="20">
        <v>55</v>
      </c>
      <c r="D438" s="20" t="s">
        <v>491</v>
      </c>
      <c r="E438" s="20" t="s">
        <v>445</v>
      </c>
      <c r="F438" s="20">
        <v>1</v>
      </c>
      <c r="G438" s="21">
        <f>_xlfn.XLOOKUP(C438,[1]products!$A$2:$A$71,[1]products!$D$2:$D$71)</f>
        <v>1904</v>
      </c>
      <c r="H438" s="22">
        <v>45162</v>
      </c>
      <c r="I438" s="22" t="str">
        <f t="shared" si="30"/>
        <v>August</v>
      </c>
      <c r="J438" s="22" t="str">
        <f t="shared" si="31"/>
        <v>Thursday</v>
      </c>
      <c r="K438" s="23">
        <v>0.27137731481481481</v>
      </c>
      <c r="L438" s="22">
        <v>45165</v>
      </c>
      <c r="M438" s="24">
        <f>HOUR(orders!$K438)</f>
        <v>6</v>
      </c>
      <c r="N438" s="22" t="str">
        <f t="shared" si="32"/>
        <v>August</v>
      </c>
      <c r="O438" s="23">
        <v>0.95599537037037041</v>
      </c>
      <c r="P438" s="23" t="str">
        <f>_xlfn.XLOOKUP(B438,[2]customers!$A$2:$A$101,[2]customers!$C$2:$C$101)</f>
        <v>Kanpur</v>
      </c>
      <c r="Q438" s="20" t="s">
        <v>352</v>
      </c>
      <c r="R438" s="20" t="s">
        <v>26</v>
      </c>
      <c r="S438" s="21">
        <f t="shared" si="33"/>
        <v>1904</v>
      </c>
      <c r="T438" s="25">
        <f t="shared" si="34"/>
        <v>3</v>
      </c>
    </row>
    <row r="439" spans="1:20" x14ac:dyDescent="0.3">
      <c r="A439" s="14">
        <v>438</v>
      </c>
      <c r="B439" s="14" t="s">
        <v>10</v>
      </c>
      <c r="C439" s="14">
        <v>34</v>
      </c>
      <c r="D439" s="14" t="s">
        <v>472</v>
      </c>
      <c r="E439" s="14" t="s">
        <v>445</v>
      </c>
      <c r="F439" s="14">
        <v>2</v>
      </c>
      <c r="G439" s="15">
        <f>_xlfn.XLOOKUP(C439,[1]products!$A$2:$A$71,[1]products!$D$2:$D$71)</f>
        <v>1335</v>
      </c>
      <c r="H439" s="16">
        <v>45164</v>
      </c>
      <c r="I439" s="16" t="str">
        <f t="shared" si="30"/>
        <v>August</v>
      </c>
      <c r="J439" s="16" t="str">
        <f t="shared" si="31"/>
        <v>Saturday</v>
      </c>
      <c r="K439" s="17">
        <v>0.39394675925925932</v>
      </c>
      <c r="L439" s="16">
        <v>45165</v>
      </c>
      <c r="M439" s="18">
        <f>HOUR(orders!$K439)</f>
        <v>9</v>
      </c>
      <c r="N439" s="16" t="str">
        <f t="shared" si="32"/>
        <v>August</v>
      </c>
      <c r="O439" s="17">
        <v>0.1378587962962963</v>
      </c>
      <c r="P439" s="17" t="str">
        <f>_xlfn.XLOOKUP(B439,[2]customers!$A$2:$A$101,[2]customers!$C$2:$C$101)</f>
        <v>Davanagere</v>
      </c>
      <c r="Q439" s="14" t="s">
        <v>310</v>
      </c>
      <c r="R439" s="14" t="s">
        <v>26</v>
      </c>
      <c r="S439" s="15">
        <f t="shared" si="33"/>
        <v>2670</v>
      </c>
      <c r="T439" s="19">
        <f t="shared" si="34"/>
        <v>1</v>
      </c>
    </row>
    <row r="440" spans="1:20" x14ac:dyDescent="0.3">
      <c r="A440" s="20">
        <v>439</v>
      </c>
      <c r="B440" s="20" t="s">
        <v>10</v>
      </c>
      <c r="C440" s="20">
        <v>12</v>
      </c>
      <c r="D440" s="20" t="s">
        <v>446</v>
      </c>
      <c r="E440" s="20" t="s">
        <v>447</v>
      </c>
      <c r="F440" s="20">
        <v>3</v>
      </c>
      <c r="G440" s="21">
        <f>_xlfn.XLOOKUP(C440,[1]products!$A$2:$A$71,[1]products!$D$2:$D$71)</f>
        <v>672</v>
      </c>
      <c r="H440" s="22">
        <v>45273</v>
      </c>
      <c r="I440" s="22" t="str">
        <f t="shared" si="30"/>
        <v>December</v>
      </c>
      <c r="J440" s="22" t="str">
        <f t="shared" si="31"/>
        <v>Wednesday</v>
      </c>
      <c r="K440" s="23">
        <v>0.37234953703703705</v>
      </c>
      <c r="L440" s="22">
        <v>45282</v>
      </c>
      <c r="M440" s="24">
        <f>HOUR(orders!$K440)</f>
        <v>8</v>
      </c>
      <c r="N440" s="22" t="str">
        <f t="shared" si="32"/>
        <v>December</v>
      </c>
      <c r="O440" s="23">
        <v>0.53548611111111111</v>
      </c>
      <c r="P440" s="23" t="str">
        <f>_xlfn.XLOOKUP(B440,[2]customers!$A$2:$A$101,[2]customers!$C$2:$C$101)</f>
        <v>Davanagere</v>
      </c>
      <c r="Q440" s="20" t="s">
        <v>128</v>
      </c>
      <c r="R440" s="20" t="s">
        <v>12</v>
      </c>
      <c r="S440" s="21">
        <f t="shared" si="33"/>
        <v>2016</v>
      </c>
      <c r="T440" s="25">
        <f t="shared" si="34"/>
        <v>9</v>
      </c>
    </row>
    <row r="441" spans="1:20" x14ac:dyDescent="0.3">
      <c r="A441" s="14">
        <v>440</v>
      </c>
      <c r="B441" s="14" t="s">
        <v>58</v>
      </c>
      <c r="C441" s="14">
        <v>13</v>
      </c>
      <c r="D441" s="14" t="s">
        <v>495</v>
      </c>
      <c r="E441" s="14" t="s">
        <v>458</v>
      </c>
      <c r="F441" s="14">
        <v>4</v>
      </c>
      <c r="G441" s="15">
        <f>_xlfn.XLOOKUP(C441,[1]products!$A$2:$A$71,[1]products!$D$2:$D$71)</f>
        <v>1141</v>
      </c>
      <c r="H441" s="16">
        <v>44992</v>
      </c>
      <c r="I441" s="16" t="str">
        <f t="shared" si="30"/>
        <v>March</v>
      </c>
      <c r="J441" s="16" t="str">
        <f t="shared" si="31"/>
        <v>Tuesday</v>
      </c>
      <c r="K441" s="17">
        <v>0.39827546296296296</v>
      </c>
      <c r="L441" s="16">
        <v>44994</v>
      </c>
      <c r="M441" s="18">
        <f>HOUR(orders!$K441)</f>
        <v>9</v>
      </c>
      <c r="N441" s="16" t="str">
        <f t="shared" si="32"/>
        <v>March</v>
      </c>
      <c r="O441" s="17">
        <v>5.6585648148148149E-2</v>
      </c>
      <c r="P441" s="17" t="str">
        <f>_xlfn.XLOOKUP(B441,[2]customers!$A$2:$A$101,[2]customers!$C$2:$C$101)</f>
        <v>Nizamabad</v>
      </c>
      <c r="Q441" s="14" t="s">
        <v>289</v>
      </c>
      <c r="R441" s="14" t="s">
        <v>36</v>
      </c>
      <c r="S441" s="15">
        <f t="shared" si="33"/>
        <v>4564</v>
      </c>
      <c r="T441" s="19">
        <f t="shared" si="34"/>
        <v>2</v>
      </c>
    </row>
    <row r="442" spans="1:20" x14ac:dyDescent="0.3">
      <c r="A442" s="20">
        <v>441</v>
      </c>
      <c r="B442" s="20" t="s">
        <v>288</v>
      </c>
      <c r="C442" s="20">
        <v>26</v>
      </c>
      <c r="D442" s="20" t="s">
        <v>473</v>
      </c>
      <c r="E442" s="20" t="s">
        <v>429</v>
      </c>
      <c r="F442" s="20">
        <v>2</v>
      </c>
      <c r="G442" s="21">
        <f>_xlfn.XLOOKUP(C442,[1]products!$A$2:$A$71,[1]products!$D$2:$D$71)</f>
        <v>289</v>
      </c>
      <c r="H442" s="22">
        <v>44983</v>
      </c>
      <c r="I442" s="22" t="str">
        <f t="shared" si="30"/>
        <v>February</v>
      </c>
      <c r="J442" s="22" t="str">
        <f t="shared" si="31"/>
        <v>Sunday</v>
      </c>
      <c r="K442" s="23">
        <v>0.47495370370370371</v>
      </c>
      <c r="L442" s="22">
        <v>44991</v>
      </c>
      <c r="M442" s="24">
        <f>HOUR(orders!$K442)</f>
        <v>11</v>
      </c>
      <c r="N442" s="22" t="str">
        <f t="shared" si="32"/>
        <v>March</v>
      </c>
      <c r="O442" s="23">
        <v>0.69363425925925926</v>
      </c>
      <c r="P442" s="23" t="str">
        <f>_xlfn.XLOOKUP(B442,[2]customers!$A$2:$A$101,[2]customers!$C$2:$C$101)</f>
        <v>Dhanbad</v>
      </c>
      <c r="Q442" s="20" t="s">
        <v>353</v>
      </c>
      <c r="R442" s="20" t="s">
        <v>36</v>
      </c>
      <c r="S442" s="21">
        <f t="shared" si="33"/>
        <v>578</v>
      </c>
      <c r="T442" s="25">
        <f t="shared" si="34"/>
        <v>8</v>
      </c>
    </row>
    <row r="443" spans="1:20" x14ac:dyDescent="0.3">
      <c r="A443" s="14">
        <v>442</v>
      </c>
      <c r="B443" s="14" t="s">
        <v>103</v>
      </c>
      <c r="C443" s="14">
        <v>3</v>
      </c>
      <c r="D443" s="14" t="s">
        <v>483</v>
      </c>
      <c r="E443" s="14" t="s">
        <v>429</v>
      </c>
      <c r="F443" s="14">
        <v>3</v>
      </c>
      <c r="G443" s="15">
        <f>_xlfn.XLOOKUP(C443,[1]products!$A$2:$A$71,[1]products!$D$2:$D$71)</f>
        <v>1534</v>
      </c>
      <c r="H443" s="16">
        <v>44965</v>
      </c>
      <c r="I443" s="16" t="str">
        <f t="shared" si="30"/>
        <v>February</v>
      </c>
      <c r="J443" s="16" t="str">
        <f t="shared" si="31"/>
        <v>Wednesday</v>
      </c>
      <c r="K443" s="17">
        <v>0.75231481481481488</v>
      </c>
      <c r="L443" s="16">
        <v>44972</v>
      </c>
      <c r="M443" s="18">
        <f>HOUR(orders!$K443)</f>
        <v>18</v>
      </c>
      <c r="N443" s="16" t="str">
        <f t="shared" si="32"/>
        <v>February</v>
      </c>
      <c r="O443" s="17">
        <v>0.33725694444444443</v>
      </c>
      <c r="P443" s="17" t="str">
        <f>_xlfn.XLOOKUP(B443,[2]customers!$A$2:$A$101,[2]customers!$C$2:$C$101)</f>
        <v>Bidhannagar</v>
      </c>
      <c r="Q443" s="14" t="s">
        <v>281</v>
      </c>
      <c r="R443" s="14" t="s">
        <v>23</v>
      </c>
      <c r="S443" s="15">
        <f t="shared" si="33"/>
        <v>4602</v>
      </c>
      <c r="T443" s="19">
        <f t="shared" si="34"/>
        <v>7</v>
      </c>
    </row>
    <row r="444" spans="1:20" x14ac:dyDescent="0.3">
      <c r="A444" s="20">
        <v>443</v>
      </c>
      <c r="B444" s="20" t="s">
        <v>88</v>
      </c>
      <c r="C444" s="20">
        <v>49</v>
      </c>
      <c r="D444" s="20" t="s">
        <v>463</v>
      </c>
      <c r="E444" s="20" t="s">
        <v>429</v>
      </c>
      <c r="F444" s="20">
        <v>3</v>
      </c>
      <c r="G444" s="21">
        <f>_xlfn.XLOOKUP(C444,[1]products!$A$2:$A$71,[1]products!$D$2:$D$71)</f>
        <v>903</v>
      </c>
      <c r="H444" s="22">
        <v>44961</v>
      </c>
      <c r="I444" s="22" t="str">
        <f t="shared" si="30"/>
        <v>February</v>
      </c>
      <c r="J444" s="22" t="str">
        <f t="shared" si="31"/>
        <v>Saturday</v>
      </c>
      <c r="K444" s="23">
        <v>0.93216435185185187</v>
      </c>
      <c r="L444" s="22">
        <v>44970</v>
      </c>
      <c r="M444" s="24">
        <f>HOUR(orders!$K444)</f>
        <v>22</v>
      </c>
      <c r="N444" s="22" t="str">
        <f t="shared" si="32"/>
        <v>February</v>
      </c>
      <c r="O444" s="23">
        <v>9.4444444444444442E-2</v>
      </c>
      <c r="P444" s="23" t="str">
        <f>_xlfn.XLOOKUP(B444,[2]customers!$A$2:$A$101,[2]customers!$C$2:$C$101)</f>
        <v>Guna</v>
      </c>
      <c r="Q444" s="20" t="s">
        <v>334</v>
      </c>
      <c r="R444" s="20" t="s">
        <v>23</v>
      </c>
      <c r="S444" s="21">
        <f t="shared" si="33"/>
        <v>2709</v>
      </c>
      <c r="T444" s="25">
        <f t="shared" si="34"/>
        <v>9</v>
      </c>
    </row>
    <row r="445" spans="1:20" x14ac:dyDescent="0.3">
      <c r="A445" s="14">
        <v>444</v>
      </c>
      <c r="B445" s="14" t="s">
        <v>354</v>
      </c>
      <c r="C445" s="14">
        <v>60</v>
      </c>
      <c r="D445" s="14" t="s">
        <v>440</v>
      </c>
      <c r="E445" s="14" t="s">
        <v>427</v>
      </c>
      <c r="F445" s="14">
        <v>3</v>
      </c>
      <c r="G445" s="15">
        <f>_xlfn.XLOOKUP(C445,[1]products!$A$2:$A$71,[1]products!$D$2:$D$71)</f>
        <v>827</v>
      </c>
      <c r="H445" s="16">
        <v>45232</v>
      </c>
      <c r="I445" s="16" t="str">
        <f t="shared" si="30"/>
        <v>November</v>
      </c>
      <c r="J445" s="16" t="str">
        <f t="shared" si="31"/>
        <v>Thursday</v>
      </c>
      <c r="K445" s="17">
        <v>4.2511574074074077E-2</v>
      </c>
      <c r="L445" s="16">
        <v>45239</v>
      </c>
      <c r="M445" s="18">
        <f>HOUR(orders!$K445)</f>
        <v>1</v>
      </c>
      <c r="N445" s="16" t="str">
        <f t="shared" si="32"/>
        <v>November</v>
      </c>
      <c r="O445" s="17">
        <v>0.41273148148148148</v>
      </c>
      <c r="P445" s="17" t="str">
        <f>_xlfn.XLOOKUP(B445,[2]customers!$A$2:$A$101,[2]customers!$C$2:$C$101)</f>
        <v>Mehsana</v>
      </c>
      <c r="Q445" s="14" t="s">
        <v>214</v>
      </c>
      <c r="R445" s="14" t="s">
        <v>15</v>
      </c>
      <c r="S445" s="15">
        <f t="shared" si="33"/>
        <v>2481</v>
      </c>
      <c r="T445" s="19">
        <f t="shared" si="34"/>
        <v>7</v>
      </c>
    </row>
    <row r="446" spans="1:20" x14ac:dyDescent="0.3">
      <c r="A446" s="20">
        <v>445</v>
      </c>
      <c r="B446" s="20" t="s">
        <v>72</v>
      </c>
      <c r="C446" s="20">
        <v>30</v>
      </c>
      <c r="D446" s="20" t="s">
        <v>449</v>
      </c>
      <c r="E446" s="20" t="s">
        <v>429</v>
      </c>
      <c r="F446" s="20">
        <v>5</v>
      </c>
      <c r="G446" s="21">
        <f>_xlfn.XLOOKUP(C446,[1]products!$A$2:$A$71,[1]products!$D$2:$D$71)</f>
        <v>751</v>
      </c>
      <c r="H446" s="22">
        <v>45091</v>
      </c>
      <c r="I446" s="22" t="str">
        <f t="shared" si="30"/>
        <v>June</v>
      </c>
      <c r="J446" s="22" t="str">
        <f t="shared" si="31"/>
        <v>Wednesday</v>
      </c>
      <c r="K446" s="23">
        <v>0.83937499999999998</v>
      </c>
      <c r="L446" s="22">
        <v>45092</v>
      </c>
      <c r="M446" s="24">
        <f>HOUR(orders!$K446)</f>
        <v>20</v>
      </c>
      <c r="N446" s="22" t="str">
        <f t="shared" si="32"/>
        <v>June</v>
      </c>
      <c r="O446" s="23">
        <v>0.59892361111111114</v>
      </c>
      <c r="P446" s="23" t="str">
        <f>_xlfn.XLOOKUP(B446,[2]customers!$A$2:$A$101,[2]customers!$C$2:$C$101)</f>
        <v>Jorhat</v>
      </c>
      <c r="Q446" s="20" t="s">
        <v>37</v>
      </c>
      <c r="R446" s="20" t="s">
        <v>12</v>
      </c>
      <c r="S446" s="21">
        <f t="shared" si="33"/>
        <v>3755</v>
      </c>
      <c r="T446" s="25">
        <f t="shared" si="34"/>
        <v>1</v>
      </c>
    </row>
    <row r="447" spans="1:20" x14ac:dyDescent="0.3">
      <c r="A447" s="14">
        <v>446</v>
      </c>
      <c r="B447" s="14" t="s">
        <v>275</v>
      </c>
      <c r="C447" s="14">
        <v>33</v>
      </c>
      <c r="D447" s="14" t="s">
        <v>490</v>
      </c>
      <c r="E447" s="14" t="s">
        <v>429</v>
      </c>
      <c r="F447" s="14">
        <v>5</v>
      </c>
      <c r="G447" s="15">
        <f>_xlfn.XLOOKUP(C447,[1]products!$A$2:$A$71,[1]products!$D$2:$D$71)</f>
        <v>314</v>
      </c>
      <c r="H447" s="16">
        <v>44969</v>
      </c>
      <c r="I447" s="16" t="str">
        <f t="shared" si="30"/>
        <v>February</v>
      </c>
      <c r="J447" s="16" t="str">
        <f t="shared" si="31"/>
        <v>Sunday</v>
      </c>
      <c r="K447" s="17">
        <v>0.12087962962962963</v>
      </c>
      <c r="L447" s="16">
        <v>44972</v>
      </c>
      <c r="M447" s="18">
        <f>HOUR(orders!$K447)</f>
        <v>2</v>
      </c>
      <c r="N447" s="16" t="str">
        <f t="shared" si="32"/>
        <v>February</v>
      </c>
      <c r="O447" s="17">
        <v>0.46074074074074073</v>
      </c>
      <c r="P447" s="17" t="str">
        <f>_xlfn.XLOOKUP(B447,[2]customers!$A$2:$A$101,[2]customers!$C$2:$C$101)</f>
        <v>Bhilai</v>
      </c>
      <c r="Q447" s="14" t="s">
        <v>199</v>
      </c>
      <c r="R447" s="14" t="s">
        <v>23</v>
      </c>
      <c r="S447" s="15">
        <f t="shared" si="33"/>
        <v>1570</v>
      </c>
      <c r="T447" s="19">
        <f t="shared" si="34"/>
        <v>3</v>
      </c>
    </row>
    <row r="448" spans="1:20" x14ac:dyDescent="0.3">
      <c r="A448" s="20">
        <v>447</v>
      </c>
      <c r="B448" s="20" t="s">
        <v>146</v>
      </c>
      <c r="C448" s="20">
        <v>47</v>
      </c>
      <c r="D448" s="20" t="s">
        <v>480</v>
      </c>
      <c r="E448" s="20" t="s">
        <v>429</v>
      </c>
      <c r="F448" s="20">
        <v>4</v>
      </c>
      <c r="G448" s="21">
        <f>_xlfn.XLOOKUP(C448,[1]products!$A$2:$A$71,[1]products!$D$2:$D$71)</f>
        <v>1638</v>
      </c>
      <c r="H448" s="22">
        <v>44984</v>
      </c>
      <c r="I448" s="22" t="str">
        <f t="shared" si="30"/>
        <v>February</v>
      </c>
      <c r="J448" s="22" t="str">
        <f t="shared" si="31"/>
        <v>Monday</v>
      </c>
      <c r="K448" s="23">
        <v>0.11497685185185186</v>
      </c>
      <c r="L448" s="22">
        <v>44989</v>
      </c>
      <c r="M448" s="24">
        <f>HOUR(orders!$K448)</f>
        <v>2</v>
      </c>
      <c r="N448" s="22" t="str">
        <f t="shared" si="32"/>
        <v>March</v>
      </c>
      <c r="O448" s="23">
        <v>0.62842592592592594</v>
      </c>
      <c r="P448" s="23" t="str">
        <f>_xlfn.XLOOKUP(B448,[2]customers!$A$2:$A$101,[2]customers!$C$2:$C$101)</f>
        <v>Surat</v>
      </c>
      <c r="Q448" s="20" t="s">
        <v>189</v>
      </c>
      <c r="R448" s="20" t="s">
        <v>36</v>
      </c>
      <c r="S448" s="21">
        <f t="shared" si="33"/>
        <v>6552</v>
      </c>
      <c r="T448" s="25">
        <f t="shared" si="34"/>
        <v>5</v>
      </c>
    </row>
    <row r="449" spans="1:20" x14ac:dyDescent="0.3">
      <c r="A449" s="14">
        <v>448</v>
      </c>
      <c r="B449" s="14" t="s">
        <v>292</v>
      </c>
      <c r="C449" s="14">
        <v>16</v>
      </c>
      <c r="D449" s="14" t="s">
        <v>437</v>
      </c>
      <c r="E449" s="14" t="s">
        <v>427</v>
      </c>
      <c r="F449" s="14">
        <v>1</v>
      </c>
      <c r="G449" s="15">
        <f>_xlfn.XLOOKUP(C449,[1]products!$A$2:$A$71,[1]products!$D$2:$D$71)</f>
        <v>1721</v>
      </c>
      <c r="H449" s="16">
        <v>44987</v>
      </c>
      <c r="I449" s="16" t="str">
        <f t="shared" si="30"/>
        <v>March</v>
      </c>
      <c r="J449" s="16" t="str">
        <f t="shared" si="31"/>
        <v>Thursday</v>
      </c>
      <c r="K449" s="17">
        <v>0.11312499999999999</v>
      </c>
      <c r="L449" s="16">
        <v>44988</v>
      </c>
      <c r="M449" s="18">
        <f>HOUR(orders!$K449)</f>
        <v>2</v>
      </c>
      <c r="N449" s="16" t="str">
        <f t="shared" si="32"/>
        <v>March</v>
      </c>
      <c r="O449" s="17">
        <v>0.57111111111111112</v>
      </c>
      <c r="P449" s="17" t="str">
        <f>_xlfn.XLOOKUP(B449,[2]customers!$A$2:$A$101,[2]customers!$C$2:$C$101)</f>
        <v>Purnia</v>
      </c>
      <c r="Q449" s="14" t="s">
        <v>69</v>
      </c>
      <c r="R449" s="14" t="s">
        <v>36</v>
      </c>
      <c r="S449" s="15">
        <f t="shared" si="33"/>
        <v>1721</v>
      </c>
      <c r="T449" s="19">
        <f t="shared" si="34"/>
        <v>1</v>
      </c>
    </row>
    <row r="450" spans="1:20" x14ac:dyDescent="0.3">
      <c r="A450" s="20">
        <v>449</v>
      </c>
      <c r="B450" s="20" t="s">
        <v>105</v>
      </c>
      <c r="C450" s="20">
        <v>49</v>
      </c>
      <c r="D450" s="20" t="s">
        <v>463</v>
      </c>
      <c r="E450" s="20" t="s">
        <v>429</v>
      </c>
      <c r="F450" s="20">
        <v>4</v>
      </c>
      <c r="G450" s="21">
        <f>_xlfn.XLOOKUP(C450,[1]products!$A$2:$A$71,[1]products!$D$2:$D$71)</f>
        <v>903</v>
      </c>
      <c r="H450" s="22">
        <v>44970</v>
      </c>
      <c r="I450" s="22" t="str">
        <f t="shared" si="30"/>
        <v>February</v>
      </c>
      <c r="J450" s="22" t="str">
        <f t="shared" si="31"/>
        <v>Monday</v>
      </c>
      <c r="K450" s="23">
        <v>0.13780092592592594</v>
      </c>
      <c r="L450" s="22">
        <v>44973</v>
      </c>
      <c r="M450" s="24">
        <f>HOUR(orders!$K450)</f>
        <v>3</v>
      </c>
      <c r="N450" s="22" t="str">
        <f t="shared" si="32"/>
        <v>February</v>
      </c>
      <c r="O450" s="23">
        <v>0.4233912037037037</v>
      </c>
      <c r="P450" s="23" t="str">
        <f>_xlfn.XLOOKUP(B450,[2]customers!$A$2:$A$101,[2]customers!$C$2:$C$101)</f>
        <v>Maheshtala</v>
      </c>
      <c r="Q450" s="20" t="s">
        <v>166</v>
      </c>
      <c r="R450" s="20" t="s">
        <v>23</v>
      </c>
      <c r="S450" s="21">
        <f t="shared" si="33"/>
        <v>3612</v>
      </c>
      <c r="T450" s="25">
        <f t="shared" si="34"/>
        <v>3</v>
      </c>
    </row>
    <row r="451" spans="1:20" x14ac:dyDescent="0.3">
      <c r="A451" s="14">
        <v>450</v>
      </c>
      <c r="B451" s="14" t="s">
        <v>78</v>
      </c>
      <c r="C451" s="14">
        <v>39</v>
      </c>
      <c r="D451" s="14" t="s">
        <v>478</v>
      </c>
      <c r="E451" s="14" t="s">
        <v>458</v>
      </c>
      <c r="F451" s="14">
        <v>5</v>
      </c>
      <c r="G451" s="15">
        <f>_xlfn.XLOOKUP(C451,[1]products!$A$2:$A$71,[1]products!$D$2:$D$71)</f>
        <v>387</v>
      </c>
      <c r="H451" s="16">
        <v>45262</v>
      </c>
      <c r="I451" s="16" t="str">
        <f t="shared" ref="I451:I514" si="35">TEXT(H451,"mmmm")</f>
        <v>December</v>
      </c>
      <c r="J451" s="16" t="str">
        <f t="shared" ref="J451:J514" si="36">TEXT(H451,"dddd")</f>
        <v>Saturday</v>
      </c>
      <c r="K451" s="17">
        <v>0.33200231481481485</v>
      </c>
      <c r="L451" s="16">
        <v>45272</v>
      </c>
      <c r="M451" s="18">
        <f>HOUR(orders!$K451)</f>
        <v>7</v>
      </c>
      <c r="N451" s="16" t="str">
        <f t="shared" ref="N451:N514" si="37">TEXT(L451,"mmmm")</f>
        <v>December</v>
      </c>
      <c r="O451" s="17">
        <v>0.42358796296296292</v>
      </c>
      <c r="P451" s="17" t="str">
        <f>_xlfn.XLOOKUP(B451,[2]customers!$A$2:$A$101,[2]customers!$C$2:$C$101)</f>
        <v>Medininagar</v>
      </c>
      <c r="Q451" s="14" t="s">
        <v>328</v>
      </c>
      <c r="R451" s="14" t="s">
        <v>60</v>
      </c>
      <c r="S451" s="15">
        <f t="shared" ref="S451:S514" si="38">G451*F451</f>
        <v>1935</v>
      </c>
      <c r="T451" s="19">
        <f t="shared" ref="T451:T514" si="39">L451-H451</f>
        <v>10</v>
      </c>
    </row>
    <row r="452" spans="1:20" x14ac:dyDescent="0.3">
      <c r="A452" s="20">
        <v>451</v>
      </c>
      <c r="B452" s="20" t="s">
        <v>275</v>
      </c>
      <c r="C452" s="20">
        <v>33</v>
      </c>
      <c r="D452" s="20" t="s">
        <v>490</v>
      </c>
      <c r="E452" s="20" t="s">
        <v>429</v>
      </c>
      <c r="F452" s="20">
        <v>5</v>
      </c>
      <c r="G452" s="21">
        <f>_xlfn.XLOOKUP(C452,[1]products!$A$2:$A$71,[1]products!$D$2:$D$71)</f>
        <v>314</v>
      </c>
      <c r="H452" s="22">
        <v>44964</v>
      </c>
      <c r="I452" s="22" t="str">
        <f t="shared" si="35"/>
        <v>February</v>
      </c>
      <c r="J452" s="22" t="str">
        <f t="shared" si="36"/>
        <v>Tuesday</v>
      </c>
      <c r="K452" s="23">
        <v>1.1712962962962965E-2</v>
      </c>
      <c r="L452" s="22">
        <v>44970</v>
      </c>
      <c r="M452" s="24">
        <f>HOUR(orders!$K452)</f>
        <v>0</v>
      </c>
      <c r="N452" s="22" t="str">
        <f t="shared" si="37"/>
        <v>February</v>
      </c>
      <c r="O452" s="23">
        <v>0.88260416666666675</v>
      </c>
      <c r="P452" s="23" t="str">
        <f>_xlfn.XLOOKUP(B452,[2]customers!$A$2:$A$101,[2]customers!$C$2:$C$101)</f>
        <v>Bhilai</v>
      </c>
      <c r="Q452" s="20" t="s">
        <v>225</v>
      </c>
      <c r="R452" s="20" t="s">
        <v>23</v>
      </c>
      <c r="S452" s="21">
        <f t="shared" si="38"/>
        <v>1570</v>
      </c>
      <c r="T452" s="25">
        <f t="shared" si="39"/>
        <v>6</v>
      </c>
    </row>
    <row r="453" spans="1:20" x14ac:dyDescent="0.3">
      <c r="A453" s="14">
        <v>452</v>
      </c>
      <c r="B453" s="14" t="s">
        <v>105</v>
      </c>
      <c r="C453" s="14">
        <v>70</v>
      </c>
      <c r="D453" s="14" t="s">
        <v>466</v>
      </c>
      <c r="E453" s="14" t="s">
        <v>427</v>
      </c>
      <c r="F453" s="14">
        <v>3</v>
      </c>
      <c r="G453" s="15">
        <f>_xlfn.XLOOKUP(C453,[1]products!$A$2:$A$71,[1]products!$D$2:$D$71)</f>
        <v>866</v>
      </c>
      <c r="H453" s="16">
        <v>45116</v>
      </c>
      <c r="I453" s="16" t="str">
        <f t="shared" si="35"/>
        <v>July</v>
      </c>
      <c r="J453" s="16" t="str">
        <f t="shared" si="36"/>
        <v>Sunday</v>
      </c>
      <c r="K453" s="17">
        <v>0.83158564814814817</v>
      </c>
      <c r="L453" s="16">
        <v>45124</v>
      </c>
      <c r="M453" s="18">
        <f>HOUR(orders!$K453)</f>
        <v>19</v>
      </c>
      <c r="N453" s="16" t="str">
        <f t="shared" si="37"/>
        <v>July</v>
      </c>
      <c r="O453" s="17">
        <v>0.48770833333333335</v>
      </c>
      <c r="P453" s="17" t="str">
        <f>_xlfn.XLOOKUP(B453,[2]customers!$A$2:$A$101,[2]customers!$C$2:$C$101)</f>
        <v>Maheshtala</v>
      </c>
      <c r="Q453" s="14" t="s">
        <v>154</v>
      </c>
      <c r="R453" s="14" t="s">
        <v>20</v>
      </c>
      <c r="S453" s="15">
        <f t="shared" si="38"/>
        <v>2598</v>
      </c>
      <c r="T453" s="19">
        <f t="shared" si="39"/>
        <v>8</v>
      </c>
    </row>
    <row r="454" spans="1:20" x14ac:dyDescent="0.3">
      <c r="A454" s="20">
        <v>453</v>
      </c>
      <c r="B454" s="20" t="s">
        <v>146</v>
      </c>
      <c r="C454" s="20">
        <v>27</v>
      </c>
      <c r="D454" s="20" t="s">
        <v>435</v>
      </c>
      <c r="E454" s="20" t="s">
        <v>431</v>
      </c>
      <c r="F454" s="20">
        <v>2</v>
      </c>
      <c r="G454" s="21">
        <f>_xlfn.XLOOKUP(C454,[1]products!$A$2:$A$71,[1]products!$D$2:$D$71)</f>
        <v>548</v>
      </c>
      <c r="H454" s="22">
        <v>45159</v>
      </c>
      <c r="I454" s="22" t="str">
        <f t="shared" si="35"/>
        <v>August</v>
      </c>
      <c r="J454" s="22" t="str">
        <f t="shared" si="36"/>
        <v>Monday</v>
      </c>
      <c r="K454" s="23">
        <v>0.4247569444444444</v>
      </c>
      <c r="L454" s="22">
        <v>45169</v>
      </c>
      <c r="M454" s="24">
        <f>HOUR(orders!$K454)</f>
        <v>10</v>
      </c>
      <c r="N454" s="22" t="str">
        <f t="shared" si="37"/>
        <v>August</v>
      </c>
      <c r="O454" s="23">
        <v>0.51968749999999997</v>
      </c>
      <c r="P454" s="23" t="str">
        <f>_xlfn.XLOOKUP(B454,[2]customers!$A$2:$A$101,[2]customers!$C$2:$C$101)</f>
        <v>Surat</v>
      </c>
      <c r="Q454" s="20" t="s">
        <v>139</v>
      </c>
      <c r="R454" s="20" t="s">
        <v>26</v>
      </c>
      <c r="S454" s="21">
        <f t="shared" si="38"/>
        <v>1096</v>
      </c>
      <c r="T454" s="25">
        <f t="shared" si="39"/>
        <v>10</v>
      </c>
    </row>
    <row r="455" spans="1:20" x14ac:dyDescent="0.3">
      <c r="A455" s="14">
        <v>454</v>
      </c>
      <c r="B455" s="14" t="s">
        <v>66</v>
      </c>
      <c r="C455" s="14">
        <v>3</v>
      </c>
      <c r="D455" s="14" t="s">
        <v>483</v>
      </c>
      <c r="E455" s="14" t="s">
        <v>429</v>
      </c>
      <c r="F455" s="14">
        <v>2</v>
      </c>
      <c r="G455" s="15">
        <f>_xlfn.XLOOKUP(C455,[1]products!$A$2:$A$71,[1]products!$D$2:$D$71)</f>
        <v>1534</v>
      </c>
      <c r="H455" s="16">
        <v>44964</v>
      </c>
      <c r="I455" s="16" t="str">
        <f t="shared" si="35"/>
        <v>February</v>
      </c>
      <c r="J455" s="16" t="str">
        <f t="shared" si="36"/>
        <v>Tuesday</v>
      </c>
      <c r="K455" s="17">
        <v>0.97695601851851854</v>
      </c>
      <c r="L455" s="16">
        <v>44966</v>
      </c>
      <c r="M455" s="18">
        <f>HOUR(orders!$K455)</f>
        <v>23</v>
      </c>
      <c r="N455" s="16" t="str">
        <f t="shared" si="37"/>
        <v>February</v>
      </c>
      <c r="O455" s="17">
        <v>5.6898148148148149E-2</v>
      </c>
      <c r="P455" s="17" t="str">
        <f>_xlfn.XLOOKUP(B455,[2]customers!$A$2:$A$101,[2]customers!$C$2:$C$101)</f>
        <v xml:space="preserve">Khora </v>
      </c>
      <c r="Q455" s="14" t="s">
        <v>271</v>
      </c>
      <c r="R455" s="14" t="s">
        <v>23</v>
      </c>
      <c r="S455" s="15">
        <f t="shared" si="38"/>
        <v>3068</v>
      </c>
      <c r="T455" s="19">
        <f t="shared" si="39"/>
        <v>2</v>
      </c>
    </row>
    <row r="456" spans="1:20" x14ac:dyDescent="0.3">
      <c r="A456" s="20">
        <v>455</v>
      </c>
      <c r="B456" s="20" t="s">
        <v>47</v>
      </c>
      <c r="C456" s="20">
        <v>1</v>
      </c>
      <c r="D456" s="20" t="s">
        <v>479</v>
      </c>
      <c r="E456" s="20" t="s">
        <v>445</v>
      </c>
      <c r="F456" s="20">
        <v>2</v>
      </c>
      <c r="G456" s="21">
        <f>_xlfn.XLOOKUP(C456,[1]products!$A$2:$A$71,[1]products!$D$2:$D$71)</f>
        <v>1935</v>
      </c>
      <c r="H456" s="22">
        <v>45219</v>
      </c>
      <c r="I456" s="22" t="str">
        <f t="shared" si="35"/>
        <v>October</v>
      </c>
      <c r="J456" s="22" t="str">
        <f t="shared" si="36"/>
        <v>Friday</v>
      </c>
      <c r="K456" s="23">
        <v>0.94016203703703705</v>
      </c>
      <c r="L456" s="22">
        <v>45224</v>
      </c>
      <c r="M456" s="24">
        <f>HOUR(orders!$K456)</f>
        <v>22</v>
      </c>
      <c r="N456" s="22" t="str">
        <f t="shared" si="37"/>
        <v>October</v>
      </c>
      <c r="O456" s="23">
        <v>0.75300925925925932</v>
      </c>
      <c r="P456" s="23" t="str">
        <f>_xlfn.XLOOKUP(B456,[2]customers!$A$2:$A$101,[2]customers!$C$2:$C$101)</f>
        <v>Hyderabad</v>
      </c>
      <c r="Q456" s="20" t="s">
        <v>347</v>
      </c>
      <c r="R456" s="20" t="s">
        <v>60</v>
      </c>
      <c r="S456" s="21">
        <f t="shared" si="38"/>
        <v>3870</v>
      </c>
      <c r="T456" s="25">
        <f t="shared" si="39"/>
        <v>5</v>
      </c>
    </row>
    <row r="457" spans="1:20" x14ac:dyDescent="0.3">
      <c r="A457" s="14">
        <v>456</v>
      </c>
      <c r="B457" s="14" t="s">
        <v>73</v>
      </c>
      <c r="C457" s="14">
        <v>33</v>
      </c>
      <c r="D457" s="14" t="s">
        <v>490</v>
      </c>
      <c r="E457" s="14" t="s">
        <v>429</v>
      </c>
      <c r="F457" s="14">
        <v>2</v>
      </c>
      <c r="G457" s="15">
        <f>_xlfn.XLOOKUP(C457,[1]products!$A$2:$A$71,[1]products!$D$2:$D$71)</f>
        <v>314</v>
      </c>
      <c r="H457" s="16">
        <v>44969</v>
      </c>
      <c r="I457" s="16" t="str">
        <f t="shared" si="35"/>
        <v>February</v>
      </c>
      <c r="J457" s="16" t="str">
        <f t="shared" si="36"/>
        <v>Sunday</v>
      </c>
      <c r="K457" s="17">
        <v>0.95253472222222213</v>
      </c>
      <c r="L457" s="16">
        <v>44972</v>
      </c>
      <c r="M457" s="18">
        <f>HOUR(orders!$K457)</f>
        <v>22</v>
      </c>
      <c r="N457" s="16" t="str">
        <f t="shared" si="37"/>
        <v>February</v>
      </c>
      <c r="O457" s="17">
        <v>0.92645833333333327</v>
      </c>
      <c r="P457" s="17" t="str">
        <f>_xlfn.XLOOKUP(B457,[2]customers!$A$2:$A$101,[2]customers!$C$2:$C$101)</f>
        <v>Tiruppur</v>
      </c>
      <c r="Q457" s="14" t="s">
        <v>98</v>
      </c>
      <c r="R457" s="14" t="s">
        <v>23</v>
      </c>
      <c r="S457" s="15">
        <f t="shared" si="38"/>
        <v>628</v>
      </c>
      <c r="T457" s="19">
        <f t="shared" si="39"/>
        <v>3</v>
      </c>
    </row>
    <row r="458" spans="1:20" x14ac:dyDescent="0.3">
      <c r="A458" s="20">
        <v>457</v>
      </c>
      <c r="B458" s="20" t="s">
        <v>101</v>
      </c>
      <c r="C458" s="20">
        <v>22</v>
      </c>
      <c r="D458" s="20" t="s">
        <v>465</v>
      </c>
      <c r="E458" s="20" t="s">
        <v>445</v>
      </c>
      <c r="F458" s="20">
        <v>5</v>
      </c>
      <c r="G458" s="21">
        <f>_xlfn.XLOOKUP(C458,[1]products!$A$2:$A$71,[1]products!$D$2:$D$71)</f>
        <v>1639</v>
      </c>
      <c r="H458" s="22">
        <v>45073</v>
      </c>
      <c r="I458" s="22" t="str">
        <f t="shared" si="35"/>
        <v>May</v>
      </c>
      <c r="J458" s="22" t="str">
        <f t="shared" si="36"/>
        <v>Saturday</v>
      </c>
      <c r="K458" s="23">
        <v>0.58031250000000001</v>
      </c>
      <c r="L458" s="22">
        <v>45075</v>
      </c>
      <c r="M458" s="24">
        <f>HOUR(orders!$K458)</f>
        <v>13</v>
      </c>
      <c r="N458" s="22" t="str">
        <f t="shared" si="37"/>
        <v>May</v>
      </c>
      <c r="O458" s="23">
        <v>0.69334490740740751</v>
      </c>
      <c r="P458" s="23" t="str">
        <f>_xlfn.XLOOKUP(B458,[2]customers!$A$2:$A$101,[2]customers!$C$2:$C$101)</f>
        <v>Dibrugarh</v>
      </c>
      <c r="Q458" s="20" t="s">
        <v>355</v>
      </c>
      <c r="R458" s="20" t="s">
        <v>60</v>
      </c>
      <c r="S458" s="21">
        <f t="shared" si="38"/>
        <v>8195</v>
      </c>
      <c r="T458" s="25">
        <f t="shared" si="39"/>
        <v>2</v>
      </c>
    </row>
    <row r="459" spans="1:20" x14ac:dyDescent="0.3">
      <c r="A459" s="14">
        <v>458</v>
      </c>
      <c r="B459" s="14" t="s">
        <v>54</v>
      </c>
      <c r="C459" s="14">
        <v>32</v>
      </c>
      <c r="D459" s="14" t="s">
        <v>444</v>
      </c>
      <c r="E459" s="14" t="s">
        <v>445</v>
      </c>
      <c r="F459" s="14">
        <v>2</v>
      </c>
      <c r="G459" s="15">
        <f>_xlfn.XLOOKUP(C459,[1]products!$A$2:$A$71,[1]products!$D$2:$D$71)</f>
        <v>1792</v>
      </c>
      <c r="H459" s="16">
        <v>45126</v>
      </c>
      <c r="I459" s="16" t="str">
        <f t="shared" si="35"/>
        <v>July</v>
      </c>
      <c r="J459" s="16" t="str">
        <f t="shared" si="36"/>
        <v>Wednesday</v>
      </c>
      <c r="K459" s="17">
        <v>0.72326388888888893</v>
      </c>
      <c r="L459" s="16">
        <v>45131</v>
      </c>
      <c r="M459" s="18">
        <f>HOUR(orders!$K459)</f>
        <v>17</v>
      </c>
      <c r="N459" s="16" t="str">
        <f t="shared" si="37"/>
        <v>July</v>
      </c>
      <c r="O459" s="17">
        <v>0.85606481481481478</v>
      </c>
      <c r="P459" s="17" t="str">
        <f>_xlfn.XLOOKUP(B459,[2]customers!$A$2:$A$101,[2]customers!$C$2:$C$101)</f>
        <v>Bidhannagar</v>
      </c>
      <c r="Q459" s="14" t="s">
        <v>174</v>
      </c>
      <c r="R459" s="14" t="s">
        <v>20</v>
      </c>
      <c r="S459" s="15">
        <f t="shared" si="38"/>
        <v>3584</v>
      </c>
      <c r="T459" s="19">
        <f t="shared" si="39"/>
        <v>5</v>
      </c>
    </row>
    <row r="460" spans="1:20" x14ac:dyDescent="0.3">
      <c r="A460" s="20">
        <v>459</v>
      </c>
      <c r="B460" s="20" t="s">
        <v>249</v>
      </c>
      <c r="C460" s="20">
        <v>12</v>
      </c>
      <c r="D460" s="20" t="s">
        <v>446</v>
      </c>
      <c r="E460" s="20" t="s">
        <v>447</v>
      </c>
      <c r="F460" s="20">
        <v>2</v>
      </c>
      <c r="G460" s="21">
        <f>_xlfn.XLOOKUP(C460,[1]products!$A$2:$A$71,[1]products!$D$2:$D$71)</f>
        <v>672</v>
      </c>
      <c r="H460" s="22">
        <v>45014</v>
      </c>
      <c r="I460" s="22" t="str">
        <f t="shared" si="35"/>
        <v>March</v>
      </c>
      <c r="J460" s="22" t="str">
        <f t="shared" si="36"/>
        <v>Wednesday</v>
      </c>
      <c r="K460" s="23">
        <v>0.30896990740740743</v>
      </c>
      <c r="L460" s="22">
        <v>45015</v>
      </c>
      <c r="M460" s="24">
        <f>HOUR(orders!$K460)</f>
        <v>7</v>
      </c>
      <c r="N460" s="22" t="str">
        <f t="shared" si="37"/>
        <v>March</v>
      </c>
      <c r="O460" s="23">
        <v>0.31563657407407408</v>
      </c>
      <c r="P460" s="23" t="str">
        <f>_xlfn.XLOOKUP(B460,[2]customers!$A$2:$A$101,[2]customers!$C$2:$C$101)</f>
        <v>Tumkur</v>
      </c>
      <c r="Q460" s="20" t="s">
        <v>301</v>
      </c>
      <c r="R460" s="20" t="s">
        <v>12</v>
      </c>
      <c r="S460" s="21">
        <f t="shared" si="38"/>
        <v>1344</v>
      </c>
      <c r="T460" s="25">
        <f t="shared" si="39"/>
        <v>1</v>
      </c>
    </row>
    <row r="461" spans="1:20" x14ac:dyDescent="0.3">
      <c r="A461" s="14">
        <v>460</v>
      </c>
      <c r="B461" s="14" t="s">
        <v>220</v>
      </c>
      <c r="C461" s="14">
        <v>29</v>
      </c>
      <c r="D461" s="14" t="s">
        <v>497</v>
      </c>
      <c r="E461" s="14" t="s">
        <v>429</v>
      </c>
      <c r="F461" s="14">
        <v>2</v>
      </c>
      <c r="G461" s="15">
        <f>_xlfn.XLOOKUP(C461,[1]products!$A$2:$A$71,[1]products!$D$2:$D$71)</f>
        <v>1252</v>
      </c>
      <c r="H461" s="16">
        <v>44989</v>
      </c>
      <c r="I461" s="16" t="str">
        <f t="shared" si="35"/>
        <v>March</v>
      </c>
      <c r="J461" s="16" t="str">
        <f t="shared" si="36"/>
        <v>Saturday</v>
      </c>
      <c r="K461" s="17">
        <v>0.33232638888888888</v>
      </c>
      <c r="L461" s="16">
        <v>44991</v>
      </c>
      <c r="M461" s="18">
        <f>HOUR(orders!$K461)</f>
        <v>7</v>
      </c>
      <c r="N461" s="16" t="str">
        <f t="shared" si="37"/>
        <v>March</v>
      </c>
      <c r="O461" s="17">
        <v>5.162037037037037E-3</v>
      </c>
      <c r="P461" s="17" t="str">
        <f>_xlfn.XLOOKUP(B461,[2]customers!$A$2:$A$101,[2]customers!$C$2:$C$101)</f>
        <v>Berhampore</v>
      </c>
      <c r="Q461" s="14" t="s">
        <v>356</v>
      </c>
      <c r="R461" s="14" t="s">
        <v>36</v>
      </c>
      <c r="S461" s="15">
        <f t="shared" si="38"/>
        <v>2504</v>
      </c>
      <c r="T461" s="19">
        <f t="shared" si="39"/>
        <v>2</v>
      </c>
    </row>
    <row r="462" spans="1:20" x14ac:dyDescent="0.3">
      <c r="A462" s="20">
        <v>461</v>
      </c>
      <c r="B462" s="20" t="s">
        <v>184</v>
      </c>
      <c r="C462" s="20">
        <v>12</v>
      </c>
      <c r="D462" s="20" t="s">
        <v>446</v>
      </c>
      <c r="E462" s="20" t="s">
        <v>447</v>
      </c>
      <c r="F462" s="20">
        <v>4</v>
      </c>
      <c r="G462" s="21">
        <f>_xlfn.XLOOKUP(C462,[1]products!$A$2:$A$71,[1]products!$D$2:$D$71)</f>
        <v>672</v>
      </c>
      <c r="H462" s="22">
        <v>45099</v>
      </c>
      <c r="I462" s="22" t="str">
        <f t="shared" si="35"/>
        <v>June</v>
      </c>
      <c r="J462" s="22" t="str">
        <f t="shared" si="36"/>
        <v>Thursday</v>
      </c>
      <c r="K462" s="23">
        <v>0.34209490740740739</v>
      </c>
      <c r="L462" s="22">
        <v>45104</v>
      </c>
      <c r="M462" s="24">
        <f>HOUR(orders!$K462)</f>
        <v>8</v>
      </c>
      <c r="N462" s="22" t="str">
        <f t="shared" si="37"/>
        <v>June</v>
      </c>
      <c r="O462" s="23">
        <v>0.62009259259259253</v>
      </c>
      <c r="P462" s="23" t="str">
        <f>_xlfn.XLOOKUP(B462,[2]customers!$A$2:$A$101,[2]customers!$C$2:$C$101)</f>
        <v>Raurkela Industrial Township</v>
      </c>
      <c r="Q462" s="20" t="s">
        <v>206</v>
      </c>
      <c r="R462" s="20" t="s">
        <v>12</v>
      </c>
      <c r="S462" s="21">
        <f t="shared" si="38"/>
        <v>2688</v>
      </c>
      <c r="T462" s="25">
        <f t="shared" si="39"/>
        <v>5</v>
      </c>
    </row>
    <row r="463" spans="1:20" x14ac:dyDescent="0.3">
      <c r="A463" s="14">
        <v>462</v>
      </c>
      <c r="B463" s="14" t="s">
        <v>41</v>
      </c>
      <c r="C463" s="14">
        <v>60</v>
      </c>
      <c r="D463" s="14" t="s">
        <v>440</v>
      </c>
      <c r="E463" s="14" t="s">
        <v>427</v>
      </c>
      <c r="F463" s="14">
        <v>5</v>
      </c>
      <c r="G463" s="15">
        <f>_xlfn.XLOOKUP(C463,[1]products!$A$2:$A$71,[1]products!$D$2:$D$71)</f>
        <v>827</v>
      </c>
      <c r="H463" s="16">
        <v>45234</v>
      </c>
      <c r="I463" s="16" t="str">
        <f t="shared" si="35"/>
        <v>November</v>
      </c>
      <c r="J463" s="16" t="str">
        <f t="shared" si="36"/>
        <v>Saturday</v>
      </c>
      <c r="K463" s="17">
        <v>0.75701388888888888</v>
      </c>
      <c r="L463" s="16">
        <v>45243</v>
      </c>
      <c r="M463" s="18">
        <f>HOUR(orders!$K463)</f>
        <v>18</v>
      </c>
      <c r="N463" s="16" t="str">
        <f t="shared" si="37"/>
        <v>November</v>
      </c>
      <c r="O463" s="17">
        <v>0.5973842592592592</v>
      </c>
      <c r="P463" s="17" t="str">
        <f>_xlfn.XLOOKUP(B463,[2]customers!$A$2:$A$101,[2]customers!$C$2:$C$101)</f>
        <v>Madhyamgram</v>
      </c>
      <c r="Q463" s="14" t="s">
        <v>176</v>
      </c>
      <c r="R463" s="14" t="s">
        <v>15</v>
      </c>
      <c r="S463" s="15">
        <f t="shared" si="38"/>
        <v>4135</v>
      </c>
      <c r="T463" s="19">
        <f t="shared" si="39"/>
        <v>9</v>
      </c>
    </row>
    <row r="464" spans="1:20" x14ac:dyDescent="0.3">
      <c r="A464" s="20">
        <v>463</v>
      </c>
      <c r="B464" s="20" t="s">
        <v>21</v>
      </c>
      <c r="C464" s="20">
        <v>18</v>
      </c>
      <c r="D464" s="20" t="s">
        <v>484</v>
      </c>
      <c r="E464" s="20" t="s">
        <v>447</v>
      </c>
      <c r="F464" s="20">
        <v>3</v>
      </c>
      <c r="G464" s="21">
        <f>_xlfn.XLOOKUP(C464,[1]products!$A$2:$A$71,[1]products!$D$2:$D$71)</f>
        <v>781</v>
      </c>
      <c r="H464" s="22">
        <v>45193</v>
      </c>
      <c r="I464" s="22" t="str">
        <f t="shared" si="35"/>
        <v>September</v>
      </c>
      <c r="J464" s="22" t="str">
        <f t="shared" si="36"/>
        <v>Sunday</v>
      </c>
      <c r="K464" s="23">
        <v>0.9331828703703704</v>
      </c>
      <c r="L464" s="22">
        <v>45199</v>
      </c>
      <c r="M464" s="24">
        <f>HOUR(orders!$K464)</f>
        <v>22</v>
      </c>
      <c r="N464" s="22" t="str">
        <f t="shared" si="37"/>
        <v>September</v>
      </c>
      <c r="O464" s="23">
        <v>3.6145833333333328E-2</v>
      </c>
      <c r="P464" s="23" t="str">
        <f>_xlfn.XLOOKUP(B464,[2]customers!$A$2:$A$101,[2]customers!$C$2:$C$101)</f>
        <v>Bhubaneswar</v>
      </c>
      <c r="Q464" s="20" t="s">
        <v>357</v>
      </c>
      <c r="R464" s="20" t="s">
        <v>20</v>
      </c>
      <c r="S464" s="21">
        <f t="shared" si="38"/>
        <v>2343</v>
      </c>
      <c r="T464" s="25">
        <f t="shared" si="39"/>
        <v>6</v>
      </c>
    </row>
    <row r="465" spans="1:20" x14ac:dyDescent="0.3">
      <c r="A465" s="14">
        <v>464</v>
      </c>
      <c r="B465" s="14" t="s">
        <v>99</v>
      </c>
      <c r="C465" s="14">
        <v>18</v>
      </c>
      <c r="D465" s="14" t="s">
        <v>484</v>
      </c>
      <c r="E465" s="14" t="s">
        <v>447</v>
      </c>
      <c r="F465" s="14">
        <v>3</v>
      </c>
      <c r="G465" s="15">
        <f>_xlfn.XLOOKUP(C465,[1]products!$A$2:$A$71,[1]products!$D$2:$D$71)</f>
        <v>781</v>
      </c>
      <c r="H465" s="16">
        <v>45112</v>
      </c>
      <c r="I465" s="16" t="str">
        <f t="shared" si="35"/>
        <v>July</v>
      </c>
      <c r="J465" s="16" t="str">
        <f t="shared" si="36"/>
        <v>Wednesday</v>
      </c>
      <c r="K465" s="17">
        <v>0.12806712962962963</v>
      </c>
      <c r="L465" s="16">
        <v>45115</v>
      </c>
      <c r="M465" s="18">
        <f>HOUR(orders!$K465)</f>
        <v>3</v>
      </c>
      <c r="N465" s="16" t="str">
        <f t="shared" si="37"/>
        <v>July</v>
      </c>
      <c r="O465" s="17">
        <v>0.56857638888888895</v>
      </c>
      <c r="P465" s="17" t="str">
        <f>_xlfn.XLOOKUP(B465,[2]customers!$A$2:$A$101,[2]customers!$C$2:$C$101)</f>
        <v>Panvel</v>
      </c>
      <c r="Q465" s="14" t="s">
        <v>358</v>
      </c>
      <c r="R465" s="14" t="s">
        <v>20</v>
      </c>
      <c r="S465" s="15">
        <f t="shared" si="38"/>
        <v>2343</v>
      </c>
      <c r="T465" s="19">
        <f t="shared" si="39"/>
        <v>3</v>
      </c>
    </row>
    <row r="466" spans="1:20" x14ac:dyDescent="0.3">
      <c r="A466" s="20">
        <v>465</v>
      </c>
      <c r="B466" s="20" t="s">
        <v>16</v>
      </c>
      <c r="C466" s="20">
        <v>55</v>
      </c>
      <c r="D466" s="20" t="s">
        <v>491</v>
      </c>
      <c r="E466" s="20" t="s">
        <v>445</v>
      </c>
      <c r="F466" s="20">
        <v>5</v>
      </c>
      <c r="G466" s="21">
        <f>_xlfn.XLOOKUP(C466,[1]products!$A$2:$A$71,[1]products!$D$2:$D$71)</f>
        <v>1904</v>
      </c>
      <c r="H466" s="22">
        <v>45161</v>
      </c>
      <c r="I466" s="22" t="str">
        <f t="shared" si="35"/>
        <v>August</v>
      </c>
      <c r="J466" s="22" t="str">
        <f t="shared" si="36"/>
        <v>Wednesday</v>
      </c>
      <c r="K466" s="23">
        <v>0.99041666666666661</v>
      </c>
      <c r="L466" s="22">
        <v>45164</v>
      </c>
      <c r="M466" s="24">
        <f>HOUR(orders!$K466)</f>
        <v>23</v>
      </c>
      <c r="N466" s="22" t="str">
        <f t="shared" si="37"/>
        <v>August</v>
      </c>
      <c r="O466" s="23">
        <v>0.56193287037037043</v>
      </c>
      <c r="P466" s="23" t="str">
        <f>_xlfn.XLOOKUP(B466,[2]customers!$A$2:$A$101,[2]customers!$C$2:$C$101)</f>
        <v>Haridwar</v>
      </c>
      <c r="Q466" s="20" t="s">
        <v>51</v>
      </c>
      <c r="R466" s="20" t="s">
        <v>26</v>
      </c>
      <c r="S466" s="21">
        <f t="shared" si="38"/>
        <v>9520</v>
      </c>
      <c r="T466" s="25">
        <f t="shared" si="39"/>
        <v>3</v>
      </c>
    </row>
    <row r="467" spans="1:20" x14ac:dyDescent="0.3">
      <c r="A467" s="14">
        <v>466</v>
      </c>
      <c r="B467" s="14" t="s">
        <v>142</v>
      </c>
      <c r="C467" s="14">
        <v>23</v>
      </c>
      <c r="D467" s="14" t="s">
        <v>441</v>
      </c>
      <c r="E467" s="14" t="s">
        <v>427</v>
      </c>
      <c r="F467" s="14">
        <v>1</v>
      </c>
      <c r="G467" s="15">
        <f>_xlfn.XLOOKUP(C467,[1]products!$A$2:$A$71,[1]products!$D$2:$D$71)</f>
        <v>1098</v>
      </c>
      <c r="H467" s="16">
        <v>45202</v>
      </c>
      <c r="I467" s="16" t="str">
        <f t="shared" si="35"/>
        <v>October</v>
      </c>
      <c r="J467" s="16" t="str">
        <f t="shared" si="36"/>
        <v>Tuesday</v>
      </c>
      <c r="K467" s="17">
        <v>0.58219907407407401</v>
      </c>
      <c r="L467" s="16">
        <v>45210</v>
      </c>
      <c r="M467" s="18">
        <f>HOUR(orders!$K467)</f>
        <v>13</v>
      </c>
      <c r="N467" s="16" t="str">
        <f t="shared" si="37"/>
        <v>October</v>
      </c>
      <c r="O467" s="17">
        <v>0.41644675925925928</v>
      </c>
      <c r="P467" s="17" t="str">
        <f>_xlfn.XLOOKUP(B467,[2]customers!$A$2:$A$101,[2]customers!$C$2:$C$101)</f>
        <v>Bharatpur</v>
      </c>
      <c r="Q467" s="14" t="s">
        <v>129</v>
      </c>
      <c r="R467" s="14" t="s">
        <v>12</v>
      </c>
      <c r="S467" s="15">
        <f t="shared" si="38"/>
        <v>1098</v>
      </c>
      <c r="T467" s="19">
        <f t="shared" si="39"/>
        <v>8</v>
      </c>
    </row>
    <row r="468" spans="1:20" x14ac:dyDescent="0.3">
      <c r="A468" s="20">
        <v>467</v>
      </c>
      <c r="B468" s="20" t="s">
        <v>45</v>
      </c>
      <c r="C468" s="20">
        <v>53</v>
      </c>
      <c r="D468" s="20" t="s">
        <v>496</v>
      </c>
      <c r="E468" s="20" t="s">
        <v>427</v>
      </c>
      <c r="F468" s="20">
        <v>1</v>
      </c>
      <c r="G468" s="21">
        <f>_xlfn.XLOOKUP(C468,[1]products!$A$2:$A$71,[1]products!$D$2:$D$71)</f>
        <v>1672</v>
      </c>
      <c r="H468" s="22">
        <v>45166</v>
      </c>
      <c r="I468" s="22" t="str">
        <f t="shared" si="35"/>
        <v>August</v>
      </c>
      <c r="J468" s="22" t="str">
        <f t="shared" si="36"/>
        <v>Monday</v>
      </c>
      <c r="K468" s="23">
        <v>0.59634259259259259</v>
      </c>
      <c r="L468" s="22">
        <v>45171</v>
      </c>
      <c r="M468" s="24">
        <f>HOUR(orders!$K468)</f>
        <v>14</v>
      </c>
      <c r="N468" s="22" t="str">
        <f t="shared" si="37"/>
        <v>September</v>
      </c>
      <c r="O468" s="23">
        <v>0.63901620370370371</v>
      </c>
      <c r="P468" s="23" t="str">
        <f>_xlfn.XLOOKUP(B468,[2]customers!$A$2:$A$101,[2]customers!$C$2:$C$101)</f>
        <v>Haridwar</v>
      </c>
      <c r="Q468" s="20" t="s">
        <v>39</v>
      </c>
      <c r="R468" s="20" t="s">
        <v>26</v>
      </c>
      <c r="S468" s="21">
        <f t="shared" si="38"/>
        <v>1672</v>
      </c>
      <c r="T468" s="25">
        <f t="shared" si="39"/>
        <v>5</v>
      </c>
    </row>
    <row r="469" spans="1:20" x14ac:dyDescent="0.3">
      <c r="A469" s="14">
        <v>468</v>
      </c>
      <c r="B469" s="14" t="s">
        <v>220</v>
      </c>
      <c r="C469" s="14">
        <v>5</v>
      </c>
      <c r="D469" s="14" t="s">
        <v>467</v>
      </c>
      <c r="E469" s="14" t="s">
        <v>429</v>
      </c>
      <c r="F469" s="14">
        <v>2</v>
      </c>
      <c r="G469" s="15">
        <f>_xlfn.XLOOKUP(C469,[1]products!$A$2:$A$71,[1]products!$D$2:$D$71)</f>
        <v>1444</v>
      </c>
      <c r="H469" s="16">
        <v>45132</v>
      </c>
      <c r="I469" s="16" t="str">
        <f t="shared" si="35"/>
        <v>July</v>
      </c>
      <c r="J469" s="16" t="str">
        <f t="shared" si="36"/>
        <v>Tuesday</v>
      </c>
      <c r="K469" s="17">
        <v>0.33155092592592594</v>
      </c>
      <c r="L469" s="16">
        <v>45142</v>
      </c>
      <c r="M469" s="18">
        <f>HOUR(orders!$K469)</f>
        <v>7</v>
      </c>
      <c r="N469" s="16" t="str">
        <f t="shared" si="37"/>
        <v>August</v>
      </c>
      <c r="O469" s="17">
        <v>5.8877314814814813E-2</v>
      </c>
      <c r="P469" s="17" t="str">
        <f>_xlfn.XLOOKUP(B469,[2]customers!$A$2:$A$101,[2]customers!$C$2:$C$101)</f>
        <v>Berhampore</v>
      </c>
      <c r="Q469" s="14" t="s">
        <v>359</v>
      </c>
      <c r="R469" s="14" t="s">
        <v>60</v>
      </c>
      <c r="S469" s="15">
        <f t="shared" si="38"/>
        <v>2888</v>
      </c>
      <c r="T469" s="19">
        <f t="shared" si="39"/>
        <v>10</v>
      </c>
    </row>
    <row r="470" spans="1:20" x14ac:dyDescent="0.3">
      <c r="A470" s="20">
        <v>469</v>
      </c>
      <c r="B470" s="20" t="s">
        <v>192</v>
      </c>
      <c r="C470" s="20">
        <v>42</v>
      </c>
      <c r="D470" s="20" t="s">
        <v>448</v>
      </c>
      <c r="E470" s="20" t="s">
        <v>427</v>
      </c>
      <c r="F470" s="20">
        <v>4</v>
      </c>
      <c r="G470" s="21">
        <f>_xlfn.XLOOKUP(C470,[1]products!$A$2:$A$71,[1]products!$D$2:$D$71)</f>
        <v>1744</v>
      </c>
      <c r="H470" s="22">
        <v>45275</v>
      </c>
      <c r="I470" s="22" t="str">
        <f t="shared" si="35"/>
        <v>December</v>
      </c>
      <c r="J470" s="22" t="str">
        <f t="shared" si="36"/>
        <v>Friday</v>
      </c>
      <c r="K470" s="23">
        <v>0.29583333333333334</v>
      </c>
      <c r="L470" s="22">
        <v>45279</v>
      </c>
      <c r="M470" s="24">
        <f>HOUR(orders!$K470)</f>
        <v>7</v>
      </c>
      <c r="N470" s="22" t="str">
        <f t="shared" si="37"/>
        <v>December</v>
      </c>
      <c r="O470" s="23">
        <v>0.53945601851851854</v>
      </c>
      <c r="P470" s="23" t="str">
        <f>_xlfn.XLOOKUP(B470,[2]customers!$A$2:$A$101,[2]customers!$C$2:$C$101)</f>
        <v>Kota</v>
      </c>
      <c r="Q470" s="20" t="s">
        <v>228</v>
      </c>
      <c r="R470" s="20" t="s">
        <v>60</v>
      </c>
      <c r="S470" s="21">
        <f t="shared" si="38"/>
        <v>6976</v>
      </c>
      <c r="T470" s="25">
        <f t="shared" si="39"/>
        <v>4</v>
      </c>
    </row>
    <row r="471" spans="1:20" x14ac:dyDescent="0.3">
      <c r="A471" s="14">
        <v>470</v>
      </c>
      <c r="B471" s="14" t="s">
        <v>95</v>
      </c>
      <c r="C471" s="14">
        <v>47</v>
      </c>
      <c r="D471" s="14" t="s">
        <v>480</v>
      </c>
      <c r="E471" s="14" t="s">
        <v>429</v>
      </c>
      <c r="F471" s="14">
        <v>5</v>
      </c>
      <c r="G471" s="15">
        <f>_xlfn.XLOOKUP(C471,[1]products!$A$2:$A$71,[1]products!$D$2:$D$71)</f>
        <v>1638</v>
      </c>
      <c r="H471" s="16">
        <v>44985</v>
      </c>
      <c r="I471" s="16" t="str">
        <f t="shared" si="35"/>
        <v>February</v>
      </c>
      <c r="J471" s="16" t="str">
        <f t="shared" si="36"/>
        <v>Tuesday</v>
      </c>
      <c r="K471" s="17">
        <v>0.73199074074074078</v>
      </c>
      <c r="L471" s="16">
        <v>44991</v>
      </c>
      <c r="M471" s="18">
        <f>HOUR(orders!$K471)</f>
        <v>17</v>
      </c>
      <c r="N471" s="16" t="str">
        <f t="shared" si="37"/>
        <v>March</v>
      </c>
      <c r="O471" s="17">
        <v>0.64547453703703705</v>
      </c>
      <c r="P471" s="17" t="str">
        <f>_xlfn.XLOOKUP(B471,[2]customers!$A$2:$A$101,[2]customers!$C$2:$C$101)</f>
        <v>Sasaram</v>
      </c>
      <c r="Q471" s="14" t="s">
        <v>91</v>
      </c>
      <c r="R471" s="14" t="s">
        <v>36</v>
      </c>
      <c r="S471" s="15">
        <f t="shared" si="38"/>
        <v>8190</v>
      </c>
      <c r="T471" s="19">
        <f t="shared" si="39"/>
        <v>6</v>
      </c>
    </row>
    <row r="472" spans="1:20" x14ac:dyDescent="0.3">
      <c r="A472" s="20">
        <v>471</v>
      </c>
      <c r="B472" s="20" t="s">
        <v>212</v>
      </c>
      <c r="C472" s="20">
        <v>23</v>
      </c>
      <c r="D472" s="20" t="s">
        <v>441</v>
      </c>
      <c r="E472" s="20" t="s">
        <v>427</v>
      </c>
      <c r="F472" s="20">
        <v>2</v>
      </c>
      <c r="G472" s="21">
        <f>_xlfn.XLOOKUP(C472,[1]products!$A$2:$A$71,[1]products!$D$2:$D$71)</f>
        <v>1098</v>
      </c>
      <c r="H472" s="22">
        <v>44957</v>
      </c>
      <c r="I472" s="22" t="str">
        <f t="shared" si="35"/>
        <v>January</v>
      </c>
      <c r="J472" s="22" t="str">
        <f t="shared" si="36"/>
        <v>Tuesday</v>
      </c>
      <c r="K472" s="23">
        <v>0.50626157407407402</v>
      </c>
      <c r="L472" s="22">
        <v>44967</v>
      </c>
      <c r="M472" s="24">
        <f>HOUR(orders!$K472)</f>
        <v>12</v>
      </c>
      <c r="N472" s="22" t="str">
        <f t="shared" si="37"/>
        <v>February</v>
      </c>
      <c r="O472" s="23">
        <v>0.24312500000000001</v>
      </c>
      <c r="P472" s="23" t="str">
        <f>_xlfn.XLOOKUP(B472,[2]customers!$A$2:$A$101,[2]customers!$C$2:$C$101)</f>
        <v>Dibrugarh</v>
      </c>
      <c r="Q472" s="20" t="s">
        <v>296</v>
      </c>
      <c r="R472" s="20" t="s">
        <v>12</v>
      </c>
      <c r="S472" s="21">
        <f t="shared" si="38"/>
        <v>2196</v>
      </c>
      <c r="T472" s="25">
        <f t="shared" si="39"/>
        <v>10</v>
      </c>
    </row>
    <row r="473" spans="1:20" x14ac:dyDescent="0.3">
      <c r="A473" s="14">
        <v>472</v>
      </c>
      <c r="B473" s="14" t="s">
        <v>121</v>
      </c>
      <c r="C473" s="14">
        <v>56</v>
      </c>
      <c r="D473" s="14" t="s">
        <v>436</v>
      </c>
      <c r="E473" s="14" t="s">
        <v>26</v>
      </c>
      <c r="F473" s="14">
        <v>1</v>
      </c>
      <c r="G473" s="15">
        <f>_xlfn.XLOOKUP(C473,[1]products!$A$2:$A$71,[1]products!$D$2:$D$71)</f>
        <v>1272</v>
      </c>
      <c r="H473" s="16">
        <v>45284</v>
      </c>
      <c r="I473" s="16" t="str">
        <f t="shared" si="35"/>
        <v>December</v>
      </c>
      <c r="J473" s="16" t="str">
        <f t="shared" si="36"/>
        <v>Sunday</v>
      </c>
      <c r="K473" s="17">
        <v>0.31432870370370369</v>
      </c>
      <c r="L473" s="16">
        <v>45290</v>
      </c>
      <c r="M473" s="18">
        <f>HOUR(orders!$K473)</f>
        <v>7</v>
      </c>
      <c r="N473" s="16" t="str">
        <f t="shared" si="37"/>
        <v>December</v>
      </c>
      <c r="O473" s="17">
        <v>0.94881944444444455</v>
      </c>
      <c r="P473" s="17" t="str">
        <f>_xlfn.XLOOKUP(B473,[2]customers!$A$2:$A$101,[2]customers!$C$2:$C$101)</f>
        <v>Kolkata</v>
      </c>
      <c r="Q473" s="14" t="s">
        <v>44</v>
      </c>
      <c r="R473" s="14" t="s">
        <v>12</v>
      </c>
      <c r="S473" s="15">
        <f t="shared" si="38"/>
        <v>1272</v>
      </c>
      <c r="T473" s="19">
        <f t="shared" si="39"/>
        <v>6</v>
      </c>
    </row>
    <row r="474" spans="1:20" x14ac:dyDescent="0.3">
      <c r="A474" s="20">
        <v>473</v>
      </c>
      <c r="B474" s="20" t="s">
        <v>153</v>
      </c>
      <c r="C474" s="20">
        <v>22</v>
      </c>
      <c r="D474" s="20" t="s">
        <v>465</v>
      </c>
      <c r="E474" s="20" t="s">
        <v>445</v>
      </c>
      <c r="F474" s="20">
        <v>3</v>
      </c>
      <c r="G474" s="21">
        <f>_xlfn.XLOOKUP(C474,[1]products!$A$2:$A$71,[1]products!$D$2:$D$71)</f>
        <v>1639</v>
      </c>
      <c r="H474" s="22">
        <v>45013</v>
      </c>
      <c r="I474" s="22" t="str">
        <f t="shared" si="35"/>
        <v>March</v>
      </c>
      <c r="J474" s="22" t="str">
        <f t="shared" si="36"/>
        <v>Tuesday</v>
      </c>
      <c r="K474" s="23">
        <v>0.34302083333333333</v>
      </c>
      <c r="L474" s="22">
        <v>45020</v>
      </c>
      <c r="M474" s="24">
        <f>HOUR(orders!$K474)</f>
        <v>8</v>
      </c>
      <c r="N474" s="22" t="str">
        <f t="shared" si="37"/>
        <v>April</v>
      </c>
      <c r="O474" s="23">
        <v>0.65576388888888892</v>
      </c>
      <c r="P474" s="23" t="str">
        <f>_xlfn.XLOOKUP(B474,[2]customers!$A$2:$A$101,[2]customers!$C$2:$C$101)</f>
        <v>Kavali</v>
      </c>
      <c r="Q474" s="20" t="s">
        <v>360</v>
      </c>
      <c r="R474" s="20" t="s">
        <v>60</v>
      </c>
      <c r="S474" s="21">
        <f t="shared" si="38"/>
        <v>4917</v>
      </c>
      <c r="T474" s="25">
        <f t="shared" si="39"/>
        <v>7</v>
      </c>
    </row>
    <row r="475" spans="1:20" x14ac:dyDescent="0.3">
      <c r="A475" s="14">
        <v>474</v>
      </c>
      <c r="B475" s="14" t="s">
        <v>192</v>
      </c>
      <c r="C475" s="14">
        <v>1</v>
      </c>
      <c r="D475" s="14" t="s">
        <v>479</v>
      </c>
      <c r="E475" s="14" t="s">
        <v>445</v>
      </c>
      <c r="F475" s="14">
        <v>4</v>
      </c>
      <c r="G475" s="15">
        <f>_xlfn.XLOOKUP(C475,[1]products!$A$2:$A$71,[1]products!$D$2:$D$71)</f>
        <v>1935</v>
      </c>
      <c r="H475" s="16">
        <v>44964</v>
      </c>
      <c r="I475" s="16" t="str">
        <f t="shared" si="35"/>
        <v>February</v>
      </c>
      <c r="J475" s="16" t="str">
        <f t="shared" si="36"/>
        <v>Tuesday</v>
      </c>
      <c r="K475" s="17">
        <v>0.27221064814814816</v>
      </c>
      <c r="L475" s="16">
        <v>44971</v>
      </c>
      <c r="M475" s="18">
        <f>HOUR(orders!$K475)</f>
        <v>6</v>
      </c>
      <c r="N475" s="16" t="str">
        <f t="shared" si="37"/>
        <v>February</v>
      </c>
      <c r="O475" s="17">
        <v>8.3414351851851851E-2</v>
      </c>
      <c r="P475" s="17" t="str">
        <f>_xlfn.XLOOKUP(B475,[2]customers!$A$2:$A$101,[2]customers!$C$2:$C$101)</f>
        <v>Kota</v>
      </c>
      <c r="Q475" s="14" t="s">
        <v>361</v>
      </c>
      <c r="R475" s="14" t="s">
        <v>60</v>
      </c>
      <c r="S475" s="15">
        <f t="shared" si="38"/>
        <v>7740</v>
      </c>
      <c r="T475" s="19">
        <f t="shared" si="39"/>
        <v>7</v>
      </c>
    </row>
    <row r="476" spans="1:20" x14ac:dyDescent="0.3">
      <c r="A476" s="20">
        <v>475</v>
      </c>
      <c r="B476" s="20" t="s">
        <v>32</v>
      </c>
      <c r="C476" s="20">
        <v>46</v>
      </c>
      <c r="D476" s="20" t="s">
        <v>493</v>
      </c>
      <c r="E476" s="20" t="s">
        <v>431</v>
      </c>
      <c r="F476" s="20">
        <v>2</v>
      </c>
      <c r="G476" s="21">
        <f>_xlfn.XLOOKUP(C476,[1]products!$A$2:$A$71,[1]products!$D$2:$D$71)</f>
        <v>758</v>
      </c>
      <c r="H476" s="22">
        <v>45264</v>
      </c>
      <c r="I476" s="22" t="str">
        <f t="shared" si="35"/>
        <v>December</v>
      </c>
      <c r="J476" s="22" t="str">
        <f t="shared" si="36"/>
        <v>Monday</v>
      </c>
      <c r="K476" s="23">
        <v>0.30651620370370369</v>
      </c>
      <c r="L476" s="22">
        <v>45268</v>
      </c>
      <c r="M476" s="24">
        <f>HOUR(orders!$K476)</f>
        <v>7</v>
      </c>
      <c r="N476" s="22" t="str">
        <f t="shared" si="37"/>
        <v>December</v>
      </c>
      <c r="O476" s="23">
        <v>0.56414351851851852</v>
      </c>
      <c r="P476" s="23" t="str">
        <f>_xlfn.XLOOKUP(B476,[2]customers!$A$2:$A$101,[2]customers!$C$2:$C$101)</f>
        <v>Dhanbad</v>
      </c>
      <c r="Q476" s="20" t="s">
        <v>362</v>
      </c>
      <c r="R476" s="20" t="s">
        <v>12</v>
      </c>
      <c r="S476" s="21">
        <f t="shared" si="38"/>
        <v>1516</v>
      </c>
      <c r="T476" s="25">
        <f t="shared" si="39"/>
        <v>4</v>
      </c>
    </row>
    <row r="477" spans="1:20" x14ac:dyDescent="0.3">
      <c r="A477" s="14">
        <v>476</v>
      </c>
      <c r="B477" s="14" t="s">
        <v>80</v>
      </c>
      <c r="C477" s="14">
        <v>40</v>
      </c>
      <c r="D477" s="14" t="s">
        <v>477</v>
      </c>
      <c r="E477" s="14" t="s">
        <v>427</v>
      </c>
      <c r="F477" s="14">
        <v>2</v>
      </c>
      <c r="G477" s="15">
        <f>_xlfn.XLOOKUP(C477,[1]products!$A$2:$A$71,[1]products!$D$2:$D$71)</f>
        <v>1923</v>
      </c>
      <c r="H477" s="16">
        <v>45187</v>
      </c>
      <c r="I477" s="16" t="str">
        <f t="shared" si="35"/>
        <v>September</v>
      </c>
      <c r="J477" s="16" t="str">
        <f t="shared" si="36"/>
        <v>Monday</v>
      </c>
      <c r="K477" s="17">
        <v>5.3680555555555558E-2</v>
      </c>
      <c r="L477" s="16">
        <v>45189</v>
      </c>
      <c r="M477" s="18">
        <f>HOUR(orders!$K477)</f>
        <v>1</v>
      </c>
      <c r="N477" s="16" t="str">
        <f t="shared" si="37"/>
        <v>September</v>
      </c>
      <c r="O477" s="17">
        <v>0.74530092592592589</v>
      </c>
      <c r="P477" s="17" t="str">
        <f>_xlfn.XLOOKUP(B477,[2]customers!$A$2:$A$101,[2]customers!$C$2:$C$101)</f>
        <v>Anand</v>
      </c>
      <c r="Q477" s="14" t="s">
        <v>48</v>
      </c>
      <c r="R477" s="14" t="s">
        <v>12</v>
      </c>
      <c r="S477" s="15">
        <f t="shared" si="38"/>
        <v>3846</v>
      </c>
      <c r="T477" s="19">
        <f t="shared" si="39"/>
        <v>2</v>
      </c>
    </row>
    <row r="478" spans="1:20" x14ac:dyDescent="0.3">
      <c r="A478" s="20">
        <v>477</v>
      </c>
      <c r="B478" s="20" t="s">
        <v>32</v>
      </c>
      <c r="C478" s="20">
        <v>33</v>
      </c>
      <c r="D478" s="20" t="s">
        <v>490</v>
      </c>
      <c r="E478" s="20" t="s">
        <v>429</v>
      </c>
      <c r="F478" s="20">
        <v>4</v>
      </c>
      <c r="G478" s="21">
        <f>_xlfn.XLOOKUP(C478,[1]products!$A$2:$A$71,[1]products!$D$2:$D$71)</f>
        <v>314</v>
      </c>
      <c r="H478" s="22">
        <v>44969</v>
      </c>
      <c r="I478" s="22" t="str">
        <f t="shared" si="35"/>
        <v>February</v>
      </c>
      <c r="J478" s="22" t="str">
        <f t="shared" si="36"/>
        <v>Sunday</v>
      </c>
      <c r="K478" s="23">
        <v>0.7209374999999999</v>
      </c>
      <c r="L478" s="22">
        <v>44971</v>
      </c>
      <c r="M478" s="24">
        <f>HOUR(orders!$K478)</f>
        <v>17</v>
      </c>
      <c r="N478" s="22" t="str">
        <f t="shared" si="37"/>
        <v>February</v>
      </c>
      <c r="O478" s="23">
        <v>0.13324074074074074</v>
      </c>
      <c r="P478" s="23" t="str">
        <f>_xlfn.XLOOKUP(B478,[2]customers!$A$2:$A$101,[2]customers!$C$2:$C$101)</f>
        <v>Dhanbad</v>
      </c>
      <c r="Q478" s="20" t="s">
        <v>340</v>
      </c>
      <c r="R478" s="20" t="s">
        <v>23</v>
      </c>
      <c r="S478" s="21">
        <f t="shared" si="38"/>
        <v>1256</v>
      </c>
      <c r="T478" s="25">
        <f t="shared" si="39"/>
        <v>2</v>
      </c>
    </row>
    <row r="479" spans="1:20" x14ac:dyDescent="0.3">
      <c r="A479" s="14">
        <v>478</v>
      </c>
      <c r="B479" s="14" t="s">
        <v>291</v>
      </c>
      <c r="C479" s="14">
        <v>11</v>
      </c>
      <c r="D479" s="14" t="s">
        <v>476</v>
      </c>
      <c r="E479" s="14" t="s">
        <v>458</v>
      </c>
      <c r="F479" s="14">
        <v>5</v>
      </c>
      <c r="G479" s="15">
        <f>_xlfn.XLOOKUP(C479,[1]products!$A$2:$A$71,[1]products!$D$2:$D$71)</f>
        <v>1096</v>
      </c>
      <c r="H479" s="16">
        <v>44965</v>
      </c>
      <c r="I479" s="16" t="str">
        <f t="shared" si="35"/>
        <v>February</v>
      </c>
      <c r="J479" s="16" t="str">
        <f t="shared" si="36"/>
        <v>Wednesday</v>
      </c>
      <c r="K479" s="17">
        <v>4.9548611111111113E-2</v>
      </c>
      <c r="L479" s="16">
        <v>44966</v>
      </c>
      <c r="M479" s="18">
        <f>HOUR(orders!$K479)</f>
        <v>1</v>
      </c>
      <c r="N479" s="16" t="str">
        <f t="shared" si="37"/>
        <v>February</v>
      </c>
      <c r="O479" s="17">
        <v>0.40994212962962967</v>
      </c>
      <c r="P479" s="17" t="str">
        <f>_xlfn.XLOOKUP(B479,[2]customers!$A$2:$A$101,[2]customers!$C$2:$C$101)</f>
        <v>Bilaspur</v>
      </c>
      <c r="Q479" s="14" t="s">
        <v>363</v>
      </c>
      <c r="R479" s="14" t="s">
        <v>23</v>
      </c>
      <c r="S479" s="15">
        <f t="shared" si="38"/>
        <v>5480</v>
      </c>
      <c r="T479" s="19">
        <f t="shared" si="39"/>
        <v>1</v>
      </c>
    </row>
    <row r="480" spans="1:20" x14ac:dyDescent="0.3">
      <c r="A480" s="20">
        <v>479</v>
      </c>
      <c r="B480" s="20" t="s">
        <v>73</v>
      </c>
      <c r="C480" s="20">
        <v>11</v>
      </c>
      <c r="D480" s="20" t="s">
        <v>476</v>
      </c>
      <c r="E480" s="20" t="s">
        <v>458</v>
      </c>
      <c r="F480" s="20">
        <v>1</v>
      </c>
      <c r="G480" s="21">
        <f>_xlfn.XLOOKUP(C480,[1]products!$A$2:$A$71,[1]products!$D$2:$D$71)</f>
        <v>1096</v>
      </c>
      <c r="H480" s="22">
        <v>44964</v>
      </c>
      <c r="I480" s="22" t="str">
        <f t="shared" si="35"/>
        <v>February</v>
      </c>
      <c r="J480" s="22" t="str">
        <f t="shared" si="36"/>
        <v>Tuesday</v>
      </c>
      <c r="K480" s="23">
        <v>0.74190972222222218</v>
      </c>
      <c r="L480" s="22">
        <v>44968</v>
      </c>
      <c r="M480" s="24">
        <f>HOUR(orders!$K480)</f>
        <v>17</v>
      </c>
      <c r="N480" s="22" t="str">
        <f t="shared" si="37"/>
        <v>February</v>
      </c>
      <c r="O480" s="23">
        <v>0.45015046296296296</v>
      </c>
      <c r="P480" s="23" t="str">
        <f>_xlfn.XLOOKUP(B480,[2]customers!$A$2:$A$101,[2]customers!$C$2:$C$101)</f>
        <v>Tiruppur</v>
      </c>
      <c r="Q480" s="20" t="s">
        <v>336</v>
      </c>
      <c r="R480" s="20" t="s">
        <v>23</v>
      </c>
      <c r="S480" s="21">
        <f t="shared" si="38"/>
        <v>1096</v>
      </c>
      <c r="T480" s="25">
        <f t="shared" si="39"/>
        <v>4</v>
      </c>
    </row>
    <row r="481" spans="1:20" x14ac:dyDescent="0.3">
      <c r="A481" s="14">
        <v>480</v>
      </c>
      <c r="B481" s="14" t="s">
        <v>93</v>
      </c>
      <c r="C481" s="14">
        <v>62</v>
      </c>
      <c r="D481" s="14" t="s">
        <v>442</v>
      </c>
      <c r="E481" s="14" t="s">
        <v>429</v>
      </c>
      <c r="F481" s="14">
        <v>4</v>
      </c>
      <c r="G481" s="15">
        <f>_xlfn.XLOOKUP(C481,[1]products!$A$2:$A$71,[1]products!$D$2:$D$71)</f>
        <v>1356</v>
      </c>
      <c r="H481" s="16">
        <v>44991</v>
      </c>
      <c r="I481" s="16" t="str">
        <f t="shared" si="35"/>
        <v>March</v>
      </c>
      <c r="J481" s="16" t="str">
        <f t="shared" si="36"/>
        <v>Monday</v>
      </c>
      <c r="K481" s="17">
        <v>0.18716435185185185</v>
      </c>
      <c r="L481" s="16">
        <v>45001</v>
      </c>
      <c r="M481" s="18">
        <f>HOUR(orders!$K481)</f>
        <v>4</v>
      </c>
      <c r="N481" s="16" t="str">
        <f t="shared" si="37"/>
        <v>March</v>
      </c>
      <c r="O481" s="17">
        <v>0.93024305555555553</v>
      </c>
      <c r="P481" s="17" t="str">
        <f>_xlfn.XLOOKUP(B481,[2]customers!$A$2:$A$101,[2]customers!$C$2:$C$101)</f>
        <v>Kalyan-Dombivli</v>
      </c>
      <c r="Q481" s="14" t="s">
        <v>364</v>
      </c>
      <c r="R481" s="14" t="s">
        <v>36</v>
      </c>
      <c r="S481" s="15">
        <f t="shared" si="38"/>
        <v>5424</v>
      </c>
      <c r="T481" s="19">
        <f t="shared" si="39"/>
        <v>10</v>
      </c>
    </row>
    <row r="482" spans="1:20" x14ac:dyDescent="0.3">
      <c r="A482" s="20">
        <v>481</v>
      </c>
      <c r="B482" s="20" t="s">
        <v>31</v>
      </c>
      <c r="C482" s="20">
        <v>12</v>
      </c>
      <c r="D482" s="20" t="s">
        <v>446</v>
      </c>
      <c r="E482" s="20" t="s">
        <v>447</v>
      </c>
      <c r="F482" s="20">
        <v>5</v>
      </c>
      <c r="G482" s="21">
        <f>_xlfn.XLOOKUP(C482,[1]products!$A$2:$A$71,[1]products!$D$2:$D$71)</f>
        <v>672</v>
      </c>
      <c r="H482" s="22">
        <v>45159</v>
      </c>
      <c r="I482" s="22" t="str">
        <f t="shared" si="35"/>
        <v>August</v>
      </c>
      <c r="J482" s="22" t="str">
        <f t="shared" si="36"/>
        <v>Monday</v>
      </c>
      <c r="K482" s="23">
        <v>6.134259259259259E-4</v>
      </c>
      <c r="L482" s="22">
        <v>45163</v>
      </c>
      <c r="M482" s="24">
        <f>HOUR(orders!$K482)</f>
        <v>0</v>
      </c>
      <c r="N482" s="22" t="str">
        <f t="shared" si="37"/>
        <v>August</v>
      </c>
      <c r="O482" s="23">
        <v>0.77528935185185188</v>
      </c>
      <c r="P482" s="23" t="str">
        <f>_xlfn.XLOOKUP(B482,[2]customers!$A$2:$A$101,[2]customers!$C$2:$C$101)</f>
        <v>Agra</v>
      </c>
      <c r="Q482" s="20" t="s">
        <v>365</v>
      </c>
      <c r="R482" s="20" t="s">
        <v>12</v>
      </c>
      <c r="S482" s="21">
        <f t="shared" si="38"/>
        <v>3360</v>
      </c>
      <c r="T482" s="25">
        <f t="shared" si="39"/>
        <v>4</v>
      </c>
    </row>
    <row r="483" spans="1:20" x14ac:dyDescent="0.3">
      <c r="A483" s="14">
        <v>482</v>
      </c>
      <c r="B483" s="14" t="s">
        <v>127</v>
      </c>
      <c r="C483" s="14">
        <v>23</v>
      </c>
      <c r="D483" s="14" t="s">
        <v>441</v>
      </c>
      <c r="E483" s="14" t="s">
        <v>427</v>
      </c>
      <c r="F483" s="14">
        <v>3</v>
      </c>
      <c r="G483" s="15">
        <f>_xlfn.XLOOKUP(C483,[1]products!$A$2:$A$71,[1]products!$D$2:$D$71)</f>
        <v>1098</v>
      </c>
      <c r="H483" s="16">
        <v>45082</v>
      </c>
      <c r="I483" s="16" t="str">
        <f t="shared" si="35"/>
        <v>June</v>
      </c>
      <c r="J483" s="16" t="str">
        <f t="shared" si="36"/>
        <v>Monday</v>
      </c>
      <c r="K483" s="17">
        <v>0.85668981481481488</v>
      </c>
      <c r="L483" s="16">
        <v>45091</v>
      </c>
      <c r="M483" s="18">
        <f>HOUR(orders!$K483)</f>
        <v>20</v>
      </c>
      <c r="N483" s="16" t="str">
        <f t="shared" si="37"/>
        <v>June</v>
      </c>
      <c r="O483" s="17">
        <v>0.87262731481481481</v>
      </c>
      <c r="P483" s="17" t="str">
        <f>_xlfn.XLOOKUP(B483,[2]customers!$A$2:$A$101,[2]customers!$C$2:$C$101)</f>
        <v>Imphal</v>
      </c>
      <c r="Q483" s="14" t="s">
        <v>57</v>
      </c>
      <c r="R483" s="14" t="s">
        <v>12</v>
      </c>
      <c r="S483" s="15">
        <f t="shared" si="38"/>
        <v>3294</v>
      </c>
      <c r="T483" s="19">
        <f t="shared" si="39"/>
        <v>9</v>
      </c>
    </row>
    <row r="484" spans="1:20" x14ac:dyDescent="0.3">
      <c r="A484" s="20">
        <v>483</v>
      </c>
      <c r="B484" s="20" t="s">
        <v>220</v>
      </c>
      <c r="C484" s="20">
        <v>59</v>
      </c>
      <c r="D484" s="20" t="s">
        <v>489</v>
      </c>
      <c r="E484" s="20" t="s">
        <v>431</v>
      </c>
      <c r="F484" s="20">
        <v>2</v>
      </c>
      <c r="G484" s="21">
        <f>_xlfn.XLOOKUP(C484,[1]products!$A$2:$A$71,[1]products!$D$2:$D$71)</f>
        <v>811</v>
      </c>
      <c r="H484" s="22">
        <v>45166</v>
      </c>
      <c r="I484" s="22" t="str">
        <f t="shared" si="35"/>
        <v>August</v>
      </c>
      <c r="J484" s="22" t="str">
        <f t="shared" si="36"/>
        <v>Monday</v>
      </c>
      <c r="K484" s="23">
        <v>0.26739583333333333</v>
      </c>
      <c r="L484" s="22">
        <v>45169</v>
      </c>
      <c r="M484" s="24">
        <f>HOUR(orders!$K484)</f>
        <v>6</v>
      </c>
      <c r="N484" s="22" t="str">
        <f t="shared" si="37"/>
        <v>August</v>
      </c>
      <c r="O484" s="23">
        <v>0.21252314814814813</v>
      </c>
      <c r="P484" s="23" t="str">
        <f>_xlfn.XLOOKUP(B484,[2]customers!$A$2:$A$101,[2]customers!$C$2:$C$101)</f>
        <v>Berhampore</v>
      </c>
      <c r="Q484" s="20" t="s">
        <v>137</v>
      </c>
      <c r="R484" s="20" t="s">
        <v>26</v>
      </c>
      <c r="S484" s="21">
        <f t="shared" si="38"/>
        <v>1622</v>
      </c>
      <c r="T484" s="25">
        <f t="shared" si="39"/>
        <v>3</v>
      </c>
    </row>
    <row r="485" spans="1:20" x14ac:dyDescent="0.3">
      <c r="A485" s="14">
        <v>484</v>
      </c>
      <c r="B485" s="14" t="s">
        <v>331</v>
      </c>
      <c r="C485" s="14">
        <v>1</v>
      </c>
      <c r="D485" s="14" t="s">
        <v>479</v>
      </c>
      <c r="E485" s="14" t="s">
        <v>445</v>
      </c>
      <c r="F485" s="14">
        <v>5</v>
      </c>
      <c r="G485" s="15">
        <f>_xlfn.XLOOKUP(C485,[1]products!$A$2:$A$71,[1]products!$D$2:$D$71)</f>
        <v>1935</v>
      </c>
      <c r="H485" s="16">
        <v>45072</v>
      </c>
      <c r="I485" s="16" t="str">
        <f t="shared" si="35"/>
        <v>May</v>
      </c>
      <c r="J485" s="16" t="str">
        <f t="shared" si="36"/>
        <v>Friday</v>
      </c>
      <c r="K485" s="17">
        <v>0.79438657407407398</v>
      </c>
      <c r="L485" s="16">
        <v>45080</v>
      </c>
      <c r="M485" s="18">
        <f>HOUR(orders!$K485)</f>
        <v>19</v>
      </c>
      <c r="N485" s="16" t="str">
        <f t="shared" si="37"/>
        <v>June</v>
      </c>
      <c r="O485" s="17">
        <v>0.8140856481481481</v>
      </c>
      <c r="P485" s="17" t="str">
        <f>_xlfn.XLOOKUP(B485,[2]customers!$A$2:$A$101,[2]customers!$C$2:$C$101)</f>
        <v>Bhatpara</v>
      </c>
      <c r="Q485" s="14" t="s">
        <v>30</v>
      </c>
      <c r="R485" s="14" t="s">
        <v>60</v>
      </c>
      <c r="S485" s="15">
        <f t="shared" si="38"/>
        <v>9675</v>
      </c>
      <c r="T485" s="19">
        <f t="shared" si="39"/>
        <v>8</v>
      </c>
    </row>
    <row r="486" spans="1:20" x14ac:dyDescent="0.3">
      <c r="A486" s="20">
        <v>485</v>
      </c>
      <c r="B486" s="20" t="s">
        <v>16</v>
      </c>
      <c r="C486" s="20">
        <v>43</v>
      </c>
      <c r="D486" s="20" t="s">
        <v>434</v>
      </c>
      <c r="E486" s="20" t="s">
        <v>26</v>
      </c>
      <c r="F486" s="20">
        <v>4</v>
      </c>
      <c r="G486" s="21">
        <f>_xlfn.XLOOKUP(C486,[1]products!$A$2:$A$71,[1]products!$D$2:$D$71)</f>
        <v>750</v>
      </c>
      <c r="H486" s="22">
        <v>45236</v>
      </c>
      <c r="I486" s="22" t="str">
        <f t="shared" si="35"/>
        <v>November</v>
      </c>
      <c r="J486" s="22" t="str">
        <f t="shared" si="36"/>
        <v>Monday</v>
      </c>
      <c r="K486" s="23">
        <v>0.80583333333333329</v>
      </c>
      <c r="L486" s="22">
        <v>45244</v>
      </c>
      <c r="M486" s="24">
        <f>HOUR(orders!$K486)</f>
        <v>19</v>
      </c>
      <c r="N486" s="22" t="str">
        <f t="shared" si="37"/>
        <v>November</v>
      </c>
      <c r="O486" s="23">
        <v>0.81057870370370377</v>
      </c>
      <c r="P486" s="23" t="str">
        <f>_xlfn.XLOOKUP(B486,[2]customers!$A$2:$A$101,[2]customers!$C$2:$C$101)</f>
        <v>Haridwar</v>
      </c>
      <c r="Q486" s="20" t="s">
        <v>366</v>
      </c>
      <c r="R486" s="20" t="s">
        <v>15</v>
      </c>
      <c r="S486" s="21">
        <f t="shared" si="38"/>
        <v>3000</v>
      </c>
      <c r="T486" s="25">
        <f t="shared" si="39"/>
        <v>8</v>
      </c>
    </row>
    <row r="487" spans="1:20" x14ac:dyDescent="0.3">
      <c r="A487" s="14">
        <v>486</v>
      </c>
      <c r="B487" s="14" t="s">
        <v>188</v>
      </c>
      <c r="C487" s="14">
        <v>24</v>
      </c>
      <c r="D487" s="14" t="s">
        <v>485</v>
      </c>
      <c r="E487" s="14" t="s">
        <v>458</v>
      </c>
      <c r="F487" s="14">
        <v>1</v>
      </c>
      <c r="G487" s="15">
        <f>_xlfn.XLOOKUP(C487,[1]products!$A$2:$A$71,[1]products!$D$2:$D$71)</f>
        <v>535</v>
      </c>
      <c r="H487" s="16">
        <v>45132</v>
      </c>
      <c r="I487" s="16" t="str">
        <f t="shared" si="35"/>
        <v>July</v>
      </c>
      <c r="J487" s="16" t="str">
        <f t="shared" si="36"/>
        <v>Tuesday</v>
      </c>
      <c r="K487" s="17">
        <v>0.60729166666666667</v>
      </c>
      <c r="L487" s="16">
        <v>45137</v>
      </c>
      <c r="M487" s="18">
        <f>HOUR(orders!$K487)</f>
        <v>14</v>
      </c>
      <c r="N487" s="16" t="str">
        <f t="shared" si="37"/>
        <v>July</v>
      </c>
      <c r="O487" s="17">
        <v>0.70734953703703696</v>
      </c>
      <c r="P487" s="17" t="str">
        <f>_xlfn.XLOOKUP(B487,[2]customers!$A$2:$A$101,[2]customers!$C$2:$C$101)</f>
        <v>Sambhal</v>
      </c>
      <c r="Q487" s="14" t="s">
        <v>317</v>
      </c>
      <c r="R487" s="14" t="s">
        <v>20</v>
      </c>
      <c r="S487" s="15">
        <f t="shared" si="38"/>
        <v>535</v>
      </c>
      <c r="T487" s="19">
        <f t="shared" si="39"/>
        <v>5</v>
      </c>
    </row>
    <row r="488" spans="1:20" x14ac:dyDescent="0.3">
      <c r="A488" s="20">
        <v>487</v>
      </c>
      <c r="B488" s="20" t="s">
        <v>142</v>
      </c>
      <c r="C488" s="20">
        <v>51</v>
      </c>
      <c r="D488" s="20" t="s">
        <v>469</v>
      </c>
      <c r="E488" s="20" t="s">
        <v>445</v>
      </c>
      <c r="F488" s="20">
        <v>1</v>
      </c>
      <c r="G488" s="21">
        <f>_xlfn.XLOOKUP(C488,[1]products!$A$2:$A$71,[1]products!$D$2:$D$71)</f>
        <v>1084</v>
      </c>
      <c r="H488" s="22">
        <v>44931</v>
      </c>
      <c r="I488" s="22" t="str">
        <f t="shared" si="35"/>
        <v>January</v>
      </c>
      <c r="J488" s="22" t="str">
        <f t="shared" si="36"/>
        <v>Thursday</v>
      </c>
      <c r="K488" s="23">
        <v>0.69927083333333329</v>
      </c>
      <c r="L488" s="22">
        <v>44935</v>
      </c>
      <c r="M488" s="24">
        <f>HOUR(orders!$K488)</f>
        <v>16</v>
      </c>
      <c r="N488" s="22" t="str">
        <f t="shared" si="37"/>
        <v>January</v>
      </c>
      <c r="O488" s="23">
        <v>0.18631944444444445</v>
      </c>
      <c r="P488" s="23" t="str">
        <f>_xlfn.XLOOKUP(B488,[2]customers!$A$2:$A$101,[2]customers!$C$2:$C$101)</f>
        <v>Bharatpur</v>
      </c>
      <c r="Q488" s="20" t="s">
        <v>283</v>
      </c>
      <c r="R488" s="20" t="s">
        <v>60</v>
      </c>
      <c r="S488" s="21">
        <f t="shared" si="38"/>
        <v>1084</v>
      </c>
      <c r="T488" s="25">
        <f t="shared" si="39"/>
        <v>4</v>
      </c>
    </row>
    <row r="489" spans="1:20" x14ac:dyDescent="0.3">
      <c r="A489" s="14">
        <v>488</v>
      </c>
      <c r="B489" s="14" t="s">
        <v>343</v>
      </c>
      <c r="C489" s="14">
        <v>21</v>
      </c>
      <c r="D489" s="14" t="s">
        <v>436</v>
      </c>
      <c r="E489" s="14" t="s">
        <v>429</v>
      </c>
      <c r="F489" s="14">
        <v>4</v>
      </c>
      <c r="G489" s="15">
        <f>_xlfn.XLOOKUP(C489,[1]products!$A$2:$A$71,[1]products!$D$2:$D$71)</f>
        <v>1561</v>
      </c>
      <c r="H489" s="16">
        <v>45166</v>
      </c>
      <c r="I489" s="16" t="str">
        <f t="shared" si="35"/>
        <v>August</v>
      </c>
      <c r="J489" s="16" t="str">
        <f t="shared" si="36"/>
        <v>Monday</v>
      </c>
      <c r="K489" s="17">
        <v>0.92604166666666676</v>
      </c>
      <c r="L489" s="16">
        <v>45167</v>
      </c>
      <c r="M489" s="18">
        <f>HOUR(orders!$K489)</f>
        <v>22</v>
      </c>
      <c r="N489" s="16" t="str">
        <f t="shared" si="37"/>
        <v>August</v>
      </c>
      <c r="O489" s="17">
        <v>0.22695601851851852</v>
      </c>
      <c r="P489" s="17" t="str">
        <f>_xlfn.XLOOKUP(B489,[2]customers!$A$2:$A$101,[2]customers!$C$2:$C$101)</f>
        <v>Singrauli</v>
      </c>
      <c r="Q489" s="14" t="s">
        <v>280</v>
      </c>
      <c r="R489" s="14" t="s">
        <v>26</v>
      </c>
      <c r="S489" s="15">
        <f t="shared" si="38"/>
        <v>6244</v>
      </c>
      <c r="T489" s="19">
        <f t="shared" si="39"/>
        <v>1</v>
      </c>
    </row>
    <row r="490" spans="1:20" x14ac:dyDescent="0.3">
      <c r="A490" s="20">
        <v>489</v>
      </c>
      <c r="B490" s="20" t="s">
        <v>47</v>
      </c>
      <c r="C490" s="20">
        <v>10</v>
      </c>
      <c r="D490" s="20" t="s">
        <v>452</v>
      </c>
      <c r="E490" s="20" t="s">
        <v>431</v>
      </c>
      <c r="F490" s="20">
        <v>1</v>
      </c>
      <c r="G490" s="21">
        <f>_xlfn.XLOOKUP(C490,[1]products!$A$2:$A$71,[1]products!$D$2:$D$71)</f>
        <v>259</v>
      </c>
      <c r="H490" s="22">
        <v>45166</v>
      </c>
      <c r="I490" s="22" t="str">
        <f t="shared" si="35"/>
        <v>August</v>
      </c>
      <c r="J490" s="22" t="str">
        <f t="shared" si="36"/>
        <v>Monday</v>
      </c>
      <c r="K490" s="23">
        <v>0.9353703703703703</v>
      </c>
      <c r="L490" s="22">
        <v>45171</v>
      </c>
      <c r="M490" s="24">
        <f>HOUR(orders!$K490)</f>
        <v>22</v>
      </c>
      <c r="N490" s="22" t="str">
        <f t="shared" si="37"/>
        <v>September</v>
      </c>
      <c r="O490" s="23">
        <v>0.18803240740740743</v>
      </c>
      <c r="P490" s="23" t="str">
        <f>_xlfn.XLOOKUP(B490,[2]customers!$A$2:$A$101,[2]customers!$C$2:$C$101)</f>
        <v>Hyderabad</v>
      </c>
      <c r="Q490" s="20" t="s">
        <v>176</v>
      </c>
      <c r="R490" s="20" t="s">
        <v>20</v>
      </c>
      <c r="S490" s="21">
        <f t="shared" si="38"/>
        <v>259</v>
      </c>
      <c r="T490" s="25">
        <f t="shared" si="39"/>
        <v>5</v>
      </c>
    </row>
    <row r="491" spans="1:20" x14ac:dyDescent="0.3">
      <c r="A491" s="14">
        <v>490</v>
      </c>
      <c r="B491" s="14" t="s">
        <v>172</v>
      </c>
      <c r="C491" s="14">
        <v>2</v>
      </c>
      <c r="D491" s="14" t="s">
        <v>481</v>
      </c>
      <c r="E491" s="14" t="s">
        <v>447</v>
      </c>
      <c r="F491" s="14">
        <v>1</v>
      </c>
      <c r="G491" s="15">
        <f>_xlfn.XLOOKUP(C491,[1]products!$A$2:$A$71,[1]products!$D$2:$D$71)</f>
        <v>441</v>
      </c>
      <c r="H491" s="16">
        <v>44969</v>
      </c>
      <c r="I491" s="16" t="str">
        <f t="shared" si="35"/>
        <v>February</v>
      </c>
      <c r="J491" s="16" t="str">
        <f t="shared" si="36"/>
        <v>Sunday</v>
      </c>
      <c r="K491" s="17">
        <v>0.5194791666666666</v>
      </c>
      <c r="L491" s="16">
        <v>44971</v>
      </c>
      <c r="M491" s="18">
        <f>HOUR(orders!$K491)</f>
        <v>12</v>
      </c>
      <c r="N491" s="16" t="str">
        <f t="shared" si="37"/>
        <v>February</v>
      </c>
      <c r="O491" s="17">
        <v>0.51896990740740734</v>
      </c>
      <c r="P491" s="17" t="str">
        <f>_xlfn.XLOOKUP(B491,[2]customers!$A$2:$A$101,[2]customers!$C$2:$C$101)</f>
        <v>Aligarh</v>
      </c>
      <c r="Q491" s="14" t="s">
        <v>347</v>
      </c>
      <c r="R491" s="14" t="s">
        <v>23</v>
      </c>
      <c r="S491" s="15">
        <f t="shared" si="38"/>
        <v>441</v>
      </c>
      <c r="T491" s="19">
        <f t="shared" si="39"/>
        <v>2</v>
      </c>
    </row>
    <row r="492" spans="1:20" x14ac:dyDescent="0.3">
      <c r="A492" s="20">
        <v>491</v>
      </c>
      <c r="B492" s="20" t="s">
        <v>109</v>
      </c>
      <c r="C492" s="20">
        <v>30</v>
      </c>
      <c r="D492" s="20" t="s">
        <v>449</v>
      </c>
      <c r="E492" s="20" t="s">
        <v>429</v>
      </c>
      <c r="F492" s="20">
        <v>1</v>
      </c>
      <c r="G492" s="21">
        <f>_xlfn.XLOOKUP(C492,[1]products!$A$2:$A$71,[1]products!$D$2:$D$71)</f>
        <v>751</v>
      </c>
      <c r="H492" s="22">
        <v>45223</v>
      </c>
      <c r="I492" s="22" t="str">
        <f t="shared" si="35"/>
        <v>October</v>
      </c>
      <c r="J492" s="22" t="str">
        <f t="shared" si="36"/>
        <v>Tuesday</v>
      </c>
      <c r="K492" s="23">
        <v>0.26011574074074073</v>
      </c>
      <c r="L492" s="22">
        <v>45232</v>
      </c>
      <c r="M492" s="24">
        <f>HOUR(orders!$K492)</f>
        <v>6</v>
      </c>
      <c r="N492" s="22" t="str">
        <f t="shared" si="37"/>
        <v>November</v>
      </c>
      <c r="O492" s="23">
        <v>0.95787037037037026</v>
      </c>
      <c r="P492" s="23" t="str">
        <f>_xlfn.XLOOKUP(B492,[2]customers!$A$2:$A$101,[2]customers!$C$2:$C$101)</f>
        <v>Warangal</v>
      </c>
      <c r="Q492" s="20" t="s">
        <v>306</v>
      </c>
      <c r="R492" s="20" t="s">
        <v>12</v>
      </c>
      <c r="S492" s="21">
        <f t="shared" si="38"/>
        <v>751</v>
      </c>
      <c r="T492" s="25">
        <f t="shared" si="39"/>
        <v>9</v>
      </c>
    </row>
    <row r="493" spans="1:20" x14ac:dyDescent="0.3">
      <c r="A493" s="14">
        <v>492</v>
      </c>
      <c r="B493" s="14" t="s">
        <v>72</v>
      </c>
      <c r="C493" s="14">
        <v>33</v>
      </c>
      <c r="D493" s="14" t="s">
        <v>490</v>
      </c>
      <c r="E493" s="14" t="s">
        <v>429</v>
      </c>
      <c r="F493" s="14">
        <v>2</v>
      </c>
      <c r="G493" s="15">
        <f>_xlfn.XLOOKUP(C493,[1]products!$A$2:$A$71,[1]products!$D$2:$D$71)</f>
        <v>314</v>
      </c>
      <c r="H493" s="16">
        <v>44961</v>
      </c>
      <c r="I493" s="16" t="str">
        <f t="shared" si="35"/>
        <v>February</v>
      </c>
      <c r="J493" s="16" t="str">
        <f t="shared" si="36"/>
        <v>Saturday</v>
      </c>
      <c r="K493" s="17">
        <v>0.57945601851851858</v>
      </c>
      <c r="L493" s="16">
        <v>44970</v>
      </c>
      <c r="M493" s="18">
        <f>HOUR(orders!$K493)</f>
        <v>13</v>
      </c>
      <c r="N493" s="16" t="str">
        <f t="shared" si="37"/>
        <v>February</v>
      </c>
      <c r="O493" s="17">
        <v>0.50315972222222227</v>
      </c>
      <c r="P493" s="17" t="str">
        <f>_xlfn.XLOOKUP(B493,[2]customers!$A$2:$A$101,[2]customers!$C$2:$C$101)</f>
        <v>Jorhat</v>
      </c>
      <c r="Q493" s="14" t="s">
        <v>141</v>
      </c>
      <c r="R493" s="14" t="s">
        <v>23</v>
      </c>
      <c r="S493" s="15">
        <f t="shared" si="38"/>
        <v>628</v>
      </c>
      <c r="T493" s="19">
        <f t="shared" si="39"/>
        <v>9</v>
      </c>
    </row>
    <row r="494" spans="1:20" x14ac:dyDescent="0.3">
      <c r="A494" s="20">
        <v>493</v>
      </c>
      <c r="B494" s="20" t="s">
        <v>180</v>
      </c>
      <c r="C494" s="20">
        <v>11</v>
      </c>
      <c r="D494" s="20" t="s">
        <v>476</v>
      </c>
      <c r="E494" s="20" t="s">
        <v>458</v>
      </c>
      <c r="F494" s="20">
        <v>1</v>
      </c>
      <c r="G494" s="21">
        <f>_xlfn.XLOOKUP(C494,[1]products!$A$2:$A$71,[1]products!$D$2:$D$71)</f>
        <v>1096</v>
      </c>
      <c r="H494" s="22">
        <v>44962</v>
      </c>
      <c r="I494" s="22" t="str">
        <f t="shared" si="35"/>
        <v>February</v>
      </c>
      <c r="J494" s="22" t="str">
        <f t="shared" si="36"/>
        <v>Sunday</v>
      </c>
      <c r="K494" s="23">
        <v>0.92458333333333342</v>
      </c>
      <c r="L494" s="22">
        <v>44963</v>
      </c>
      <c r="M494" s="24">
        <f>HOUR(orders!$K494)</f>
        <v>22</v>
      </c>
      <c r="N494" s="22" t="str">
        <f t="shared" si="37"/>
        <v>February</v>
      </c>
      <c r="O494" s="23">
        <v>0.65498842592592588</v>
      </c>
      <c r="P494" s="23" t="str">
        <f>_xlfn.XLOOKUP(B494,[2]customers!$A$2:$A$101,[2]customers!$C$2:$C$101)</f>
        <v>Vellore</v>
      </c>
      <c r="Q494" s="20" t="s">
        <v>210</v>
      </c>
      <c r="R494" s="20" t="s">
        <v>23</v>
      </c>
      <c r="S494" s="21">
        <f t="shared" si="38"/>
        <v>1096</v>
      </c>
      <c r="T494" s="25">
        <f t="shared" si="39"/>
        <v>1</v>
      </c>
    </row>
    <row r="495" spans="1:20" x14ac:dyDescent="0.3">
      <c r="A495" s="14">
        <v>494</v>
      </c>
      <c r="B495" s="14" t="s">
        <v>167</v>
      </c>
      <c r="C495" s="14">
        <v>7</v>
      </c>
      <c r="D495" s="14" t="s">
        <v>453</v>
      </c>
      <c r="E495" s="14" t="s">
        <v>445</v>
      </c>
      <c r="F495" s="14">
        <v>4</v>
      </c>
      <c r="G495" s="15">
        <f>_xlfn.XLOOKUP(C495,[1]products!$A$2:$A$71,[1]products!$D$2:$D$71)</f>
        <v>409</v>
      </c>
      <c r="H495" s="16">
        <v>44985</v>
      </c>
      <c r="I495" s="16" t="str">
        <f t="shared" si="35"/>
        <v>February</v>
      </c>
      <c r="J495" s="16" t="str">
        <f t="shared" si="36"/>
        <v>Tuesday</v>
      </c>
      <c r="K495" s="17">
        <v>0.13289351851851852</v>
      </c>
      <c r="L495" s="16">
        <v>44993</v>
      </c>
      <c r="M495" s="18">
        <f>HOUR(orders!$K495)</f>
        <v>3</v>
      </c>
      <c r="N495" s="16" t="str">
        <f t="shared" si="37"/>
        <v>March</v>
      </c>
      <c r="O495" s="17">
        <v>0.79638888888888892</v>
      </c>
      <c r="P495" s="17" t="str">
        <f>_xlfn.XLOOKUP(B495,[2]customers!$A$2:$A$101,[2]customers!$C$2:$C$101)</f>
        <v>Ahmednagar</v>
      </c>
      <c r="Q495" s="14" t="s">
        <v>217</v>
      </c>
      <c r="R495" s="14" t="s">
        <v>36</v>
      </c>
      <c r="S495" s="15">
        <f t="shared" si="38"/>
        <v>1636</v>
      </c>
      <c r="T495" s="19">
        <f t="shared" si="39"/>
        <v>8</v>
      </c>
    </row>
    <row r="496" spans="1:20" x14ac:dyDescent="0.3">
      <c r="A496" s="20">
        <v>495</v>
      </c>
      <c r="B496" s="20" t="s">
        <v>220</v>
      </c>
      <c r="C496" s="20">
        <v>20</v>
      </c>
      <c r="D496" s="20" t="s">
        <v>439</v>
      </c>
      <c r="E496" s="20" t="s">
        <v>429</v>
      </c>
      <c r="F496" s="20">
        <v>1</v>
      </c>
      <c r="G496" s="21">
        <f>_xlfn.XLOOKUP(C496,[1]products!$A$2:$A$71,[1]products!$D$2:$D$71)</f>
        <v>697</v>
      </c>
      <c r="H496" s="22">
        <v>45166</v>
      </c>
      <c r="I496" s="22" t="str">
        <f t="shared" si="35"/>
        <v>August</v>
      </c>
      <c r="J496" s="22" t="str">
        <f t="shared" si="36"/>
        <v>Monday</v>
      </c>
      <c r="K496" s="23">
        <v>0.73783564814814817</v>
      </c>
      <c r="L496" s="22">
        <v>45167</v>
      </c>
      <c r="M496" s="24">
        <f>HOUR(orders!$K496)</f>
        <v>17</v>
      </c>
      <c r="N496" s="22" t="str">
        <f t="shared" si="37"/>
        <v>August</v>
      </c>
      <c r="O496" s="23">
        <v>0.9524421296296296</v>
      </c>
      <c r="P496" s="23" t="str">
        <f>_xlfn.XLOOKUP(B496,[2]customers!$A$2:$A$101,[2]customers!$C$2:$C$101)</f>
        <v>Berhampore</v>
      </c>
      <c r="Q496" s="20" t="s">
        <v>367</v>
      </c>
      <c r="R496" s="20" t="s">
        <v>12</v>
      </c>
      <c r="S496" s="21">
        <f t="shared" si="38"/>
        <v>697</v>
      </c>
      <c r="T496" s="25">
        <f t="shared" si="39"/>
        <v>1</v>
      </c>
    </row>
    <row r="497" spans="1:20" x14ac:dyDescent="0.3">
      <c r="A497" s="14">
        <v>496</v>
      </c>
      <c r="B497" s="14" t="s">
        <v>354</v>
      </c>
      <c r="C497" s="14">
        <v>11</v>
      </c>
      <c r="D497" s="14" t="s">
        <v>476</v>
      </c>
      <c r="E497" s="14" t="s">
        <v>458</v>
      </c>
      <c r="F497" s="14">
        <v>4</v>
      </c>
      <c r="G497" s="15">
        <f>_xlfn.XLOOKUP(C497,[1]products!$A$2:$A$71,[1]products!$D$2:$D$71)</f>
        <v>1096</v>
      </c>
      <c r="H497" s="16">
        <v>44966</v>
      </c>
      <c r="I497" s="16" t="str">
        <f t="shared" si="35"/>
        <v>February</v>
      </c>
      <c r="J497" s="16" t="str">
        <f t="shared" si="36"/>
        <v>Thursday</v>
      </c>
      <c r="K497" s="17">
        <v>0.6055208333333334</v>
      </c>
      <c r="L497" s="16">
        <v>44973</v>
      </c>
      <c r="M497" s="18">
        <f>HOUR(orders!$K497)</f>
        <v>14</v>
      </c>
      <c r="N497" s="16" t="str">
        <f t="shared" si="37"/>
        <v>February</v>
      </c>
      <c r="O497" s="17">
        <v>0.54561342592592588</v>
      </c>
      <c r="P497" s="17" t="str">
        <f>_xlfn.XLOOKUP(B497,[2]customers!$A$2:$A$101,[2]customers!$C$2:$C$101)</f>
        <v>Mehsana</v>
      </c>
      <c r="Q497" s="14" t="s">
        <v>219</v>
      </c>
      <c r="R497" s="14" t="s">
        <v>23</v>
      </c>
      <c r="S497" s="15">
        <f t="shared" si="38"/>
        <v>4384</v>
      </c>
      <c r="T497" s="19">
        <f t="shared" si="39"/>
        <v>7</v>
      </c>
    </row>
    <row r="498" spans="1:20" x14ac:dyDescent="0.3">
      <c r="A498" s="20">
        <v>497</v>
      </c>
      <c r="B498" s="20" t="s">
        <v>164</v>
      </c>
      <c r="C498" s="20">
        <v>64</v>
      </c>
      <c r="D498" s="20" t="s">
        <v>492</v>
      </c>
      <c r="E498" s="20" t="s">
        <v>445</v>
      </c>
      <c r="F498" s="20">
        <v>2</v>
      </c>
      <c r="G498" s="21">
        <f>_xlfn.XLOOKUP(C498,[1]products!$A$2:$A$71,[1]products!$D$2:$D$71)</f>
        <v>1878</v>
      </c>
      <c r="H498" s="22">
        <v>45167</v>
      </c>
      <c r="I498" s="22" t="str">
        <f t="shared" si="35"/>
        <v>August</v>
      </c>
      <c r="J498" s="22" t="str">
        <f t="shared" si="36"/>
        <v>Tuesday</v>
      </c>
      <c r="K498" s="23">
        <v>0.8430671296296296</v>
      </c>
      <c r="L498" s="22">
        <v>45170</v>
      </c>
      <c r="M498" s="24">
        <f>HOUR(orders!$K498)</f>
        <v>20</v>
      </c>
      <c r="N498" s="22" t="str">
        <f t="shared" si="37"/>
        <v>September</v>
      </c>
      <c r="O498" s="23">
        <v>0.19648148148148148</v>
      </c>
      <c r="P498" s="23" t="str">
        <f>_xlfn.XLOOKUP(B498,[2]customers!$A$2:$A$101,[2]customers!$C$2:$C$101)</f>
        <v>Ratlam</v>
      </c>
      <c r="Q498" s="20" t="s">
        <v>290</v>
      </c>
      <c r="R498" s="20" t="s">
        <v>26</v>
      </c>
      <c r="S498" s="21">
        <f t="shared" si="38"/>
        <v>3756</v>
      </c>
      <c r="T498" s="25">
        <f t="shared" si="39"/>
        <v>3</v>
      </c>
    </row>
    <row r="499" spans="1:20" x14ac:dyDescent="0.3">
      <c r="A499" s="14">
        <v>498</v>
      </c>
      <c r="B499" s="14" t="s">
        <v>155</v>
      </c>
      <c r="C499" s="14">
        <v>19</v>
      </c>
      <c r="D499" s="14" t="s">
        <v>457</v>
      </c>
      <c r="E499" s="14" t="s">
        <v>458</v>
      </c>
      <c r="F499" s="14">
        <v>4</v>
      </c>
      <c r="G499" s="15">
        <f>_xlfn.XLOOKUP(C499,[1]products!$A$2:$A$71,[1]products!$D$2:$D$71)</f>
        <v>1234</v>
      </c>
      <c r="H499" s="16">
        <v>44970</v>
      </c>
      <c r="I499" s="16" t="str">
        <f t="shared" si="35"/>
        <v>February</v>
      </c>
      <c r="J499" s="16" t="str">
        <f t="shared" si="36"/>
        <v>Monday</v>
      </c>
      <c r="K499" s="17">
        <v>0.8991203703703704</v>
      </c>
      <c r="L499" s="16">
        <v>44977</v>
      </c>
      <c r="M499" s="18">
        <f>HOUR(orders!$K499)</f>
        <v>21</v>
      </c>
      <c r="N499" s="16" t="str">
        <f t="shared" si="37"/>
        <v>February</v>
      </c>
      <c r="O499" s="17">
        <v>0.8849999999999999</v>
      </c>
      <c r="P499" s="17" t="str">
        <f>_xlfn.XLOOKUP(B499,[2]customers!$A$2:$A$101,[2]customers!$C$2:$C$101)</f>
        <v>Phagwara</v>
      </c>
      <c r="Q499" s="14" t="s">
        <v>368</v>
      </c>
      <c r="R499" s="14" t="s">
        <v>23</v>
      </c>
      <c r="S499" s="15">
        <f t="shared" si="38"/>
        <v>4936</v>
      </c>
      <c r="T499" s="19">
        <f t="shared" si="39"/>
        <v>7</v>
      </c>
    </row>
    <row r="500" spans="1:20" x14ac:dyDescent="0.3">
      <c r="A500" s="20">
        <v>499</v>
      </c>
      <c r="B500" s="20" t="s">
        <v>95</v>
      </c>
      <c r="C500" s="20">
        <v>59</v>
      </c>
      <c r="D500" s="20" t="s">
        <v>489</v>
      </c>
      <c r="E500" s="20" t="s">
        <v>431</v>
      </c>
      <c r="F500" s="20">
        <v>1</v>
      </c>
      <c r="G500" s="21">
        <f>_xlfn.XLOOKUP(C500,[1]products!$A$2:$A$71,[1]products!$D$2:$D$71)</f>
        <v>811</v>
      </c>
      <c r="H500" s="22">
        <v>45165</v>
      </c>
      <c r="I500" s="22" t="str">
        <f t="shared" si="35"/>
        <v>August</v>
      </c>
      <c r="J500" s="22" t="str">
        <f t="shared" si="36"/>
        <v>Sunday</v>
      </c>
      <c r="K500" s="23">
        <v>0.50648148148148142</v>
      </c>
      <c r="L500" s="22">
        <v>45171</v>
      </c>
      <c r="M500" s="24">
        <f>HOUR(orders!$K500)</f>
        <v>12</v>
      </c>
      <c r="N500" s="22" t="str">
        <f t="shared" si="37"/>
        <v>September</v>
      </c>
      <c r="O500" s="23">
        <v>0.41912037037037037</v>
      </c>
      <c r="P500" s="23" t="str">
        <f>_xlfn.XLOOKUP(B500,[2]customers!$A$2:$A$101,[2]customers!$C$2:$C$101)</f>
        <v>Sasaram</v>
      </c>
      <c r="Q500" s="20" t="s">
        <v>166</v>
      </c>
      <c r="R500" s="20" t="s">
        <v>26</v>
      </c>
      <c r="S500" s="21">
        <f t="shared" si="38"/>
        <v>811</v>
      </c>
      <c r="T500" s="25">
        <f t="shared" si="39"/>
        <v>6</v>
      </c>
    </row>
    <row r="501" spans="1:20" x14ac:dyDescent="0.3">
      <c r="A501" s="14">
        <v>500</v>
      </c>
      <c r="B501" s="14" t="s">
        <v>43</v>
      </c>
      <c r="C501" s="14">
        <v>61</v>
      </c>
      <c r="D501" s="14" t="s">
        <v>464</v>
      </c>
      <c r="E501" s="14" t="s">
        <v>447</v>
      </c>
      <c r="F501" s="14">
        <v>2</v>
      </c>
      <c r="G501" s="15">
        <f>_xlfn.XLOOKUP(C501,[1]products!$A$2:$A$71,[1]products!$D$2:$D$71)</f>
        <v>810</v>
      </c>
      <c r="H501" s="16">
        <v>45106</v>
      </c>
      <c r="I501" s="16" t="str">
        <f t="shared" si="35"/>
        <v>June</v>
      </c>
      <c r="J501" s="16" t="str">
        <f t="shared" si="36"/>
        <v>Thursday</v>
      </c>
      <c r="K501" s="17">
        <v>0.42212962962962958</v>
      </c>
      <c r="L501" s="16">
        <v>45112</v>
      </c>
      <c r="M501" s="18">
        <f>HOUR(orders!$K501)</f>
        <v>10</v>
      </c>
      <c r="N501" s="16" t="str">
        <f t="shared" si="37"/>
        <v>July</v>
      </c>
      <c r="O501" s="17">
        <v>0.51001157407407405</v>
      </c>
      <c r="P501" s="17" t="str">
        <f>_xlfn.XLOOKUP(B501,[2]customers!$A$2:$A$101,[2]customers!$C$2:$C$101)</f>
        <v>Mangalore</v>
      </c>
      <c r="Q501" s="14" t="s">
        <v>369</v>
      </c>
      <c r="R501" s="14" t="s">
        <v>12</v>
      </c>
      <c r="S501" s="15">
        <f t="shared" si="38"/>
        <v>1620</v>
      </c>
      <c r="T501" s="19">
        <f t="shared" si="39"/>
        <v>6</v>
      </c>
    </row>
    <row r="502" spans="1:20" x14ac:dyDescent="0.3">
      <c r="A502" s="20">
        <v>501</v>
      </c>
      <c r="B502" s="20" t="s">
        <v>83</v>
      </c>
      <c r="C502" s="20">
        <v>46</v>
      </c>
      <c r="D502" s="20" t="s">
        <v>493</v>
      </c>
      <c r="E502" s="20" t="s">
        <v>431</v>
      </c>
      <c r="F502" s="20">
        <v>2</v>
      </c>
      <c r="G502" s="21">
        <f>_xlfn.XLOOKUP(C502,[1]products!$A$2:$A$71,[1]products!$D$2:$D$71)</f>
        <v>758</v>
      </c>
      <c r="H502" s="22">
        <v>45171</v>
      </c>
      <c r="I502" s="22" t="str">
        <f t="shared" si="35"/>
        <v>September</v>
      </c>
      <c r="J502" s="22" t="str">
        <f t="shared" si="36"/>
        <v>Saturday</v>
      </c>
      <c r="K502" s="23">
        <v>0.6858912037037036</v>
      </c>
      <c r="L502" s="22">
        <v>45177</v>
      </c>
      <c r="M502" s="24">
        <f>HOUR(orders!$K502)</f>
        <v>16</v>
      </c>
      <c r="N502" s="22" t="str">
        <f t="shared" si="37"/>
        <v>September</v>
      </c>
      <c r="O502" s="23">
        <v>0.315</v>
      </c>
      <c r="P502" s="23" t="str">
        <f>_xlfn.XLOOKUP(B502,[2]customers!$A$2:$A$101,[2]customers!$C$2:$C$101)</f>
        <v>Malegaon</v>
      </c>
      <c r="Q502" s="20" t="s">
        <v>232</v>
      </c>
      <c r="R502" s="20" t="s">
        <v>12</v>
      </c>
      <c r="S502" s="21">
        <f t="shared" si="38"/>
        <v>1516</v>
      </c>
      <c r="T502" s="25">
        <f t="shared" si="39"/>
        <v>6</v>
      </c>
    </row>
    <row r="503" spans="1:20" x14ac:dyDescent="0.3">
      <c r="A503" s="14">
        <v>502</v>
      </c>
      <c r="B503" s="14" t="s">
        <v>32</v>
      </c>
      <c r="C503" s="14">
        <v>22</v>
      </c>
      <c r="D503" s="14" t="s">
        <v>465</v>
      </c>
      <c r="E503" s="14" t="s">
        <v>445</v>
      </c>
      <c r="F503" s="14">
        <v>5</v>
      </c>
      <c r="G503" s="15">
        <f>_xlfn.XLOOKUP(C503,[1]products!$A$2:$A$71,[1]products!$D$2:$D$71)</f>
        <v>1639</v>
      </c>
      <c r="H503" s="16">
        <v>45101</v>
      </c>
      <c r="I503" s="16" t="str">
        <f t="shared" si="35"/>
        <v>June</v>
      </c>
      <c r="J503" s="16" t="str">
        <f t="shared" si="36"/>
        <v>Saturday</v>
      </c>
      <c r="K503" s="17">
        <v>0.23148148148148148</v>
      </c>
      <c r="L503" s="16">
        <v>45107</v>
      </c>
      <c r="M503" s="18">
        <f>HOUR(orders!$K503)</f>
        <v>5</v>
      </c>
      <c r="N503" s="16" t="str">
        <f t="shared" si="37"/>
        <v>June</v>
      </c>
      <c r="O503" s="17">
        <v>3.8703703703703705E-2</v>
      </c>
      <c r="P503" s="17" t="str">
        <f>_xlfn.XLOOKUP(B503,[2]customers!$A$2:$A$101,[2]customers!$C$2:$C$101)</f>
        <v>Dhanbad</v>
      </c>
      <c r="Q503" s="14" t="s">
        <v>120</v>
      </c>
      <c r="R503" s="14" t="s">
        <v>60</v>
      </c>
      <c r="S503" s="15">
        <f t="shared" si="38"/>
        <v>8195</v>
      </c>
      <c r="T503" s="19">
        <f t="shared" si="39"/>
        <v>6</v>
      </c>
    </row>
    <row r="504" spans="1:20" x14ac:dyDescent="0.3">
      <c r="A504" s="20">
        <v>503</v>
      </c>
      <c r="B504" s="20" t="s">
        <v>97</v>
      </c>
      <c r="C504" s="20">
        <v>34</v>
      </c>
      <c r="D504" s="20" t="s">
        <v>472</v>
      </c>
      <c r="E504" s="20" t="s">
        <v>445</v>
      </c>
      <c r="F504" s="20">
        <v>1</v>
      </c>
      <c r="G504" s="21">
        <f>_xlfn.XLOOKUP(C504,[1]products!$A$2:$A$71,[1]products!$D$2:$D$71)</f>
        <v>1335</v>
      </c>
      <c r="H504" s="22">
        <v>45167</v>
      </c>
      <c r="I504" s="22" t="str">
        <f t="shared" si="35"/>
        <v>August</v>
      </c>
      <c r="J504" s="22" t="str">
        <f t="shared" si="36"/>
        <v>Tuesday</v>
      </c>
      <c r="K504" s="23">
        <v>0.86510416666666667</v>
      </c>
      <c r="L504" s="22">
        <v>45175</v>
      </c>
      <c r="M504" s="24">
        <f>HOUR(orders!$K504)</f>
        <v>20</v>
      </c>
      <c r="N504" s="22" t="str">
        <f t="shared" si="37"/>
        <v>September</v>
      </c>
      <c r="O504" s="23">
        <v>0.32631944444444444</v>
      </c>
      <c r="P504" s="23" t="str">
        <f>_xlfn.XLOOKUP(B504,[2]customers!$A$2:$A$101,[2]customers!$C$2:$C$101)</f>
        <v>Machilipatnam</v>
      </c>
      <c r="Q504" s="20" t="s">
        <v>370</v>
      </c>
      <c r="R504" s="20" t="s">
        <v>26</v>
      </c>
      <c r="S504" s="21">
        <f t="shared" si="38"/>
        <v>1335</v>
      </c>
      <c r="T504" s="25">
        <f t="shared" si="39"/>
        <v>8</v>
      </c>
    </row>
    <row r="505" spans="1:20" x14ac:dyDescent="0.3">
      <c r="A505" s="14">
        <v>504</v>
      </c>
      <c r="B505" s="14" t="s">
        <v>116</v>
      </c>
      <c r="C505" s="14">
        <v>25</v>
      </c>
      <c r="D505" s="14" t="s">
        <v>471</v>
      </c>
      <c r="E505" s="14" t="s">
        <v>447</v>
      </c>
      <c r="F505" s="14">
        <v>1</v>
      </c>
      <c r="G505" s="15">
        <f>_xlfn.XLOOKUP(C505,[1]products!$A$2:$A$71,[1]products!$D$2:$D$71)</f>
        <v>1202</v>
      </c>
      <c r="H505" s="16">
        <v>45121</v>
      </c>
      <c r="I505" s="16" t="str">
        <f t="shared" si="35"/>
        <v>July</v>
      </c>
      <c r="J505" s="16" t="str">
        <f t="shared" si="36"/>
        <v>Friday</v>
      </c>
      <c r="K505" s="17">
        <v>0.54493055555555558</v>
      </c>
      <c r="L505" s="16">
        <v>45131</v>
      </c>
      <c r="M505" s="18">
        <f>HOUR(orders!$K505)</f>
        <v>13</v>
      </c>
      <c r="N505" s="16" t="str">
        <f t="shared" si="37"/>
        <v>July</v>
      </c>
      <c r="O505" s="17">
        <v>0.22263888888888891</v>
      </c>
      <c r="P505" s="17" t="str">
        <f>_xlfn.XLOOKUP(B505,[2]customers!$A$2:$A$101,[2]customers!$C$2:$C$101)</f>
        <v>Guntakal</v>
      </c>
      <c r="Q505" s="14" t="s">
        <v>371</v>
      </c>
      <c r="R505" s="14" t="s">
        <v>12</v>
      </c>
      <c r="S505" s="15">
        <f t="shared" si="38"/>
        <v>1202</v>
      </c>
      <c r="T505" s="19">
        <f t="shared" si="39"/>
        <v>10</v>
      </c>
    </row>
    <row r="506" spans="1:20" x14ac:dyDescent="0.3">
      <c r="A506" s="20">
        <v>505</v>
      </c>
      <c r="B506" s="20" t="s">
        <v>134</v>
      </c>
      <c r="C506" s="20">
        <v>45</v>
      </c>
      <c r="D506" s="20" t="s">
        <v>433</v>
      </c>
      <c r="E506" s="20" t="s">
        <v>26</v>
      </c>
      <c r="F506" s="20">
        <v>3</v>
      </c>
      <c r="G506" s="21">
        <f>_xlfn.XLOOKUP(C506,[1]products!$A$2:$A$71,[1]products!$D$2:$D$71)</f>
        <v>722</v>
      </c>
      <c r="H506" s="22">
        <v>45079</v>
      </c>
      <c r="I506" s="22" t="str">
        <f t="shared" si="35"/>
        <v>June</v>
      </c>
      <c r="J506" s="22" t="str">
        <f t="shared" si="36"/>
        <v>Friday</v>
      </c>
      <c r="K506" s="23">
        <v>0.555150462962963</v>
      </c>
      <c r="L506" s="22">
        <v>45082</v>
      </c>
      <c r="M506" s="24">
        <f>HOUR(orders!$K506)</f>
        <v>13</v>
      </c>
      <c r="N506" s="22" t="str">
        <f t="shared" si="37"/>
        <v>June</v>
      </c>
      <c r="O506" s="23">
        <v>8.3009259259259269E-2</v>
      </c>
      <c r="P506" s="23" t="str">
        <f>_xlfn.XLOOKUP(B506,[2]customers!$A$2:$A$101,[2]customers!$C$2:$C$101)</f>
        <v>Noida</v>
      </c>
      <c r="Q506" s="20" t="s">
        <v>204</v>
      </c>
      <c r="R506" s="20" t="s">
        <v>20</v>
      </c>
      <c r="S506" s="21">
        <f t="shared" si="38"/>
        <v>2166</v>
      </c>
      <c r="T506" s="25">
        <f t="shared" si="39"/>
        <v>3</v>
      </c>
    </row>
    <row r="507" spans="1:20" x14ac:dyDescent="0.3">
      <c r="A507" s="14">
        <v>506</v>
      </c>
      <c r="B507" s="14" t="s">
        <v>116</v>
      </c>
      <c r="C507" s="14">
        <v>55</v>
      </c>
      <c r="D507" s="14" t="s">
        <v>491</v>
      </c>
      <c r="E507" s="14" t="s">
        <v>445</v>
      </c>
      <c r="F507" s="14">
        <v>4</v>
      </c>
      <c r="G507" s="15">
        <f>_xlfn.XLOOKUP(C507,[1]products!$A$2:$A$71,[1]products!$D$2:$D$71)</f>
        <v>1904</v>
      </c>
      <c r="H507" s="16">
        <v>45165</v>
      </c>
      <c r="I507" s="16" t="str">
        <f t="shared" si="35"/>
        <v>August</v>
      </c>
      <c r="J507" s="16" t="str">
        <f t="shared" si="36"/>
        <v>Sunday</v>
      </c>
      <c r="K507" s="17">
        <v>0.36949074074074079</v>
      </c>
      <c r="L507" s="16">
        <v>45171</v>
      </c>
      <c r="M507" s="18">
        <f>HOUR(orders!$K507)</f>
        <v>8</v>
      </c>
      <c r="N507" s="16" t="str">
        <f t="shared" si="37"/>
        <v>September</v>
      </c>
      <c r="O507" s="17">
        <v>0.4884722222222222</v>
      </c>
      <c r="P507" s="17" t="str">
        <f>_xlfn.XLOOKUP(B507,[2]customers!$A$2:$A$101,[2]customers!$C$2:$C$101)</f>
        <v>Guntakal</v>
      </c>
      <c r="Q507" s="14" t="s">
        <v>126</v>
      </c>
      <c r="R507" s="14" t="s">
        <v>26</v>
      </c>
      <c r="S507" s="15">
        <f t="shared" si="38"/>
        <v>7616</v>
      </c>
      <c r="T507" s="19">
        <f t="shared" si="39"/>
        <v>6</v>
      </c>
    </row>
    <row r="508" spans="1:20" x14ac:dyDescent="0.3">
      <c r="A508" s="20">
        <v>507</v>
      </c>
      <c r="B508" s="20" t="s">
        <v>134</v>
      </c>
      <c r="C508" s="20">
        <v>13</v>
      </c>
      <c r="D508" s="20" t="s">
        <v>495</v>
      </c>
      <c r="E508" s="20" t="s">
        <v>458</v>
      </c>
      <c r="F508" s="20">
        <v>4</v>
      </c>
      <c r="G508" s="21">
        <f>_xlfn.XLOOKUP(C508,[1]products!$A$2:$A$71,[1]products!$D$2:$D$71)</f>
        <v>1141</v>
      </c>
      <c r="H508" s="22">
        <v>44992</v>
      </c>
      <c r="I508" s="22" t="str">
        <f t="shared" si="35"/>
        <v>March</v>
      </c>
      <c r="J508" s="22" t="str">
        <f t="shared" si="36"/>
        <v>Tuesday</v>
      </c>
      <c r="K508" s="23">
        <v>1.9571759259259257E-2</v>
      </c>
      <c r="L508" s="22">
        <v>44998</v>
      </c>
      <c r="M508" s="24">
        <f>HOUR(orders!$K508)</f>
        <v>0</v>
      </c>
      <c r="N508" s="22" t="str">
        <f t="shared" si="37"/>
        <v>March</v>
      </c>
      <c r="O508" s="23">
        <v>0.84138888888888885</v>
      </c>
      <c r="P508" s="23" t="str">
        <f>_xlfn.XLOOKUP(B508,[2]customers!$A$2:$A$101,[2]customers!$C$2:$C$101)</f>
        <v>Noida</v>
      </c>
      <c r="Q508" s="20" t="s">
        <v>148</v>
      </c>
      <c r="R508" s="20" t="s">
        <v>36</v>
      </c>
      <c r="S508" s="21">
        <f t="shared" si="38"/>
        <v>4564</v>
      </c>
      <c r="T508" s="25">
        <f t="shared" si="39"/>
        <v>6</v>
      </c>
    </row>
    <row r="509" spans="1:20" x14ac:dyDescent="0.3">
      <c r="A509" s="14">
        <v>508</v>
      </c>
      <c r="B509" s="14" t="s">
        <v>180</v>
      </c>
      <c r="C509" s="14">
        <v>69</v>
      </c>
      <c r="D509" s="14" t="s">
        <v>486</v>
      </c>
      <c r="E509" s="14" t="s">
        <v>431</v>
      </c>
      <c r="F509" s="14">
        <v>1</v>
      </c>
      <c r="G509" s="15">
        <f>_xlfn.XLOOKUP(C509,[1]products!$A$2:$A$71,[1]products!$D$2:$D$71)</f>
        <v>998</v>
      </c>
      <c r="H509" s="16">
        <v>44983</v>
      </c>
      <c r="I509" s="16" t="str">
        <f t="shared" si="35"/>
        <v>February</v>
      </c>
      <c r="J509" s="16" t="str">
        <f t="shared" si="36"/>
        <v>Sunday</v>
      </c>
      <c r="K509" s="17">
        <v>0.72879629629629628</v>
      </c>
      <c r="L509" s="16">
        <v>44989</v>
      </c>
      <c r="M509" s="18">
        <f>HOUR(orders!$K509)</f>
        <v>17</v>
      </c>
      <c r="N509" s="16" t="str">
        <f t="shared" si="37"/>
        <v>March</v>
      </c>
      <c r="O509" s="17">
        <v>0.299375</v>
      </c>
      <c r="P509" s="17" t="str">
        <f>_xlfn.XLOOKUP(B509,[2]customers!$A$2:$A$101,[2]customers!$C$2:$C$101)</f>
        <v>Vellore</v>
      </c>
      <c r="Q509" s="14" t="s">
        <v>139</v>
      </c>
      <c r="R509" s="14" t="s">
        <v>36</v>
      </c>
      <c r="S509" s="15">
        <f t="shared" si="38"/>
        <v>998</v>
      </c>
      <c r="T509" s="19">
        <f t="shared" si="39"/>
        <v>6</v>
      </c>
    </row>
    <row r="510" spans="1:20" x14ac:dyDescent="0.3">
      <c r="A510" s="20">
        <v>509</v>
      </c>
      <c r="B510" s="20" t="s">
        <v>291</v>
      </c>
      <c r="C510" s="20">
        <v>13</v>
      </c>
      <c r="D510" s="20" t="s">
        <v>495</v>
      </c>
      <c r="E510" s="20" t="s">
        <v>458</v>
      </c>
      <c r="F510" s="20">
        <v>5</v>
      </c>
      <c r="G510" s="21">
        <f>_xlfn.XLOOKUP(C510,[1]products!$A$2:$A$71,[1]products!$D$2:$D$71)</f>
        <v>1141</v>
      </c>
      <c r="H510" s="22">
        <v>44990</v>
      </c>
      <c r="I510" s="22" t="str">
        <f t="shared" si="35"/>
        <v>March</v>
      </c>
      <c r="J510" s="22" t="str">
        <f t="shared" si="36"/>
        <v>Sunday</v>
      </c>
      <c r="K510" s="23">
        <v>0.53396990740740746</v>
      </c>
      <c r="L510" s="22">
        <v>44994</v>
      </c>
      <c r="M510" s="24">
        <f>HOUR(orders!$K510)</f>
        <v>12</v>
      </c>
      <c r="N510" s="22" t="str">
        <f t="shared" si="37"/>
        <v>March</v>
      </c>
      <c r="O510" s="23">
        <v>0.32449074074074075</v>
      </c>
      <c r="P510" s="23" t="str">
        <f>_xlfn.XLOOKUP(B510,[2]customers!$A$2:$A$101,[2]customers!$C$2:$C$101)</f>
        <v>Bilaspur</v>
      </c>
      <c r="Q510" s="20" t="s">
        <v>352</v>
      </c>
      <c r="R510" s="20" t="s">
        <v>36</v>
      </c>
      <c r="S510" s="21">
        <f t="shared" si="38"/>
        <v>5705</v>
      </c>
      <c r="T510" s="25">
        <f t="shared" si="39"/>
        <v>4</v>
      </c>
    </row>
    <row r="511" spans="1:20" x14ac:dyDescent="0.3">
      <c r="A511" s="14">
        <v>510</v>
      </c>
      <c r="B511" s="14" t="s">
        <v>125</v>
      </c>
      <c r="C511" s="14">
        <v>54</v>
      </c>
      <c r="D511" s="14" t="s">
        <v>461</v>
      </c>
      <c r="E511" s="14" t="s">
        <v>431</v>
      </c>
      <c r="F511" s="14">
        <v>5</v>
      </c>
      <c r="G511" s="15">
        <f>_xlfn.XLOOKUP(C511,[1]products!$A$2:$A$71,[1]products!$D$2:$D$71)</f>
        <v>1236</v>
      </c>
      <c r="H511" s="16">
        <v>45268</v>
      </c>
      <c r="I511" s="16" t="str">
        <f t="shared" si="35"/>
        <v>December</v>
      </c>
      <c r="J511" s="16" t="str">
        <f t="shared" si="36"/>
        <v>Friday</v>
      </c>
      <c r="K511" s="17">
        <v>0.54172453703703705</v>
      </c>
      <c r="L511" s="16">
        <v>45277</v>
      </c>
      <c r="M511" s="18">
        <f>HOUR(orders!$K511)</f>
        <v>13</v>
      </c>
      <c r="N511" s="16" t="str">
        <f t="shared" si="37"/>
        <v>December</v>
      </c>
      <c r="O511" s="17">
        <v>0.26026620370370374</v>
      </c>
      <c r="P511" s="17" t="str">
        <f>_xlfn.XLOOKUP(B511,[2]customers!$A$2:$A$101,[2]customers!$C$2:$C$101)</f>
        <v>Gangtok</v>
      </c>
      <c r="Q511" s="14" t="s">
        <v>62</v>
      </c>
      <c r="R511" s="14" t="s">
        <v>12</v>
      </c>
      <c r="S511" s="15">
        <f t="shared" si="38"/>
        <v>6180</v>
      </c>
      <c r="T511" s="19">
        <f t="shared" si="39"/>
        <v>9</v>
      </c>
    </row>
    <row r="512" spans="1:20" x14ac:dyDescent="0.3">
      <c r="A512" s="20">
        <v>511</v>
      </c>
      <c r="B512" s="20" t="s">
        <v>75</v>
      </c>
      <c r="C512" s="20">
        <v>47</v>
      </c>
      <c r="D512" s="20" t="s">
        <v>480</v>
      </c>
      <c r="E512" s="20" t="s">
        <v>429</v>
      </c>
      <c r="F512" s="20">
        <v>2</v>
      </c>
      <c r="G512" s="21">
        <f>_xlfn.XLOOKUP(C512,[1]products!$A$2:$A$71,[1]products!$D$2:$D$71)</f>
        <v>1638</v>
      </c>
      <c r="H512" s="22">
        <v>44984</v>
      </c>
      <c r="I512" s="22" t="str">
        <f t="shared" si="35"/>
        <v>February</v>
      </c>
      <c r="J512" s="22" t="str">
        <f t="shared" si="36"/>
        <v>Monday</v>
      </c>
      <c r="K512" s="23">
        <v>0.54033564814814816</v>
      </c>
      <c r="L512" s="22">
        <v>44989</v>
      </c>
      <c r="M512" s="24">
        <f>HOUR(orders!$K512)</f>
        <v>12</v>
      </c>
      <c r="N512" s="22" t="str">
        <f t="shared" si="37"/>
        <v>March</v>
      </c>
      <c r="O512" s="23">
        <v>3.2071759259259258E-2</v>
      </c>
      <c r="P512" s="23" t="str">
        <f>_xlfn.XLOOKUP(B512,[2]customers!$A$2:$A$101,[2]customers!$C$2:$C$101)</f>
        <v>Imphal</v>
      </c>
      <c r="Q512" s="20" t="s">
        <v>361</v>
      </c>
      <c r="R512" s="20" t="s">
        <v>36</v>
      </c>
      <c r="S512" s="21">
        <f t="shared" si="38"/>
        <v>3276</v>
      </c>
      <c r="T512" s="25">
        <f t="shared" si="39"/>
        <v>5</v>
      </c>
    </row>
    <row r="513" spans="1:20" x14ac:dyDescent="0.3">
      <c r="A513" s="14">
        <v>512</v>
      </c>
      <c r="B513" s="14" t="s">
        <v>140</v>
      </c>
      <c r="C513" s="14">
        <v>41</v>
      </c>
      <c r="D513" s="14" t="s">
        <v>426</v>
      </c>
      <c r="E513" s="14" t="s">
        <v>427</v>
      </c>
      <c r="F513" s="14">
        <v>1</v>
      </c>
      <c r="G513" s="15">
        <f>_xlfn.XLOOKUP(C513,[1]products!$A$2:$A$71,[1]products!$D$2:$D$71)</f>
        <v>1977</v>
      </c>
      <c r="H513" s="16">
        <v>45235</v>
      </c>
      <c r="I513" s="16" t="str">
        <f t="shared" si="35"/>
        <v>November</v>
      </c>
      <c r="J513" s="16" t="str">
        <f t="shared" si="36"/>
        <v>Sunday</v>
      </c>
      <c r="K513" s="17">
        <v>0.11297453703703704</v>
      </c>
      <c r="L513" s="16">
        <v>45241</v>
      </c>
      <c r="M513" s="18">
        <f>HOUR(orders!$K513)</f>
        <v>2</v>
      </c>
      <c r="N513" s="16" t="str">
        <f t="shared" si="37"/>
        <v>November</v>
      </c>
      <c r="O513" s="17">
        <v>0.54907407407407405</v>
      </c>
      <c r="P513" s="17" t="str">
        <f>_xlfn.XLOOKUP(B513,[2]customers!$A$2:$A$101,[2]customers!$C$2:$C$101)</f>
        <v>Chinsurah</v>
      </c>
      <c r="Q513" s="14" t="s">
        <v>301</v>
      </c>
      <c r="R513" s="14" t="s">
        <v>15</v>
      </c>
      <c r="S513" s="15">
        <f t="shared" si="38"/>
        <v>1977</v>
      </c>
      <c r="T513" s="19">
        <f t="shared" si="39"/>
        <v>6</v>
      </c>
    </row>
    <row r="514" spans="1:20" x14ac:dyDescent="0.3">
      <c r="A514" s="20">
        <v>513</v>
      </c>
      <c r="B514" s="20" t="s">
        <v>66</v>
      </c>
      <c r="C514" s="20">
        <v>1</v>
      </c>
      <c r="D514" s="20" t="s">
        <v>479</v>
      </c>
      <c r="E514" s="20" t="s">
        <v>445</v>
      </c>
      <c r="F514" s="20">
        <v>4</v>
      </c>
      <c r="G514" s="21">
        <f>_xlfn.XLOOKUP(C514,[1]products!$A$2:$A$71,[1]products!$D$2:$D$71)</f>
        <v>1935</v>
      </c>
      <c r="H514" s="22">
        <v>45012</v>
      </c>
      <c r="I514" s="22" t="str">
        <f t="shared" si="35"/>
        <v>March</v>
      </c>
      <c r="J514" s="22" t="str">
        <f t="shared" si="36"/>
        <v>Monday</v>
      </c>
      <c r="K514" s="23">
        <v>0.41495370370370371</v>
      </c>
      <c r="L514" s="22">
        <v>45018</v>
      </c>
      <c r="M514" s="24">
        <f>HOUR(orders!$K514)</f>
        <v>9</v>
      </c>
      <c r="N514" s="22" t="str">
        <f t="shared" si="37"/>
        <v>April</v>
      </c>
      <c r="O514" s="23">
        <v>0.58103009259259253</v>
      </c>
      <c r="P514" s="23" t="str">
        <f>_xlfn.XLOOKUP(B514,[2]customers!$A$2:$A$101,[2]customers!$C$2:$C$101)</f>
        <v xml:space="preserve">Khora </v>
      </c>
      <c r="Q514" s="20" t="s">
        <v>70</v>
      </c>
      <c r="R514" s="20" t="s">
        <v>60</v>
      </c>
      <c r="S514" s="21">
        <f t="shared" si="38"/>
        <v>7740</v>
      </c>
      <c r="T514" s="25">
        <f t="shared" si="39"/>
        <v>6</v>
      </c>
    </row>
    <row r="515" spans="1:20" x14ac:dyDescent="0.3">
      <c r="A515" s="14">
        <v>514</v>
      </c>
      <c r="B515" s="14" t="s">
        <v>52</v>
      </c>
      <c r="C515" s="14">
        <v>24</v>
      </c>
      <c r="D515" s="14" t="s">
        <v>485</v>
      </c>
      <c r="E515" s="14" t="s">
        <v>458</v>
      </c>
      <c r="F515" s="14">
        <v>1</v>
      </c>
      <c r="G515" s="15">
        <f>_xlfn.XLOOKUP(C515,[1]products!$A$2:$A$71,[1]products!$D$2:$D$71)</f>
        <v>535</v>
      </c>
      <c r="H515" s="16">
        <v>44927</v>
      </c>
      <c r="I515" s="16" t="str">
        <f t="shared" ref="I515:I578" si="40">TEXT(H515,"mmmm")</f>
        <v>January</v>
      </c>
      <c r="J515" s="16" t="str">
        <f t="shared" ref="J515:J578" si="41">TEXT(H515,"dddd")</f>
        <v>Sunday</v>
      </c>
      <c r="K515" s="17">
        <v>0.41400462962962964</v>
      </c>
      <c r="L515" s="16">
        <v>44935</v>
      </c>
      <c r="M515" s="18">
        <f>HOUR(orders!$K515)</f>
        <v>9</v>
      </c>
      <c r="N515" s="16" t="str">
        <f t="shared" ref="N515:N578" si="42">TEXT(L515,"mmmm")</f>
        <v>January</v>
      </c>
      <c r="O515" s="17">
        <v>0.74782407407407403</v>
      </c>
      <c r="P515" s="17" t="str">
        <f>_xlfn.XLOOKUP(B515,[2]customers!$A$2:$A$101,[2]customers!$C$2:$C$101)</f>
        <v>Anantapuram</v>
      </c>
      <c r="Q515" s="14" t="s">
        <v>204</v>
      </c>
      <c r="R515" s="14" t="s">
        <v>20</v>
      </c>
      <c r="S515" s="15">
        <f t="shared" ref="S515:S578" si="43">G515*F515</f>
        <v>535</v>
      </c>
      <c r="T515" s="19">
        <f t="shared" ref="T515:T578" si="44">L515-H515</f>
        <v>8</v>
      </c>
    </row>
    <row r="516" spans="1:20" x14ac:dyDescent="0.3">
      <c r="A516" s="20">
        <v>515</v>
      </c>
      <c r="B516" s="20" t="s">
        <v>21</v>
      </c>
      <c r="C516" s="20">
        <v>14</v>
      </c>
      <c r="D516" s="20" t="s">
        <v>428</v>
      </c>
      <c r="E516" s="20" t="s">
        <v>429</v>
      </c>
      <c r="F516" s="20">
        <v>5</v>
      </c>
      <c r="G516" s="21">
        <f>_xlfn.XLOOKUP(C516,[1]products!$A$2:$A$71,[1]products!$D$2:$D$71)</f>
        <v>1915</v>
      </c>
      <c r="H516" s="22">
        <v>45220</v>
      </c>
      <c r="I516" s="22" t="str">
        <f t="shared" si="40"/>
        <v>October</v>
      </c>
      <c r="J516" s="22" t="str">
        <f t="shared" si="41"/>
        <v>Saturday</v>
      </c>
      <c r="K516" s="23">
        <v>0.97406250000000005</v>
      </c>
      <c r="L516" s="22">
        <v>45226</v>
      </c>
      <c r="M516" s="24">
        <f>HOUR(orders!$K516)</f>
        <v>23</v>
      </c>
      <c r="N516" s="22" t="str">
        <f t="shared" si="42"/>
        <v>October</v>
      </c>
      <c r="O516" s="23">
        <v>0.62487268518518524</v>
      </c>
      <c r="P516" s="23" t="str">
        <f>_xlfn.XLOOKUP(B516,[2]customers!$A$2:$A$101,[2]customers!$C$2:$C$101)</f>
        <v>Bhubaneswar</v>
      </c>
      <c r="Q516" s="20" t="s">
        <v>372</v>
      </c>
      <c r="R516" s="20" t="s">
        <v>20</v>
      </c>
      <c r="S516" s="21">
        <f t="shared" si="43"/>
        <v>9575</v>
      </c>
      <c r="T516" s="25">
        <f t="shared" si="44"/>
        <v>6</v>
      </c>
    </row>
    <row r="517" spans="1:20" x14ac:dyDescent="0.3">
      <c r="A517" s="14">
        <v>516</v>
      </c>
      <c r="B517" s="14" t="s">
        <v>97</v>
      </c>
      <c r="C517" s="14">
        <v>22</v>
      </c>
      <c r="D517" s="14" t="s">
        <v>465</v>
      </c>
      <c r="E517" s="14" t="s">
        <v>445</v>
      </c>
      <c r="F517" s="14">
        <v>2</v>
      </c>
      <c r="G517" s="15">
        <f>_xlfn.XLOOKUP(C517,[1]products!$A$2:$A$71,[1]products!$D$2:$D$71)</f>
        <v>1639</v>
      </c>
      <c r="H517" s="16">
        <v>45112</v>
      </c>
      <c r="I517" s="16" t="str">
        <f t="shared" si="40"/>
        <v>July</v>
      </c>
      <c r="J517" s="16" t="str">
        <f t="shared" si="41"/>
        <v>Wednesday</v>
      </c>
      <c r="K517" s="17">
        <v>0.87009259259259253</v>
      </c>
      <c r="L517" s="16">
        <v>45113</v>
      </c>
      <c r="M517" s="18">
        <f>HOUR(orders!$K517)</f>
        <v>20</v>
      </c>
      <c r="N517" s="16" t="str">
        <f t="shared" si="42"/>
        <v>July</v>
      </c>
      <c r="O517" s="17">
        <v>4.6064814814814815E-2</v>
      </c>
      <c r="P517" s="17" t="str">
        <f>_xlfn.XLOOKUP(B517,[2]customers!$A$2:$A$101,[2]customers!$C$2:$C$101)</f>
        <v>Machilipatnam</v>
      </c>
      <c r="Q517" s="14" t="s">
        <v>373</v>
      </c>
      <c r="R517" s="14" t="s">
        <v>60</v>
      </c>
      <c r="S517" s="15">
        <f t="shared" si="43"/>
        <v>3278</v>
      </c>
      <c r="T517" s="19">
        <f t="shared" si="44"/>
        <v>1</v>
      </c>
    </row>
    <row r="518" spans="1:20" x14ac:dyDescent="0.3">
      <c r="A518" s="20">
        <v>517</v>
      </c>
      <c r="B518" s="20" t="s">
        <v>67</v>
      </c>
      <c r="C518" s="20">
        <v>60</v>
      </c>
      <c r="D518" s="20" t="s">
        <v>440</v>
      </c>
      <c r="E518" s="20" t="s">
        <v>427</v>
      </c>
      <c r="F518" s="20">
        <v>5</v>
      </c>
      <c r="G518" s="21">
        <f>_xlfn.XLOOKUP(C518,[1]products!$A$2:$A$71,[1]products!$D$2:$D$71)</f>
        <v>827</v>
      </c>
      <c r="H518" s="22">
        <v>45239</v>
      </c>
      <c r="I518" s="22" t="str">
        <f t="shared" si="40"/>
        <v>November</v>
      </c>
      <c r="J518" s="22" t="str">
        <f t="shared" si="41"/>
        <v>Thursday</v>
      </c>
      <c r="K518" s="23">
        <v>4.2511574074074077E-2</v>
      </c>
      <c r="L518" s="22">
        <v>45247</v>
      </c>
      <c r="M518" s="24">
        <f>HOUR(orders!$K518)</f>
        <v>1</v>
      </c>
      <c r="N518" s="22" t="str">
        <f t="shared" si="42"/>
        <v>November</v>
      </c>
      <c r="O518" s="23">
        <v>0.79508101851851853</v>
      </c>
      <c r="P518" s="23" t="str">
        <f>_xlfn.XLOOKUP(B518,[2]customers!$A$2:$A$101,[2]customers!$C$2:$C$101)</f>
        <v>Srikakulam</v>
      </c>
      <c r="Q518" s="20" t="s">
        <v>259</v>
      </c>
      <c r="R518" s="20" t="s">
        <v>15</v>
      </c>
      <c r="S518" s="21">
        <f t="shared" si="43"/>
        <v>4135</v>
      </c>
      <c r="T518" s="25">
        <f t="shared" si="44"/>
        <v>8</v>
      </c>
    </row>
    <row r="519" spans="1:20" x14ac:dyDescent="0.3">
      <c r="A519" s="14">
        <v>518</v>
      </c>
      <c r="B519" s="14" t="s">
        <v>105</v>
      </c>
      <c r="C519" s="14">
        <v>45</v>
      </c>
      <c r="D519" s="14" t="s">
        <v>433</v>
      </c>
      <c r="E519" s="14" t="s">
        <v>26</v>
      </c>
      <c r="F519" s="14">
        <v>3</v>
      </c>
      <c r="G519" s="15">
        <f>_xlfn.XLOOKUP(C519,[1]products!$A$2:$A$71,[1]products!$D$2:$D$71)</f>
        <v>722</v>
      </c>
      <c r="H519" s="16">
        <v>45025</v>
      </c>
      <c r="I519" s="16" t="str">
        <f t="shared" si="40"/>
        <v>April</v>
      </c>
      <c r="J519" s="16" t="str">
        <f t="shared" si="41"/>
        <v>Sunday</v>
      </c>
      <c r="K519" s="17">
        <v>0.19908564814814814</v>
      </c>
      <c r="L519" s="16">
        <v>45031</v>
      </c>
      <c r="M519" s="18">
        <f>HOUR(orders!$K519)</f>
        <v>4</v>
      </c>
      <c r="N519" s="16" t="str">
        <f t="shared" si="42"/>
        <v>April</v>
      </c>
      <c r="O519" s="17">
        <v>0.81997685185185187</v>
      </c>
      <c r="P519" s="17" t="str">
        <f>_xlfn.XLOOKUP(B519,[2]customers!$A$2:$A$101,[2]customers!$C$2:$C$101)</f>
        <v>Maheshtala</v>
      </c>
      <c r="Q519" s="14" t="s">
        <v>168</v>
      </c>
      <c r="R519" s="14" t="s">
        <v>20</v>
      </c>
      <c r="S519" s="15">
        <f t="shared" si="43"/>
        <v>2166</v>
      </c>
      <c r="T519" s="19">
        <f t="shared" si="44"/>
        <v>6</v>
      </c>
    </row>
    <row r="520" spans="1:20" x14ac:dyDescent="0.3">
      <c r="A520" s="20">
        <v>519</v>
      </c>
      <c r="B520" s="20" t="s">
        <v>99</v>
      </c>
      <c r="C520" s="20">
        <v>52</v>
      </c>
      <c r="D520" s="20" t="s">
        <v>443</v>
      </c>
      <c r="E520" s="20" t="s">
        <v>26</v>
      </c>
      <c r="F520" s="20">
        <v>4</v>
      </c>
      <c r="G520" s="21">
        <f>_xlfn.XLOOKUP(C520,[1]products!$A$2:$A$71,[1]products!$D$2:$D$71)</f>
        <v>236</v>
      </c>
      <c r="H520" s="22">
        <v>44964</v>
      </c>
      <c r="I520" s="22" t="str">
        <f t="shared" si="40"/>
        <v>February</v>
      </c>
      <c r="J520" s="22" t="str">
        <f t="shared" si="41"/>
        <v>Tuesday</v>
      </c>
      <c r="K520" s="23">
        <v>0.9657175925925926</v>
      </c>
      <c r="L520" s="22">
        <v>44972</v>
      </c>
      <c r="M520" s="24">
        <f>HOUR(orders!$K520)</f>
        <v>23</v>
      </c>
      <c r="N520" s="22" t="str">
        <f t="shared" si="42"/>
        <v>February</v>
      </c>
      <c r="O520" s="23">
        <v>0.27800925925925929</v>
      </c>
      <c r="P520" s="23" t="str">
        <f>_xlfn.XLOOKUP(B520,[2]customers!$A$2:$A$101,[2]customers!$C$2:$C$101)</f>
        <v>Panvel</v>
      </c>
      <c r="Q520" s="20" t="s">
        <v>337</v>
      </c>
      <c r="R520" s="20" t="s">
        <v>23</v>
      </c>
      <c r="S520" s="21">
        <f t="shared" si="43"/>
        <v>944</v>
      </c>
      <c r="T520" s="25">
        <f t="shared" si="44"/>
        <v>8</v>
      </c>
    </row>
    <row r="521" spans="1:20" x14ac:dyDescent="0.3">
      <c r="A521" s="14">
        <v>520</v>
      </c>
      <c r="B521" s="14" t="s">
        <v>186</v>
      </c>
      <c r="C521" s="14">
        <v>14</v>
      </c>
      <c r="D521" s="14" t="s">
        <v>428</v>
      </c>
      <c r="E521" s="14" t="s">
        <v>429</v>
      </c>
      <c r="F521" s="14">
        <v>5</v>
      </c>
      <c r="G521" s="15">
        <f>_xlfn.XLOOKUP(C521,[1]products!$A$2:$A$71,[1]products!$D$2:$D$71)</f>
        <v>1915</v>
      </c>
      <c r="H521" s="16">
        <v>45023</v>
      </c>
      <c r="I521" s="16" t="str">
        <f t="shared" si="40"/>
        <v>April</v>
      </c>
      <c r="J521" s="16" t="str">
        <f t="shared" si="41"/>
        <v>Friday</v>
      </c>
      <c r="K521" s="17">
        <v>0.19711805555555553</v>
      </c>
      <c r="L521" s="16">
        <v>45024</v>
      </c>
      <c r="M521" s="18">
        <f>HOUR(orders!$K521)</f>
        <v>4</v>
      </c>
      <c r="N521" s="16" t="str">
        <f t="shared" si="42"/>
        <v>April</v>
      </c>
      <c r="O521" s="17">
        <v>0.34837962962962959</v>
      </c>
      <c r="P521" s="17" t="str">
        <f>_xlfn.XLOOKUP(B521,[2]customers!$A$2:$A$101,[2]customers!$C$2:$C$101)</f>
        <v>Farrukhabad</v>
      </c>
      <c r="Q521" s="14" t="s">
        <v>335</v>
      </c>
      <c r="R521" s="14" t="s">
        <v>20</v>
      </c>
      <c r="S521" s="15">
        <f t="shared" si="43"/>
        <v>9575</v>
      </c>
      <c r="T521" s="19">
        <f t="shared" si="44"/>
        <v>1</v>
      </c>
    </row>
    <row r="522" spans="1:20" x14ac:dyDescent="0.3">
      <c r="A522" s="20">
        <v>521</v>
      </c>
      <c r="B522" s="20" t="s">
        <v>136</v>
      </c>
      <c r="C522" s="20">
        <v>33</v>
      </c>
      <c r="D522" s="20" t="s">
        <v>490</v>
      </c>
      <c r="E522" s="20" t="s">
        <v>429</v>
      </c>
      <c r="F522" s="20">
        <v>5</v>
      </c>
      <c r="G522" s="21">
        <f>_xlfn.XLOOKUP(C522,[1]products!$A$2:$A$71,[1]products!$D$2:$D$71)</f>
        <v>314</v>
      </c>
      <c r="H522" s="22">
        <v>44961</v>
      </c>
      <c r="I522" s="22" t="str">
        <f t="shared" si="40"/>
        <v>February</v>
      </c>
      <c r="J522" s="22" t="str">
        <f t="shared" si="41"/>
        <v>Saturday</v>
      </c>
      <c r="K522" s="23">
        <v>0.87519675925925933</v>
      </c>
      <c r="L522" s="22">
        <v>44965</v>
      </c>
      <c r="M522" s="24">
        <f>HOUR(orders!$K522)</f>
        <v>21</v>
      </c>
      <c r="N522" s="22" t="str">
        <f t="shared" si="42"/>
        <v>February</v>
      </c>
      <c r="O522" s="23">
        <v>0.1032175925925926</v>
      </c>
      <c r="P522" s="23" t="str">
        <f>_xlfn.XLOOKUP(B522,[2]customers!$A$2:$A$101,[2]customers!$C$2:$C$101)</f>
        <v>Nagpur</v>
      </c>
      <c r="Q522" s="20" t="s">
        <v>287</v>
      </c>
      <c r="R522" s="20" t="s">
        <v>23</v>
      </c>
      <c r="S522" s="21">
        <f t="shared" si="43"/>
        <v>1570</v>
      </c>
      <c r="T522" s="25">
        <f t="shared" si="44"/>
        <v>4</v>
      </c>
    </row>
    <row r="523" spans="1:20" x14ac:dyDescent="0.3">
      <c r="A523" s="14">
        <v>522</v>
      </c>
      <c r="B523" s="14" t="s">
        <v>50</v>
      </c>
      <c r="C523" s="14">
        <v>50</v>
      </c>
      <c r="D523" s="14" t="s">
        <v>487</v>
      </c>
      <c r="E523" s="14" t="s">
        <v>447</v>
      </c>
      <c r="F523" s="14">
        <v>3</v>
      </c>
      <c r="G523" s="15">
        <f>_xlfn.XLOOKUP(C523,[1]products!$A$2:$A$71,[1]products!$D$2:$D$71)</f>
        <v>422</v>
      </c>
      <c r="H523" s="16">
        <v>44984</v>
      </c>
      <c r="I523" s="16" t="str">
        <f t="shared" si="40"/>
        <v>February</v>
      </c>
      <c r="J523" s="16" t="str">
        <f t="shared" si="41"/>
        <v>Monday</v>
      </c>
      <c r="K523" s="17">
        <v>0.87810185185185186</v>
      </c>
      <c r="L523" s="16">
        <v>44993</v>
      </c>
      <c r="M523" s="18">
        <f>HOUR(orders!$K523)</f>
        <v>21</v>
      </c>
      <c r="N523" s="16" t="str">
        <f t="shared" si="42"/>
        <v>March</v>
      </c>
      <c r="O523" s="17">
        <v>6.5856481481481488E-2</v>
      </c>
      <c r="P523" s="17" t="str">
        <f>_xlfn.XLOOKUP(B523,[2]customers!$A$2:$A$101,[2]customers!$C$2:$C$101)</f>
        <v>Orai</v>
      </c>
      <c r="Q523" s="14" t="s">
        <v>149</v>
      </c>
      <c r="R523" s="14" t="s">
        <v>36</v>
      </c>
      <c r="S523" s="15">
        <f t="shared" si="43"/>
        <v>1266</v>
      </c>
      <c r="T523" s="19">
        <f t="shared" si="44"/>
        <v>9</v>
      </c>
    </row>
    <row r="524" spans="1:20" x14ac:dyDescent="0.3">
      <c r="A524" s="20">
        <v>523</v>
      </c>
      <c r="B524" s="20" t="s">
        <v>73</v>
      </c>
      <c r="C524" s="20">
        <v>30</v>
      </c>
      <c r="D524" s="20" t="s">
        <v>449</v>
      </c>
      <c r="E524" s="20" t="s">
        <v>429</v>
      </c>
      <c r="F524" s="20">
        <v>3</v>
      </c>
      <c r="G524" s="21">
        <f>_xlfn.XLOOKUP(C524,[1]products!$A$2:$A$71,[1]products!$D$2:$D$71)</f>
        <v>751</v>
      </c>
      <c r="H524" s="22">
        <v>45109</v>
      </c>
      <c r="I524" s="22" t="str">
        <f t="shared" si="40"/>
        <v>July</v>
      </c>
      <c r="J524" s="22" t="str">
        <f t="shared" si="41"/>
        <v>Sunday</v>
      </c>
      <c r="K524" s="23">
        <v>0.56745370370370374</v>
      </c>
      <c r="L524" s="22">
        <v>45116</v>
      </c>
      <c r="M524" s="24">
        <f>HOUR(orders!$K524)</f>
        <v>13</v>
      </c>
      <c r="N524" s="22" t="str">
        <f t="shared" si="42"/>
        <v>July</v>
      </c>
      <c r="O524" s="23">
        <v>0.65180555555555553</v>
      </c>
      <c r="P524" s="23" t="str">
        <f>_xlfn.XLOOKUP(B524,[2]customers!$A$2:$A$101,[2]customers!$C$2:$C$101)</f>
        <v>Tiruppur</v>
      </c>
      <c r="Q524" s="20" t="s">
        <v>302</v>
      </c>
      <c r="R524" s="20" t="s">
        <v>12</v>
      </c>
      <c r="S524" s="21">
        <f t="shared" si="43"/>
        <v>2253</v>
      </c>
      <c r="T524" s="25">
        <f t="shared" si="44"/>
        <v>7</v>
      </c>
    </row>
    <row r="525" spans="1:20" x14ac:dyDescent="0.3">
      <c r="A525" s="14">
        <v>524</v>
      </c>
      <c r="B525" s="14" t="s">
        <v>215</v>
      </c>
      <c r="C525" s="14">
        <v>45</v>
      </c>
      <c r="D525" s="14" t="s">
        <v>433</v>
      </c>
      <c r="E525" s="14" t="s">
        <v>26</v>
      </c>
      <c r="F525" s="14">
        <v>1</v>
      </c>
      <c r="G525" s="15">
        <f>_xlfn.XLOOKUP(C525,[1]products!$A$2:$A$71,[1]products!$D$2:$D$71)</f>
        <v>722</v>
      </c>
      <c r="H525" s="16">
        <v>45153</v>
      </c>
      <c r="I525" s="16" t="str">
        <f t="shared" si="40"/>
        <v>August</v>
      </c>
      <c r="J525" s="16" t="str">
        <f t="shared" si="41"/>
        <v>Tuesday</v>
      </c>
      <c r="K525" s="17">
        <v>0.57979166666666659</v>
      </c>
      <c r="L525" s="16">
        <v>45160</v>
      </c>
      <c r="M525" s="18">
        <f>HOUR(orders!$K525)</f>
        <v>13</v>
      </c>
      <c r="N525" s="16" t="str">
        <f t="shared" si="42"/>
        <v>August</v>
      </c>
      <c r="O525" s="17">
        <v>0.52068287037037042</v>
      </c>
      <c r="P525" s="17" t="str">
        <f>_xlfn.XLOOKUP(B525,[2]customers!$A$2:$A$101,[2]customers!$C$2:$C$101)</f>
        <v>Tiruchirappalli</v>
      </c>
      <c r="Q525" s="14" t="s">
        <v>267</v>
      </c>
      <c r="R525" s="14" t="s">
        <v>20</v>
      </c>
      <c r="S525" s="15">
        <f t="shared" si="43"/>
        <v>722</v>
      </c>
      <c r="T525" s="19">
        <f t="shared" si="44"/>
        <v>7</v>
      </c>
    </row>
    <row r="526" spans="1:20" x14ac:dyDescent="0.3">
      <c r="A526" s="20">
        <v>525</v>
      </c>
      <c r="B526" s="20" t="s">
        <v>123</v>
      </c>
      <c r="C526" s="20">
        <v>16</v>
      </c>
      <c r="D526" s="20" t="s">
        <v>437</v>
      </c>
      <c r="E526" s="20" t="s">
        <v>427</v>
      </c>
      <c r="F526" s="20">
        <v>2</v>
      </c>
      <c r="G526" s="21">
        <f>_xlfn.XLOOKUP(C526,[1]products!$A$2:$A$71,[1]products!$D$2:$D$71)</f>
        <v>1721</v>
      </c>
      <c r="H526" s="22">
        <v>44987</v>
      </c>
      <c r="I526" s="22" t="str">
        <f t="shared" si="40"/>
        <v>March</v>
      </c>
      <c r="J526" s="22" t="str">
        <f t="shared" si="41"/>
        <v>Thursday</v>
      </c>
      <c r="K526" s="23">
        <v>0.83759259259259267</v>
      </c>
      <c r="L526" s="22">
        <v>44996</v>
      </c>
      <c r="M526" s="24">
        <f>HOUR(orders!$K526)</f>
        <v>20</v>
      </c>
      <c r="N526" s="22" t="str">
        <f t="shared" si="42"/>
        <v>March</v>
      </c>
      <c r="O526" s="23">
        <v>0.93234953703703705</v>
      </c>
      <c r="P526" s="23" t="str">
        <f>_xlfn.XLOOKUP(B526,[2]customers!$A$2:$A$101,[2]customers!$C$2:$C$101)</f>
        <v>Indore</v>
      </c>
      <c r="Q526" s="20" t="s">
        <v>374</v>
      </c>
      <c r="R526" s="20" t="s">
        <v>36</v>
      </c>
      <c r="S526" s="21">
        <f t="shared" si="43"/>
        <v>3442</v>
      </c>
      <c r="T526" s="25">
        <f t="shared" si="44"/>
        <v>9</v>
      </c>
    </row>
    <row r="527" spans="1:20" x14ac:dyDescent="0.3">
      <c r="A527" s="14">
        <v>526</v>
      </c>
      <c r="B527" s="14" t="s">
        <v>140</v>
      </c>
      <c r="C527" s="14">
        <v>13</v>
      </c>
      <c r="D527" s="14" t="s">
        <v>495</v>
      </c>
      <c r="E527" s="14" t="s">
        <v>458</v>
      </c>
      <c r="F527" s="14">
        <v>5</v>
      </c>
      <c r="G527" s="15">
        <f>_xlfn.XLOOKUP(C527,[1]products!$A$2:$A$71,[1]products!$D$2:$D$71)</f>
        <v>1141</v>
      </c>
      <c r="H527" s="16">
        <v>44987</v>
      </c>
      <c r="I527" s="16" t="str">
        <f t="shared" si="40"/>
        <v>March</v>
      </c>
      <c r="J527" s="16" t="str">
        <f t="shared" si="41"/>
        <v>Thursday</v>
      </c>
      <c r="K527" s="17">
        <v>0.25439814814814815</v>
      </c>
      <c r="L527" s="16">
        <v>44993</v>
      </c>
      <c r="M527" s="18">
        <f>HOUR(orders!$K527)</f>
        <v>6</v>
      </c>
      <c r="N527" s="16" t="str">
        <f t="shared" si="42"/>
        <v>March</v>
      </c>
      <c r="O527" s="17">
        <v>6.6030092592592585E-2</v>
      </c>
      <c r="P527" s="17" t="str">
        <f>_xlfn.XLOOKUP(B527,[2]customers!$A$2:$A$101,[2]customers!$C$2:$C$101)</f>
        <v>Chinsurah</v>
      </c>
      <c r="Q527" s="14" t="s">
        <v>295</v>
      </c>
      <c r="R527" s="14" t="s">
        <v>36</v>
      </c>
      <c r="S527" s="15">
        <f t="shared" si="43"/>
        <v>5705</v>
      </c>
      <c r="T527" s="19">
        <f t="shared" si="44"/>
        <v>6</v>
      </c>
    </row>
    <row r="528" spans="1:20" x14ac:dyDescent="0.3">
      <c r="A528" s="20">
        <v>527</v>
      </c>
      <c r="B528" s="20" t="s">
        <v>101</v>
      </c>
      <c r="C528" s="20">
        <v>33</v>
      </c>
      <c r="D528" s="20" t="s">
        <v>490</v>
      </c>
      <c r="E528" s="20" t="s">
        <v>429</v>
      </c>
      <c r="F528" s="20">
        <v>3</v>
      </c>
      <c r="G528" s="21">
        <f>_xlfn.XLOOKUP(C528,[1]products!$A$2:$A$71,[1]products!$D$2:$D$71)</f>
        <v>314</v>
      </c>
      <c r="H528" s="22">
        <v>44968</v>
      </c>
      <c r="I528" s="22" t="str">
        <f t="shared" si="40"/>
        <v>February</v>
      </c>
      <c r="J528" s="22" t="str">
        <f t="shared" si="41"/>
        <v>Saturday</v>
      </c>
      <c r="K528" s="23">
        <v>0.53587962962962965</v>
      </c>
      <c r="L528" s="22">
        <v>44976</v>
      </c>
      <c r="M528" s="24">
        <f>HOUR(orders!$K528)</f>
        <v>12</v>
      </c>
      <c r="N528" s="22" t="str">
        <f t="shared" si="42"/>
        <v>February</v>
      </c>
      <c r="O528" s="23">
        <v>0.66535879629629624</v>
      </c>
      <c r="P528" s="23" t="str">
        <f>_xlfn.XLOOKUP(B528,[2]customers!$A$2:$A$101,[2]customers!$C$2:$C$101)</f>
        <v>Dibrugarh</v>
      </c>
      <c r="Q528" s="20" t="s">
        <v>11</v>
      </c>
      <c r="R528" s="20" t="s">
        <v>23</v>
      </c>
      <c r="S528" s="21">
        <f t="shared" si="43"/>
        <v>942</v>
      </c>
      <c r="T528" s="25">
        <f t="shared" si="44"/>
        <v>8</v>
      </c>
    </row>
    <row r="529" spans="1:20" x14ac:dyDescent="0.3">
      <c r="A529" s="14">
        <v>528</v>
      </c>
      <c r="B529" s="14" t="s">
        <v>256</v>
      </c>
      <c r="C529" s="14">
        <v>27</v>
      </c>
      <c r="D529" s="14" t="s">
        <v>435</v>
      </c>
      <c r="E529" s="14" t="s">
        <v>431</v>
      </c>
      <c r="F529" s="14">
        <v>3</v>
      </c>
      <c r="G529" s="15">
        <f>_xlfn.XLOOKUP(C529,[1]products!$A$2:$A$71,[1]products!$D$2:$D$71)</f>
        <v>548</v>
      </c>
      <c r="H529" s="16">
        <v>45165</v>
      </c>
      <c r="I529" s="16" t="str">
        <f t="shared" si="40"/>
        <v>August</v>
      </c>
      <c r="J529" s="16" t="str">
        <f t="shared" si="41"/>
        <v>Sunday</v>
      </c>
      <c r="K529" s="17">
        <v>0.20921296296296296</v>
      </c>
      <c r="L529" s="16">
        <v>45168</v>
      </c>
      <c r="M529" s="18">
        <f>HOUR(orders!$K529)</f>
        <v>5</v>
      </c>
      <c r="N529" s="16" t="str">
        <f t="shared" si="42"/>
        <v>August</v>
      </c>
      <c r="O529" s="17">
        <v>0.71091435185185192</v>
      </c>
      <c r="P529" s="17" t="str">
        <f>_xlfn.XLOOKUP(B529,[2]customers!$A$2:$A$101,[2]customers!$C$2:$C$101)</f>
        <v>Panchkula</v>
      </c>
      <c r="Q529" s="14" t="s">
        <v>296</v>
      </c>
      <c r="R529" s="14" t="s">
        <v>26</v>
      </c>
      <c r="S529" s="15">
        <f t="shared" si="43"/>
        <v>1644</v>
      </c>
      <c r="T529" s="19">
        <f t="shared" si="44"/>
        <v>3</v>
      </c>
    </row>
    <row r="530" spans="1:20" x14ac:dyDescent="0.3">
      <c r="A530" s="20">
        <v>529</v>
      </c>
      <c r="B530" s="20" t="s">
        <v>43</v>
      </c>
      <c r="C530" s="20">
        <v>64</v>
      </c>
      <c r="D530" s="20" t="s">
        <v>492</v>
      </c>
      <c r="E530" s="20" t="s">
        <v>445</v>
      </c>
      <c r="F530" s="20">
        <v>2</v>
      </c>
      <c r="G530" s="21">
        <f>_xlfn.XLOOKUP(C530,[1]products!$A$2:$A$71,[1]products!$D$2:$D$71)</f>
        <v>1878</v>
      </c>
      <c r="H530" s="22">
        <v>45163</v>
      </c>
      <c r="I530" s="22" t="str">
        <f t="shared" si="40"/>
        <v>August</v>
      </c>
      <c r="J530" s="22" t="str">
        <f t="shared" si="41"/>
        <v>Friday</v>
      </c>
      <c r="K530" s="23">
        <v>0.65796296296296297</v>
      </c>
      <c r="L530" s="22">
        <v>45166</v>
      </c>
      <c r="M530" s="24">
        <f>HOUR(orders!$K530)</f>
        <v>15</v>
      </c>
      <c r="N530" s="22" t="str">
        <f t="shared" si="42"/>
        <v>August</v>
      </c>
      <c r="O530" s="23">
        <v>0.58701388888888884</v>
      </c>
      <c r="P530" s="23" t="str">
        <f>_xlfn.XLOOKUP(B530,[2]customers!$A$2:$A$101,[2]customers!$C$2:$C$101)</f>
        <v>Mangalore</v>
      </c>
      <c r="Q530" s="20" t="s">
        <v>51</v>
      </c>
      <c r="R530" s="20" t="s">
        <v>26</v>
      </c>
      <c r="S530" s="21">
        <f t="shared" si="43"/>
        <v>3756</v>
      </c>
      <c r="T530" s="25">
        <f t="shared" si="44"/>
        <v>3</v>
      </c>
    </row>
    <row r="531" spans="1:20" x14ac:dyDescent="0.3">
      <c r="A531" s="14">
        <v>530</v>
      </c>
      <c r="B531" s="14" t="s">
        <v>140</v>
      </c>
      <c r="C531" s="14">
        <v>5</v>
      </c>
      <c r="D531" s="14" t="s">
        <v>467</v>
      </c>
      <c r="E531" s="14" t="s">
        <v>429</v>
      </c>
      <c r="F531" s="14">
        <v>2</v>
      </c>
      <c r="G531" s="15">
        <f>_xlfn.XLOOKUP(C531,[1]products!$A$2:$A$71,[1]products!$D$2:$D$71)</f>
        <v>1444</v>
      </c>
      <c r="H531" s="16">
        <v>45157</v>
      </c>
      <c r="I531" s="16" t="str">
        <f t="shared" si="40"/>
        <v>August</v>
      </c>
      <c r="J531" s="16" t="str">
        <f t="shared" si="41"/>
        <v>Saturday</v>
      </c>
      <c r="K531" s="17">
        <v>0.44815972222222222</v>
      </c>
      <c r="L531" s="16">
        <v>45165</v>
      </c>
      <c r="M531" s="18">
        <f>HOUR(orders!$K531)</f>
        <v>10</v>
      </c>
      <c r="N531" s="16" t="str">
        <f t="shared" si="42"/>
        <v>August</v>
      </c>
      <c r="O531" s="17">
        <v>1.6620370370370372E-2</v>
      </c>
      <c r="P531" s="17" t="str">
        <f>_xlfn.XLOOKUP(B531,[2]customers!$A$2:$A$101,[2]customers!$C$2:$C$101)</f>
        <v>Chinsurah</v>
      </c>
      <c r="Q531" s="14" t="s">
        <v>96</v>
      </c>
      <c r="R531" s="14" t="s">
        <v>60</v>
      </c>
      <c r="S531" s="15">
        <f t="shared" si="43"/>
        <v>2888</v>
      </c>
      <c r="T531" s="19">
        <f t="shared" si="44"/>
        <v>8</v>
      </c>
    </row>
    <row r="532" spans="1:20" x14ac:dyDescent="0.3">
      <c r="A532" s="20">
        <v>531</v>
      </c>
      <c r="B532" s="20" t="s">
        <v>16</v>
      </c>
      <c r="C532" s="20">
        <v>28</v>
      </c>
      <c r="D532" s="20" t="s">
        <v>432</v>
      </c>
      <c r="E532" s="20" t="s">
        <v>427</v>
      </c>
      <c r="F532" s="20">
        <v>5</v>
      </c>
      <c r="G532" s="21">
        <f>_xlfn.XLOOKUP(C532,[1]products!$A$2:$A$71,[1]products!$D$2:$D$71)</f>
        <v>1778</v>
      </c>
      <c r="H532" s="22">
        <v>45167</v>
      </c>
      <c r="I532" s="22" t="str">
        <f t="shared" si="40"/>
        <v>August</v>
      </c>
      <c r="J532" s="22" t="str">
        <f t="shared" si="41"/>
        <v>Tuesday</v>
      </c>
      <c r="K532" s="23">
        <v>0.56398148148148153</v>
      </c>
      <c r="L532" s="22">
        <v>45176</v>
      </c>
      <c r="M532" s="24">
        <f>HOUR(orders!$K532)</f>
        <v>13</v>
      </c>
      <c r="N532" s="22" t="str">
        <f t="shared" si="42"/>
        <v>September</v>
      </c>
      <c r="O532" s="23">
        <v>0.36332175925925925</v>
      </c>
      <c r="P532" s="23" t="str">
        <f>_xlfn.XLOOKUP(B532,[2]customers!$A$2:$A$101,[2]customers!$C$2:$C$101)</f>
        <v>Haridwar</v>
      </c>
      <c r="Q532" s="20" t="s">
        <v>262</v>
      </c>
      <c r="R532" s="20" t="s">
        <v>26</v>
      </c>
      <c r="S532" s="21">
        <f t="shared" si="43"/>
        <v>8890</v>
      </c>
      <c r="T532" s="25">
        <f t="shared" si="44"/>
        <v>9</v>
      </c>
    </row>
    <row r="533" spans="1:20" x14ac:dyDescent="0.3">
      <c r="A533" s="14">
        <v>532</v>
      </c>
      <c r="B533" s="14" t="s">
        <v>101</v>
      </c>
      <c r="C533" s="14">
        <v>30</v>
      </c>
      <c r="D533" s="14" t="s">
        <v>449</v>
      </c>
      <c r="E533" s="14" t="s">
        <v>429</v>
      </c>
      <c r="F533" s="14">
        <v>5</v>
      </c>
      <c r="G533" s="15">
        <f>_xlfn.XLOOKUP(C533,[1]products!$A$2:$A$71,[1]products!$D$2:$D$71)</f>
        <v>751</v>
      </c>
      <c r="H533" s="16">
        <v>45171</v>
      </c>
      <c r="I533" s="16" t="str">
        <f t="shared" si="40"/>
        <v>September</v>
      </c>
      <c r="J533" s="16" t="str">
        <f t="shared" si="41"/>
        <v>Saturday</v>
      </c>
      <c r="K533" s="17">
        <v>0.55909722222222225</v>
      </c>
      <c r="L533" s="16">
        <v>45179</v>
      </c>
      <c r="M533" s="18">
        <f>HOUR(orders!$K533)</f>
        <v>13</v>
      </c>
      <c r="N533" s="16" t="str">
        <f t="shared" si="42"/>
        <v>September</v>
      </c>
      <c r="O533" s="17">
        <v>0.1216087962962963</v>
      </c>
      <c r="P533" s="17" t="str">
        <f>_xlfn.XLOOKUP(B533,[2]customers!$A$2:$A$101,[2]customers!$C$2:$C$101)</f>
        <v>Dibrugarh</v>
      </c>
      <c r="Q533" s="14" t="s">
        <v>203</v>
      </c>
      <c r="R533" s="14" t="s">
        <v>12</v>
      </c>
      <c r="S533" s="15">
        <f t="shared" si="43"/>
        <v>3755</v>
      </c>
      <c r="T533" s="19">
        <f t="shared" si="44"/>
        <v>8</v>
      </c>
    </row>
    <row r="534" spans="1:20" x14ac:dyDescent="0.3">
      <c r="A534" s="20">
        <v>533</v>
      </c>
      <c r="B534" s="20" t="s">
        <v>90</v>
      </c>
      <c r="C534" s="20">
        <v>14</v>
      </c>
      <c r="D534" s="20" t="s">
        <v>428</v>
      </c>
      <c r="E534" s="20" t="s">
        <v>429</v>
      </c>
      <c r="F534" s="20">
        <v>3</v>
      </c>
      <c r="G534" s="21">
        <f>_xlfn.XLOOKUP(C534,[1]products!$A$2:$A$71,[1]products!$D$2:$D$71)</f>
        <v>1915</v>
      </c>
      <c r="H534" s="22">
        <v>45034</v>
      </c>
      <c r="I534" s="22" t="str">
        <f t="shared" si="40"/>
        <v>April</v>
      </c>
      <c r="J534" s="22" t="str">
        <f t="shared" si="41"/>
        <v>Tuesday</v>
      </c>
      <c r="K534" s="23">
        <v>0.30546296296296299</v>
      </c>
      <c r="L534" s="22">
        <v>45036</v>
      </c>
      <c r="M534" s="24">
        <f>HOUR(orders!$K534)</f>
        <v>7</v>
      </c>
      <c r="N534" s="22" t="str">
        <f t="shared" si="42"/>
        <v>April</v>
      </c>
      <c r="O534" s="23">
        <v>0.73871527777777779</v>
      </c>
      <c r="P534" s="23" t="str">
        <f>_xlfn.XLOOKUP(B534,[2]customers!$A$2:$A$101,[2]customers!$C$2:$C$101)</f>
        <v>Karimnagar</v>
      </c>
      <c r="Q534" s="20" t="s">
        <v>240</v>
      </c>
      <c r="R534" s="20" t="s">
        <v>20</v>
      </c>
      <c r="S534" s="21">
        <f t="shared" si="43"/>
        <v>5745</v>
      </c>
      <c r="T534" s="25">
        <f t="shared" si="44"/>
        <v>2</v>
      </c>
    </row>
    <row r="535" spans="1:20" x14ac:dyDescent="0.3">
      <c r="A535" s="14">
        <v>534</v>
      </c>
      <c r="B535" s="14" t="s">
        <v>153</v>
      </c>
      <c r="C535" s="14">
        <v>31</v>
      </c>
      <c r="D535" s="14" t="s">
        <v>474</v>
      </c>
      <c r="E535" s="14" t="s">
        <v>429</v>
      </c>
      <c r="F535" s="14">
        <v>2</v>
      </c>
      <c r="G535" s="15">
        <f>_xlfn.XLOOKUP(C535,[1]products!$A$2:$A$71,[1]products!$D$2:$D$71)</f>
        <v>1804</v>
      </c>
      <c r="H535" s="16">
        <v>45257</v>
      </c>
      <c r="I535" s="16" t="str">
        <f t="shared" si="40"/>
        <v>November</v>
      </c>
      <c r="J535" s="16" t="str">
        <f t="shared" si="41"/>
        <v>Monday</v>
      </c>
      <c r="K535" s="17">
        <v>0.15296296296296297</v>
      </c>
      <c r="L535" s="16">
        <v>45264</v>
      </c>
      <c r="M535" s="18">
        <f>HOUR(orders!$K535)</f>
        <v>3</v>
      </c>
      <c r="N535" s="16" t="str">
        <f t="shared" si="42"/>
        <v>December</v>
      </c>
      <c r="O535" s="17">
        <v>0.47403935185185181</v>
      </c>
      <c r="P535" s="17" t="str">
        <f>_xlfn.XLOOKUP(B535,[2]customers!$A$2:$A$101,[2]customers!$C$2:$C$101)</f>
        <v>Kavali</v>
      </c>
      <c r="Q535" s="14" t="s">
        <v>269</v>
      </c>
      <c r="R535" s="14" t="s">
        <v>60</v>
      </c>
      <c r="S535" s="15">
        <f t="shared" si="43"/>
        <v>3608</v>
      </c>
      <c r="T535" s="19">
        <f t="shared" si="44"/>
        <v>7</v>
      </c>
    </row>
    <row r="536" spans="1:20" x14ac:dyDescent="0.3">
      <c r="A536" s="20">
        <v>535</v>
      </c>
      <c r="B536" s="20" t="s">
        <v>125</v>
      </c>
      <c r="C536" s="20">
        <v>25</v>
      </c>
      <c r="D536" s="20" t="s">
        <v>471</v>
      </c>
      <c r="E536" s="20" t="s">
        <v>447</v>
      </c>
      <c r="F536" s="20">
        <v>3</v>
      </c>
      <c r="G536" s="21">
        <f>_xlfn.XLOOKUP(C536,[1]products!$A$2:$A$71,[1]products!$D$2:$D$71)</f>
        <v>1202</v>
      </c>
      <c r="H536" s="22">
        <v>45115</v>
      </c>
      <c r="I536" s="22" t="str">
        <f t="shared" si="40"/>
        <v>July</v>
      </c>
      <c r="J536" s="22" t="str">
        <f t="shared" si="41"/>
        <v>Saturday</v>
      </c>
      <c r="K536" s="23">
        <v>0.91629629629629628</v>
      </c>
      <c r="L536" s="22">
        <v>45118</v>
      </c>
      <c r="M536" s="24">
        <f>HOUR(orders!$K536)</f>
        <v>21</v>
      </c>
      <c r="N536" s="22" t="str">
        <f t="shared" si="42"/>
        <v>July</v>
      </c>
      <c r="O536" s="23">
        <v>0.27129629629629631</v>
      </c>
      <c r="P536" s="23" t="str">
        <f>_xlfn.XLOOKUP(B536,[2]customers!$A$2:$A$101,[2]customers!$C$2:$C$101)</f>
        <v>Gangtok</v>
      </c>
      <c r="Q536" s="20" t="s">
        <v>85</v>
      </c>
      <c r="R536" s="20" t="s">
        <v>12</v>
      </c>
      <c r="S536" s="21">
        <f t="shared" si="43"/>
        <v>3606</v>
      </c>
      <c r="T536" s="25">
        <f t="shared" si="44"/>
        <v>3</v>
      </c>
    </row>
    <row r="537" spans="1:20" x14ac:dyDescent="0.3">
      <c r="A537" s="14">
        <v>536</v>
      </c>
      <c r="B537" s="14" t="s">
        <v>182</v>
      </c>
      <c r="C537" s="14">
        <v>59</v>
      </c>
      <c r="D537" s="14" t="s">
        <v>489</v>
      </c>
      <c r="E537" s="14" t="s">
        <v>431</v>
      </c>
      <c r="F537" s="14">
        <v>3</v>
      </c>
      <c r="G537" s="15">
        <f>_xlfn.XLOOKUP(C537,[1]products!$A$2:$A$71,[1]products!$D$2:$D$71)</f>
        <v>811</v>
      </c>
      <c r="H537" s="16">
        <v>45163</v>
      </c>
      <c r="I537" s="16" t="str">
        <f t="shared" si="40"/>
        <v>August</v>
      </c>
      <c r="J537" s="16" t="str">
        <f t="shared" si="41"/>
        <v>Friday</v>
      </c>
      <c r="K537" s="17">
        <v>0.6353240740740741</v>
      </c>
      <c r="L537" s="16">
        <v>45168</v>
      </c>
      <c r="M537" s="18">
        <f>HOUR(orders!$K537)</f>
        <v>15</v>
      </c>
      <c r="N537" s="16" t="str">
        <f t="shared" si="42"/>
        <v>August</v>
      </c>
      <c r="O537" s="17">
        <v>0.46747685185185189</v>
      </c>
      <c r="P537" s="17" t="str">
        <f>_xlfn.XLOOKUP(B537,[2]customers!$A$2:$A$101,[2]customers!$C$2:$C$101)</f>
        <v>Guntakal</v>
      </c>
      <c r="Q537" s="14" t="s">
        <v>46</v>
      </c>
      <c r="R537" s="14" t="s">
        <v>26</v>
      </c>
      <c r="S537" s="15">
        <f t="shared" si="43"/>
        <v>2433</v>
      </c>
      <c r="T537" s="19">
        <f t="shared" si="44"/>
        <v>5</v>
      </c>
    </row>
    <row r="538" spans="1:20" x14ac:dyDescent="0.3">
      <c r="A538" s="20">
        <v>537</v>
      </c>
      <c r="B538" s="20" t="s">
        <v>67</v>
      </c>
      <c r="C538" s="20">
        <v>42</v>
      </c>
      <c r="D538" s="20" t="s">
        <v>448</v>
      </c>
      <c r="E538" s="20" t="s">
        <v>427</v>
      </c>
      <c r="F538" s="20">
        <v>3</v>
      </c>
      <c r="G538" s="21">
        <f>_xlfn.XLOOKUP(C538,[1]products!$A$2:$A$71,[1]products!$D$2:$D$71)</f>
        <v>1744</v>
      </c>
      <c r="H538" s="22">
        <v>45216</v>
      </c>
      <c r="I538" s="22" t="str">
        <f t="shared" si="40"/>
        <v>October</v>
      </c>
      <c r="J538" s="22" t="str">
        <f t="shared" si="41"/>
        <v>Tuesday</v>
      </c>
      <c r="K538" s="23">
        <v>0.26347222222222222</v>
      </c>
      <c r="L538" s="22">
        <v>45224</v>
      </c>
      <c r="M538" s="24">
        <f>HOUR(orders!$K538)</f>
        <v>6</v>
      </c>
      <c r="N538" s="22" t="str">
        <f t="shared" si="42"/>
        <v>October</v>
      </c>
      <c r="O538" s="23">
        <v>0.13134259259259259</v>
      </c>
      <c r="P538" s="23" t="str">
        <f>_xlfn.XLOOKUP(B538,[2]customers!$A$2:$A$101,[2]customers!$C$2:$C$101)</f>
        <v>Srikakulam</v>
      </c>
      <c r="Q538" s="20" t="s">
        <v>293</v>
      </c>
      <c r="R538" s="20" t="s">
        <v>60</v>
      </c>
      <c r="S538" s="21">
        <f t="shared" si="43"/>
        <v>5232</v>
      </c>
      <c r="T538" s="25">
        <f t="shared" si="44"/>
        <v>8</v>
      </c>
    </row>
    <row r="539" spans="1:20" x14ac:dyDescent="0.3">
      <c r="A539" s="14">
        <v>538</v>
      </c>
      <c r="B539" s="14" t="s">
        <v>29</v>
      </c>
      <c r="C539" s="14">
        <v>24</v>
      </c>
      <c r="D539" s="14" t="s">
        <v>485</v>
      </c>
      <c r="E539" s="14" t="s">
        <v>458</v>
      </c>
      <c r="F539" s="14">
        <v>5</v>
      </c>
      <c r="G539" s="15">
        <f>_xlfn.XLOOKUP(C539,[1]products!$A$2:$A$71,[1]products!$D$2:$D$71)</f>
        <v>535</v>
      </c>
      <c r="H539" s="16">
        <v>45064</v>
      </c>
      <c r="I539" s="16" t="str">
        <f t="shared" si="40"/>
        <v>May</v>
      </c>
      <c r="J539" s="16" t="str">
        <f t="shared" si="41"/>
        <v>Thursday</v>
      </c>
      <c r="K539" s="17">
        <v>0.54798611111111117</v>
      </c>
      <c r="L539" s="16">
        <v>45065</v>
      </c>
      <c r="M539" s="18">
        <f>HOUR(orders!$K539)</f>
        <v>13</v>
      </c>
      <c r="N539" s="16" t="str">
        <f t="shared" si="42"/>
        <v>May</v>
      </c>
      <c r="O539" s="17">
        <v>0.94185185185185183</v>
      </c>
      <c r="P539" s="17" t="str">
        <f>_xlfn.XLOOKUP(B539,[2]customers!$A$2:$A$101,[2]customers!$C$2:$C$101)</f>
        <v>Sri Ganganagar</v>
      </c>
      <c r="Q539" s="14" t="s">
        <v>336</v>
      </c>
      <c r="R539" s="14" t="s">
        <v>20</v>
      </c>
      <c r="S539" s="15">
        <f t="shared" si="43"/>
        <v>2675</v>
      </c>
      <c r="T539" s="19">
        <f t="shared" si="44"/>
        <v>1</v>
      </c>
    </row>
    <row r="540" spans="1:20" x14ac:dyDescent="0.3">
      <c r="A540" s="20">
        <v>539</v>
      </c>
      <c r="B540" s="20" t="s">
        <v>45</v>
      </c>
      <c r="C540" s="20">
        <v>20</v>
      </c>
      <c r="D540" s="20" t="s">
        <v>439</v>
      </c>
      <c r="E540" s="20" t="s">
        <v>429</v>
      </c>
      <c r="F540" s="20">
        <v>3</v>
      </c>
      <c r="G540" s="21">
        <f>_xlfn.XLOOKUP(C540,[1]products!$A$2:$A$71,[1]products!$D$2:$D$71)</f>
        <v>697</v>
      </c>
      <c r="H540" s="22">
        <v>45086</v>
      </c>
      <c r="I540" s="22" t="str">
        <f t="shared" si="40"/>
        <v>June</v>
      </c>
      <c r="J540" s="22" t="str">
        <f t="shared" si="41"/>
        <v>Friday</v>
      </c>
      <c r="K540" s="23">
        <v>0.6522916666666666</v>
      </c>
      <c r="L540" s="22">
        <v>45093</v>
      </c>
      <c r="M540" s="24">
        <f>HOUR(orders!$K540)</f>
        <v>15</v>
      </c>
      <c r="N540" s="22" t="str">
        <f t="shared" si="42"/>
        <v>June</v>
      </c>
      <c r="O540" s="23">
        <v>0.59519675925925919</v>
      </c>
      <c r="P540" s="23" t="str">
        <f>_xlfn.XLOOKUP(B540,[2]customers!$A$2:$A$101,[2]customers!$C$2:$C$101)</f>
        <v>Haridwar</v>
      </c>
      <c r="Q540" s="20" t="s">
        <v>375</v>
      </c>
      <c r="R540" s="20" t="s">
        <v>12</v>
      </c>
      <c r="S540" s="21">
        <f t="shared" si="43"/>
        <v>2091</v>
      </c>
      <c r="T540" s="25">
        <f t="shared" si="44"/>
        <v>7</v>
      </c>
    </row>
    <row r="541" spans="1:20" x14ac:dyDescent="0.3">
      <c r="A541" s="14">
        <v>540</v>
      </c>
      <c r="B541" s="14" t="s">
        <v>167</v>
      </c>
      <c r="C541" s="14">
        <v>22</v>
      </c>
      <c r="D541" s="14" t="s">
        <v>465</v>
      </c>
      <c r="E541" s="14" t="s">
        <v>445</v>
      </c>
      <c r="F541" s="14">
        <v>4</v>
      </c>
      <c r="G541" s="15">
        <f>_xlfn.XLOOKUP(C541,[1]products!$A$2:$A$71,[1]products!$D$2:$D$71)</f>
        <v>1639</v>
      </c>
      <c r="H541" s="16">
        <v>45175</v>
      </c>
      <c r="I541" s="16" t="str">
        <f t="shared" si="40"/>
        <v>September</v>
      </c>
      <c r="J541" s="16" t="str">
        <f t="shared" si="41"/>
        <v>Wednesday</v>
      </c>
      <c r="K541" s="17">
        <v>0.79693287037037042</v>
      </c>
      <c r="L541" s="16">
        <v>45178</v>
      </c>
      <c r="M541" s="18">
        <f>HOUR(orders!$K541)</f>
        <v>19</v>
      </c>
      <c r="N541" s="16" t="str">
        <f t="shared" si="42"/>
        <v>September</v>
      </c>
      <c r="O541" s="17">
        <v>5.9722222222222225E-2</v>
      </c>
      <c r="P541" s="17" t="str">
        <f>_xlfn.XLOOKUP(B541,[2]customers!$A$2:$A$101,[2]customers!$C$2:$C$101)</f>
        <v>Ahmednagar</v>
      </c>
      <c r="Q541" s="14" t="s">
        <v>376</v>
      </c>
      <c r="R541" s="14" t="s">
        <v>60</v>
      </c>
      <c r="S541" s="15">
        <f t="shared" si="43"/>
        <v>6556</v>
      </c>
      <c r="T541" s="19">
        <f t="shared" si="44"/>
        <v>3</v>
      </c>
    </row>
    <row r="542" spans="1:20" x14ac:dyDescent="0.3">
      <c r="A542" s="20">
        <v>541</v>
      </c>
      <c r="B542" s="20" t="s">
        <v>220</v>
      </c>
      <c r="C542" s="20">
        <v>24</v>
      </c>
      <c r="D542" s="20" t="s">
        <v>485</v>
      </c>
      <c r="E542" s="20" t="s">
        <v>458</v>
      </c>
      <c r="F542" s="20">
        <v>3</v>
      </c>
      <c r="G542" s="21">
        <f>_xlfn.XLOOKUP(C542,[1]products!$A$2:$A$71,[1]products!$D$2:$D$71)</f>
        <v>535</v>
      </c>
      <c r="H542" s="22">
        <v>45243</v>
      </c>
      <c r="I542" s="22" t="str">
        <f t="shared" si="40"/>
        <v>November</v>
      </c>
      <c r="J542" s="22" t="str">
        <f t="shared" si="41"/>
        <v>Monday</v>
      </c>
      <c r="K542" s="23">
        <v>0.24385416666666668</v>
      </c>
      <c r="L542" s="22">
        <v>45246</v>
      </c>
      <c r="M542" s="24">
        <f>HOUR(orders!$K542)</f>
        <v>5</v>
      </c>
      <c r="N542" s="22" t="str">
        <f t="shared" si="42"/>
        <v>November</v>
      </c>
      <c r="O542" s="23">
        <v>0.95594907407407403</v>
      </c>
      <c r="P542" s="23" t="str">
        <f>_xlfn.XLOOKUP(B542,[2]customers!$A$2:$A$101,[2]customers!$C$2:$C$101)</f>
        <v>Berhampore</v>
      </c>
      <c r="Q542" s="20" t="s">
        <v>283</v>
      </c>
      <c r="R542" s="20" t="s">
        <v>20</v>
      </c>
      <c r="S542" s="21">
        <f t="shared" si="43"/>
        <v>1605</v>
      </c>
      <c r="T542" s="25">
        <f t="shared" si="44"/>
        <v>3</v>
      </c>
    </row>
    <row r="543" spans="1:20" x14ac:dyDescent="0.3">
      <c r="A543" s="14">
        <v>542</v>
      </c>
      <c r="B543" s="14" t="s">
        <v>192</v>
      </c>
      <c r="C543" s="14">
        <v>54</v>
      </c>
      <c r="D543" s="14" t="s">
        <v>461</v>
      </c>
      <c r="E543" s="14" t="s">
        <v>431</v>
      </c>
      <c r="F543" s="14">
        <v>5</v>
      </c>
      <c r="G543" s="15">
        <f>_xlfn.XLOOKUP(C543,[1]products!$A$2:$A$71,[1]products!$D$2:$D$71)</f>
        <v>1236</v>
      </c>
      <c r="H543" s="16">
        <v>45114</v>
      </c>
      <c r="I543" s="16" t="str">
        <f t="shared" si="40"/>
        <v>July</v>
      </c>
      <c r="J543" s="16" t="str">
        <f t="shared" si="41"/>
        <v>Friday</v>
      </c>
      <c r="K543" s="17">
        <v>0.82037037037037042</v>
      </c>
      <c r="L543" s="16">
        <v>45119</v>
      </c>
      <c r="M543" s="18">
        <f>HOUR(orders!$K543)</f>
        <v>19</v>
      </c>
      <c r="N543" s="16" t="str">
        <f t="shared" si="42"/>
        <v>July</v>
      </c>
      <c r="O543" s="17">
        <v>0.41124999999999995</v>
      </c>
      <c r="P543" s="17" t="str">
        <f>_xlfn.XLOOKUP(B543,[2]customers!$A$2:$A$101,[2]customers!$C$2:$C$101)</f>
        <v>Kota</v>
      </c>
      <c r="Q543" s="14" t="s">
        <v>195</v>
      </c>
      <c r="R543" s="14" t="s">
        <v>12</v>
      </c>
      <c r="S543" s="15">
        <f t="shared" si="43"/>
        <v>6180</v>
      </c>
      <c r="T543" s="19">
        <f t="shared" si="44"/>
        <v>5</v>
      </c>
    </row>
    <row r="544" spans="1:20" x14ac:dyDescent="0.3">
      <c r="A544" s="20">
        <v>543</v>
      </c>
      <c r="B544" s="20" t="s">
        <v>103</v>
      </c>
      <c r="C544" s="20">
        <v>51</v>
      </c>
      <c r="D544" s="20" t="s">
        <v>469</v>
      </c>
      <c r="E544" s="20" t="s">
        <v>445</v>
      </c>
      <c r="F544" s="20">
        <v>4</v>
      </c>
      <c r="G544" s="21">
        <f>_xlfn.XLOOKUP(C544,[1]products!$A$2:$A$71,[1]products!$D$2:$D$71)</f>
        <v>1084</v>
      </c>
      <c r="H544" s="22">
        <v>44969</v>
      </c>
      <c r="I544" s="22" t="str">
        <f t="shared" si="40"/>
        <v>February</v>
      </c>
      <c r="J544" s="22" t="str">
        <f t="shared" si="41"/>
        <v>Sunday</v>
      </c>
      <c r="K544" s="23">
        <v>0.91053240740740737</v>
      </c>
      <c r="L544" s="22">
        <v>44974</v>
      </c>
      <c r="M544" s="24">
        <f>HOUR(orders!$K544)</f>
        <v>21</v>
      </c>
      <c r="N544" s="22" t="str">
        <f t="shared" si="42"/>
        <v>February</v>
      </c>
      <c r="O544" s="23">
        <v>0.49524305555555559</v>
      </c>
      <c r="P544" s="23" t="str">
        <f>_xlfn.XLOOKUP(B544,[2]customers!$A$2:$A$101,[2]customers!$C$2:$C$101)</f>
        <v>Bidhannagar</v>
      </c>
      <c r="Q544" s="20" t="s">
        <v>345</v>
      </c>
      <c r="R544" s="20" t="s">
        <v>60</v>
      </c>
      <c r="S544" s="21">
        <f t="shared" si="43"/>
        <v>4336</v>
      </c>
      <c r="T544" s="25">
        <f t="shared" si="44"/>
        <v>5</v>
      </c>
    </row>
    <row r="545" spans="1:20" x14ac:dyDescent="0.3">
      <c r="A545" s="14">
        <v>544</v>
      </c>
      <c r="B545" s="14" t="s">
        <v>188</v>
      </c>
      <c r="C545" s="14">
        <v>29</v>
      </c>
      <c r="D545" s="14" t="s">
        <v>497</v>
      </c>
      <c r="E545" s="14" t="s">
        <v>429</v>
      </c>
      <c r="F545" s="14">
        <v>2</v>
      </c>
      <c r="G545" s="15">
        <f>_xlfn.XLOOKUP(C545,[1]products!$A$2:$A$71,[1]products!$D$2:$D$71)</f>
        <v>1252</v>
      </c>
      <c r="H545" s="16">
        <v>44986</v>
      </c>
      <c r="I545" s="16" t="str">
        <f t="shared" si="40"/>
        <v>March</v>
      </c>
      <c r="J545" s="16" t="str">
        <f t="shared" si="41"/>
        <v>Wednesday</v>
      </c>
      <c r="K545" s="17">
        <v>0.10548611111111111</v>
      </c>
      <c r="L545" s="16">
        <v>44996</v>
      </c>
      <c r="M545" s="18">
        <f>HOUR(orders!$K545)</f>
        <v>2</v>
      </c>
      <c r="N545" s="16" t="str">
        <f t="shared" si="42"/>
        <v>March</v>
      </c>
      <c r="O545" s="17">
        <v>0.39851851851851849</v>
      </c>
      <c r="P545" s="17" t="str">
        <f>_xlfn.XLOOKUP(B545,[2]customers!$A$2:$A$101,[2]customers!$C$2:$C$101)</f>
        <v>Sambhal</v>
      </c>
      <c r="Q545" s="14" t="s">
        <v>35</v>
      </c>
      <c r="R545" s="14" t="s">
        <v>36</v>
      </c>
      <c r="S545" s="15">
        <f t="shared" si="43"/>
        <v>2504</v>
      </c>
      <c r="T545" s="19">
        <f t="shared" si="44"/>
        <v>10</v>
      </c>
    </row>
    <row r="546" spans="1:20" x14ac:dyDescent="0.3">
      <c r="A546" s="20">
        <v>545</v>
      </c>
      <c r="B546" s="20" t="s">
        <v>184</v>
      </c>
      <c r="C546" s="20">
        <v>9</v>
      </c>
      <c r="D546" s="20" t="s">
        <v>451</v>
      </c>
      <c r="E546" s="20" t="s">
        <v>429</v>
      </c>
      <c r="F546" s="20">
        <v>5</v>
      </c>
      <c r="G546" s="21">
        <f>_xlfn.XLOOKUP(C546,[1]products!$A$2:$A$71,[1]products!$D$2:$D$71)</f>
        <v>1605</v>
      </c>
      <c r="H546" s="22">
        <v>45158</v>
      </c>
      <c r="I546" s="22" t="str">
        <f t="shared" si="40"/>
        <v>August</v>
      </c>
      <c r="J546" s="22" t="str">
        <f t="shared" si="41"/>
        <v>Sunday</v>
      </c>
      <c r="K546" s="23">
        <v>7.9768518518518516E-2</v>
      </c>
      <c r="L546" s="22">
        <v>45164</v>
      </c>
      <c r="M546" s="24">
        <f>HOUR(orders!$K546)</f>
        <v>1</v>
      </c>
      <c r="N546" s="22" t="str">
        <f t="shared" si="42"/>
        <v>August</v>
      </c>
      <c r="O546" s="23">
        <v>0.33841435185185187</v>
      </c>
      <c r="P546" s="23" t="str">
        <f>_xlfn.XLOOKUP(B546,[2]customers!$A$2:$A$101,[2]customers!$C$2:$C$101)</f>
        <v>Raurkela Industrial Township</v>
      </c>
      <c r="Q546" s="20" t="s">
        <v>107</v>
      </c>
      <c r="R546" s="20" t="s">
        <v>26</v>
      </c>
      <c r="S546" s="21">
        <f t="shared" si="43"/>
        <v>8025</v>
      </c>
      <c r="T546" s="25">
        <f t="shared" si="44"/>
        <v>6</v>
      </c>
    </row>
    <row r="547" spans="1:20" x14ac:dyDescent="0.3">
      <c r="A547" s="14">
        <v>546</v>
      </c>
      <c r="B547" s="14" t="s">
        <v>67</v>
      </c>
      <c r="C547" s="14">
        <v>25</v>
      </c>
      <c r="D547" s="14" t="s">
        <v>471</v>
      </c>
      <c r="E547" s="14" t="s">
        <v>447</v>
      </c>
      <c r="F547" s="14">
        <v>3</v>
      </c>
      <c r="G547" s="15">
        <f>_xlfn.XLOOKUP(C547,[1]products!$A$2:$A$71,[1]products!$D$2:$D$71)</f>
        <v>1202</v>
      </c>
      <c r="H547" s="16">
        <v>44959</v>
      </c>
      <c r="I547" s="16" t="str">
        <f t="shared" si="40"/>
        <v>February</v>
      </c>
      <c r="J547" s="16" t="str">
        <f t="shared" si="41"/>
        <v>Thursday</v>
      </c>
      <c r="K547" s="17">
        <v>0.92005787037037035</v>
      </c>
      <c r="L547" s="16">
        <v>44968</v>
      </c>
      <c r="M547" s="18">
        <f>HOUR(orders!$K547)</f>
        <v>22</v>
      </c>
      <c r="N547" s="16" t="str">
        <f t="shared" si="42"/>
        <v>February</v>
      </c>
      <c r="O547" s="17">
        <v>0.41674768518518518</v>
      </c>
      <c r="P547" s="17" t="str">
        <f>_xlfn.XLOOKUP(B547,[2]customers!$A$2:$A$101,[2]customers!$C$2:$C$101)</f>
        <v>Srikakulam</v>
      </c>
      <c r="Q547" s="14" t="s">
        <v>377</v>
      </c>
      <c r="R547" s="14" t="s">
        <v>12</v>
      </c>
      <c r="S547" s="15">
        <f t="shared" si="43"/>
        <v>3606</v>
      </c>
      <c r="T547" s="19">
        <f t="shared" si="44"/>
        <v>9</v>
      </c>
    </row>
    <row r="548" spans="1:20" x14ac:dyDescent="0.3">
      <c r="A548" s="20">
        <v>547</v>
      </c>
      <c r="B548" s="20" t="s">
        <v>66</v>
      </c>
      <c r="C548" s="20">
        <v>30</v>
      </c>
      <c r="D548" s="20" t="s">
        <v>449</v>
      </c>
      <c r="E548" s="20" t="s">
        <v>429</v>
      </c>
      <c r="F548" s="20">
        <v>5</v>
      </c>
      <c r="G548" s="21">
        <f>_xlfn.XLOOKUP(C548,[1]products!$A$2:$A$71,[1]products!$D$2:$D$71)</f>
        <v>751</v>
      </c>
      <c r="H548" s="22">
        <v>44936</v>
      </c>
      <c r="I548" s="22" t="str">
        <f t="shared" si="40"/>
        <v>January</v>
      </c>
      <c r="J548" s="22" t="str">
        <f t="shared" si="41"/>
        <v>Tuesday</v>
      </c>
      <c r="K548" s="23">
        <v>0.10430555555555555</v>
      </c>
      <c r="L548" s="22">
        <v>44945</v>
      </c>
      <c r="M548" s="24">
        <f>HOUR(orders!$K548)</f>
        <v>2</v>
      </c>
      <c r="N548" s="22" t="str">
        <f t="shared" si="42"/>
        <v>January</v>
      </c>
      <c r="O548" s="23">
        <v>0.58103009259259253</v>
      </c>
      <c r="P548" s="23" t="str">
        <f>_xlfn.XLOOKUP(B548,[2]customers!$A$2:$A$101,[2]customers!$C$2:$C$101)</f>
        <v xml:space="preserve">Khora </v>
      </c>
      <c r="Q548" s="20" t="s">
        <v>111</v>
      </c>
      <c r="R548" s="20" t="s">
        <v>12</v>
      </c>
      <c r="S548" s="21">
        <f t="shared" si="43"/>
        <v>3755</v>
      </c>
      <c r="T548" s="25">
        <f t="shared" si="44"/>
        <v>9</v>
      </c>
    </row>
    <row r="549" spans="1:20" x14ac:dyDescent="0.3">
      <c r="A549" s="14">
        <v>548</v>
      </c>
      <c r="B549" s="14" t="s">
        <v>18</v>
      </c>
      <c r="C549" s="14">
        <v>25</v>
      </c>
      <c r="D549" s="14" t="s">
        <v>471</v>
      </c>
      <c r="E549" s="14" t="s">
        <v>447</v>
      </c>
      <c r="F549" s="14">
        <v>2</v>
      </c>
      <c r="G549" s="15">
        <f>_xlfn.XLOOKUP(C549,[1]products!$A$2:$A$71,[1]products!$D$2:$D$71)</f>
        <v>1202</v>
      </c>
      <c r="H549" s="16">
        <v>44978</v>
      </c>
      <c r="I549" s="16" t="str">
        <f t="shared" si="40"/>
        <v>February</v>
      </c>
      <c r="J549" s="16" t="str">
        <f t="shared" si="41"/>
        <v>Tuesday</v>
      </c>
      <c r="K549" s="17">
        <v>0.52280092592592597</v>
      </c>
      <c r="L549" s="16">
        <v>44979</v>
      </c>
      <c r="M549" s="18">
        <f>HOUR(orders!$K549)</f>
        <v>12</v>
      </c>
      <c r="N549" s="16" t="str">
        <f t="shared" si="42"/>
        <v>February</v>
      </c>
      <c r="O549" s="17">
        <v>0.82481481481481478</v>
      </c>
      <c r="P549" s="17" t="str">
        <f>_xlfn.XLOOKUP(B549,[2]customers!$A$2:$A$101,[2]customers!$C$2:$C$101)</f>
        <v>Bilaspur</v>
      </c>
      <c r="Q549" s="14" t="s">
        <v>170</v>
      </c>
      <c r="R549" s="14" t="s">
        <v>12</v>
      </c>
      <c r="S549" s="15">
        <f t="shared" si="43"/>
        <v>2404</v>
      </c>
      <c r="T549" s="19">
        <f t="shared" si="44"/>
        <v>1</v>
      </c>
    </row>
    <row r="550" spans="1:20" x14ac:dyDescent="0.3">
      <c r="A550" s="20">
        <v>549</v>
      </c>
      <c r="B550" s="20" t="s">
        <v>354</v>
      </c>
      <c r="C550" s="20">
        <v>64</v>
      </c>
      <c r="D550" s="20" t="s">
        <v>492</v>
      </c>
      <c r="E550" s="20" t="s">
        <v>445</v>
      </c>
      <c r="F550" s="20">
        <v>1</v>
      </c>
      <c r="G550" s="21">
        <f>_xlfn.XLOOKUP(C550,[1]products!$A$2:$A$71,[1]products!$D$2:$D$71)</f>
        <v>1878</v>
      </c>
      <c r="H550" s="22">
        <v>45160</v>
      </c>
      <c r="I550" s="22" t="str">
        <f t="shared" si="40"/>
        <v>August</v>
      </c>
      <c r="J550" s="22" t="str">
        <f t="shared" si="41"/>
        <v>Tuesday</v>
      </c>
      <c r="K550" s="23">
        <v>0.81230324074074067</v>
      </c>
      <c r="L550" s="22">
        <v>45170</v>
      </c>
      <c r="M550" s="24">
        <f>HOUR(orders!$K550)</f>
        <v>19</v>
      </c>
      <c r="N550" s="22" t="str">
        <f t="shared" si="42"/>
        <v>September</v>
      </c>
      <c r="O550" s="23">
        <v>0.10358796296296297</v>
      </c>
      <c r="P550" s="23" t="str">
        <f>_xlfn.XLOOKUP(B550,[2]customers!$A$2:$A$101,[2]customers!$C$2:$C$101)</f>
        <v>Mehsana</v>
      </c>
      <c r="Q550" s="20" t="s">
        <v>304</v>
      </c>
      <c r="R550" s="20" t="s">
        <v>26</v>
      </c>
      <c r="S550" s="21">
        <f t="shared" si="43"/>
        <v>1878</v>
      </c>
      <c r="T550" s="25">
        <f t="shared" si="44"/>
        <v>10</v>
      </c>
    </row>
    <row r="551" spans="1:20" x14ac:dyDescent="0.3">
      <c r="A551" s="14">
        <v>550</v>
      </c>
      <c r="B551" s="14" t="s">
        <v>103</v>
      </c>
      <c r="C551" s="14">
        <v>29</v>
      </c>
      <c r="D551" s="14" t="s">
        <v>497</v>
      </c>
      <c r="E551" s="14" t="s">
        <v>429</v>
      </c>
      <c r="F551" s="14">
        <v>5</v>
      </c>
      <c r="G551" s="15">
        <f>_xlfn.XLOOKUP(C551,[1]products!$A$2:$A$71,[1]products!$D$2:$D$71)</f>
        <v>1252</v>
      </c>
      <c r="H551" s="16">
        <v>44984</v>
      </c>
      <c r="I551" s="16" t="str">
        <f t="shared" si="40"/>
        <v>February</v>
      </c>
      <c r="J551" s="16" t="str">
        <f t="shared" si="41"/>
        <v>Monday</v>
      </c>
      <c r="K551" s="17">
        <v>0.81124999999999992</v>
      </c>
      <c r="L551" s="16">
        <v>44990</v>
      </c>
      <c r="M551" s="18">
        <f>HOUR(orders!$K551)</f>
        <v>19</v>
      </c>
      <c r="N551" s="16" t="str">
        <f t="shared" si="42"/>
        <v>March</v>
      </c>
      <c r="O551" s="17">
        <v>0.71086805555555566</v>
      </c>
      <c r="P551" s="17" t="str">
        <f>_xlfn.XLOOKUP(B551,[2]customers!$A$2:$A$101,[2]customers!$C$2:$C$101)</f>
        <v>Bidhannagar</v>
      </c>
      <c r="Q551" s="14" t="s">
        <v>378</v>
      </c>
      <c r="R551" s="14" t="s">
        <v>36</v>
      </c>
      <c r="S551" s="15">
        <f t="shared" si="43"/>
        <v>6260</v>
      </c>
      <c r="T551" s="19">
        <f t="shared" si="44"/>
        <v>6</v>
      </c>
    </row>
    <row r="552" spans="1:20" x14ac:dyDescent="0.3">
      <c r="A552" s="20">
        <v>551</v>
      </c>
      <c r="B552" s="20" t="s">
        <v>66</v>
      </c>
      <c r="C552" s="20">
        <v>67</v>
      </c>
      <c r="D552" s="20" t="s">
        <v>425</v>
      </c>
      <c r="E552" s="20" t="s">
        <v>26</v>
      </c>
      <c r="F552" s="20">
        <v>1</v>
      </c>
      <c r="G552" s="21">
        <f>_xlfn.XLOOKUP(C552,[1]products!$A$2:$A$71,[1]products!$D$2:$D$71)</f>
        <v>1374</v>
      </c>
      <c r="H552" s="22">
        <v>45035</v>
      </c>
      <c r="I552" s="22" t="str">
        <f t="shared" si="40"/>
        <v>April</v>
      </c>
      <c r="J552" s="22" t="str">
        <f t="shared" si="41"/>
        <v>Wednesday</v>
      </c>
      <c r="K552" s="23">
        <v>0.86368055555555545</v>
      </c>
      <c r="L552" s="22">
        <v>45039</v>
      </c>
      <c r="M552" s="24">
        <f>HOUR(orders!$K552)</f>
        <v>20</v>
      </c>
      <c r="N552" s="22" t="str">
        <f t="shared" si="42"/>
        <v>April</v>
      </c>
      <c r="O552" s="23">
        <v>0.64240740740740743</v>
      </c>
      <c r="P552" s="23" t="str">
        <f>_xlfn.XLOOKUP(B552,[2]customers!$A$2:$A$101,[2]customers!$C$2:$C$101)</f>
        <v xml:space="preserve">Khora </v>
      </c>
      <c r="Q552" s="20" t="s">
        <v>353</v>
      </c>
      <c r="R552" s="20" t="s">
        <v>12</v>
      </c>
      <c r="S552" s="21">
        <f t="shared" si="43"/>
        <v>1374</v>
      </c>
      <c r="T552" s="25">
        <f t="shared" si="44"/>
        <v>4</v>
      </c>
    </row>
    <row r="553" spans="1:20" x14ac:dyDescent="0.3">
      <c r="A553" s="14">
        <v>552</v>
      </c>
      <c r="B553" s="14" t="s">
        <v>67</v>
      </c>
      <c r="C553" s="14">
        <v>31</v>
      </c>
      <c r="D553" s="14" t="s">
        <v>474</v>
      </c>
      <c r="E553" s="14" t="s">
        <v>429</v>
      </c>
      <c r="F553" s="14">
        <v>3</v>
      </c>
      <c r="G553" s="15">
        <f>_xlfn.XLOOKUP(C553,[1]products!$A$2:$A$71,[1]products!$D$2:$D$71)</f>
        <v>1804</v>
      </c>
      <c r="H553" s="16">
        <v>45056</v>
      </c>
      <c r="I553" s="16" t="str">
        <f t="shared" si="40"/>
        <v>May</v>
      </c>
      <c r="J553" s="16" t="str">
        <f t="shared" si="41"/>
        <v>Wednesday</v>
      </c>
      <c r="K553" s="17">
        <v>0.79133101851851861</v>
      </c>
      <c r="L553" s="16">
        <v>45057</v>
      </c>
      <c r="M553" s="18">
        <f>HOUR(orders!$K553)</f>
        <v>18</v>
      </c>
      <c r="N553" s="16" t="str">
        <f t="shared" si="42"/>
        <v>May</v>
      </c>
      <c r="O553" s="17">
        <v>0.71466435185185195</v>
      </c>
      <c r="P553" s="17" t="str">
        <f>_xlfn.XLOOKUP(B553,[2]customers!$A$2:$A$101,[2]customers!$C$2:$C$101)</f>
        <v>Srikakulam</v>
      </c>
      <c r="Q553" s="14" t="s">
        <v>308</v>
      </c>
      <c r="R553" s="14" t="s">
        <v>60</v>
      </c>
      <c r="S553" s="15">
        <f t="shared" si="43"/>
        <v>5412</v>
      </c>
      <c r="T553" s="19">
        <f t="shared" si="44"/>
        <v>1</v>
      </c>
    </row>
    <row r="554" spans="1:20" x14ac:dyDescent="0.3">
      <c r="A554" s="20">
        <v>553</v>
      </c>
      <c r="B554" s="20" t="s">
        <v>215</v>
      </c>
      <c r="C554" s="20">
        <v>39</v>
      </c>
      <c r="D554" s="20" t="s">
        <v>478</v>
      </c>
      <c r="E554" s="20" t="s">
        <v>458</v>
      </c>
      <c r="F554" s="20">
        <v>2</v>
      </c>
      <c r="G554" s="21">
        <f>_xlfn.XLOOKUP(C554,[1]products!$A$2:$A$71,[1]products!$D$2:$D$71)</f>
        <v>387</v>
      </c>
      <c r="H554" s="22">
        <v>45160</v>
      </c>
      <c r="I554" s="22" t="str">
        <f t="shared" si="40"/>
        <v>August</v>
      </c>
      <c r="J554" s="22" t="str">
        <f t="shared" si="41"/>
        <v>Tuesday</v>
      </c>
      <c r="K554" s="23">
        <v>5.7418981481481481E-2</v>
      </c>
      <c r="L554" s="22">
        <v>45164</v>
      </c>
      <c r="M554" s="24">
        <f>HOUR(orders!$K554)</f>
        <v>1</v>
      </c>
      <c r="N554" s="22" t="str">
        <f t="shared" si="42"/>
        <v>August</v>
      </c>
      <c r="O554" s="23">
        <v>0.32184027777777779</v>
      </c>
      <c r="P554" s="23" t="str">
        <f>_xlfn.XLOOKUP(B554,[2]customers!$A$2:$A$101,[2]customers!$C$2:$C$101)</f>
        <v>Tiruchirappalli</v>
      </c>
      <c r="Q554" s="20" t="s">
        <v>290</v>
      </c>
      <c r="R554" s="20" t="s">
        <v>60</v>
      </c>
      <c r="S554" s="21">
        <f t="shared" si="43"/>
        <v>774</v>
      </c>
      <c r="T554" s="25">
        <f t="shared" si="44"/>
        <v>4</v>
      </c>
    </row>
    <row r="555" spans="1:20" x14ac:dyDescent="0.3">
      <c r="A555" s="14">
        <v>554</v>
      </c>
      <c r="B555" s="14" t="s">
        <v>105</v>
      </c>
      <c r="C555" s="14">
        <v>29</v>
      </c>
      <c r="D555" s="14" t="s">
        <v>497</v>
      </c>
      <c r="E555" s="14" t="s">
        <v>429</v>
      </c>
      <c r="F555" s="14">
        <v>4</v>
      </c>
      <c r="G555" s="15">
        <f>_xlfn.XLOOKUP(C555,[1]products!$A$2:$A$71,[1]products!$D$2:$D$71)</f>
        <v>1252</v>
      </c>
      <c r="H555" s="16">
        <v>44985</v>
      </c>
      <c r="I555" s="16" t="str">
        <f t="shared" si="40"/>
        <v>February</v>
      </c>
      <c r="J555" s="16" t="str">
        <f t="shared" si="41"/>
        <v>Tuesday</v>
      </c>
      <c r="K555" s="17">
        <v>0.85077546296296302</v>
      </c>
      <c r="L555" s="16">
        <v>44988</v>
      </c>
      <c r="M555" s="18">
        <f>HOUR(orders!$K555)</f>
        <v>20</v>
      </c>
      <c r="N555" s="16" t="str">
        <f t="shared" si="42"/>
        <v>March</v>
      </c>
      <c r="O555" s="17">
        <v>0.70070601851851855</v>
      </c>
      <c r="P555" s="17" t="str">
        <f>_xlfn.XLOOKUP(B555,[2]customers!$A$2:$A$101,[2]customers!$C$2:$C$101)</f>
        <v>Maheshtala</v>
      </c>
      <c r="Q555" s="14" t="s">
        <v>379</v>
      </c>
      <c r="R555" s="14" t="s">
        <v>36</v>
      </c>
      <c r="S555" s="15">
        <f t="shared" si="43"/>
        <v>5008</v>
      </c>
      <c r="T555" s="19">
        <f t="shared" si="44"/>
        <v>3</v>
      </c>
    </row>
    <row r="556" spans="1:20" x14ac:dyDescent="0.3">
      <c r="A556" s="20">
        <v>555</v>
      </c>
      <c r="B556" s="20" t="s">
        <v>155</v>
      </c>
      <c r="C556" s="20">
        <v>56</v>
      </c>
      <c r="D556" s="20" t="s">
        <v>436</v>
      </c>
      <c r="E556" s="20" t="s">
        <v>26</v>
      </c>
      <c r="F556" s="20">
        <v>4</v>
      </c>
      <c r="G556" s="21">
        <f>_xlfn.XLOOKUP(C556,[1]products!$A$2:$A$71,[1]products!$D$2:$D$71)</f>
        <v>1272</v>
      </c>
      <c r="H556" s="22">
        <v>45105</v>
      </c>
      <c r="I556" s="22" t="str">
        <f t="shared" si="40"/>
        <v>June</v>
      </c>
      <c r="J556" s="22" t="str">
        <f t="shared" si="41"/>
        <v>Wednesday</v>
      </c>
      <c r="K556" s="23">
        <v>0.50396990740740744</v>
      </c>
      <c r="L556" s="22">
        <v>45107</v>
      </c>
      <c r="M556" s="24">
        <f>HOUR(orders!$K556)</f>
        <v>12</v>
      </c>
      <c r="N556" s="22" t="str">
        <f t="shared" si="42"/>
        <v>June</v>
      </c>
      <c r="O556" s="23">
        <v>0.74874999999999992</v>
      </c>
      <c r="P556" s="23" t="str">
        <f>_xlfn.XLOOKUP(B556,[2]customers!$A$2:$A$101,[2]customers!$C$2:$C$101)</f>
        <v>Phagwara</v>
      </c>
      <c r="Q556" s="20" t="s">
        <v>107</v>
      </c>
      <c r="R556" s="20" t="s">
        <v>12</v>
      </c>
      <c r="S556" s="21">
        <f t="shared" si="43"/>
        <v>5088</v>
      </c>
      <c r="T556" s="25">
        <f t="shared" si="44"/>
        <v>2</v>
      </c>
    </row>
    <row r="557" spans="1:20" x14ac:dyDescent="0.3">
      <c r="A557" s="14">
        <v>556</v>
      </c>
      <c r="B557" s="14" t="s">
        <v>322</v>
      </c>
      <c r="C557" s="14">
        <v>17</v>
      </c>
      <c r="D557" s="14" t="s">
        <v>455</v>
      </c>
      <c r="E557" s="14" t="s">
        <v>445</v>
      </c>
      <c r="F557" s="14">
        <v>1</v>
      </c>
      <c r="G557" s="15">
        <f>_xlfn.XLOOKUP(C557,[1]products!$A$2:$A$71,[1]products!$D$2:$D$71)</f>
        <v>1899</v>
      </c>
      <c r="H557" s="16">
        <v>45273</v>
      </c>
      <c r="I557" s="16" t="str">
        <f t="shared" si="40"/>
        <v>December</v>
      </c>
      <c r="J557" s="16" t="str">
        <f t="shared" si="41"/>
        <v>Wednesday</v>
      </c>
      <c r="K557" s="17">
        <v>0.64886574074074077</v>
      </c>
      <c r="L557" s="16">
        <v>45281</v>
      </c>
      <c r="M557" s="18">
        <f>HOUR(orders!$K557)</f>
        <v>15</v>
      </c>
      <c r="N557" s="16" t="str">
        <f t="shared" si="42"/>
        <v>December</v>
      </c>
      <c r="O557" s="17">
        <v>0.6595833333333333</v>
      </c>
      <c r="P557" s="17" t="str">
        <f>_xlfn.XLOOKUP(B557,[2]customers!$A$2:$A$101,[2]customers!$C$2:$C$101)</f>
        <v>Parbhani</v>
      </c>
      <c r="Q557" s="14" t="s">
        <v>380</v>
      </c>
      <c r="R557" s="14" t="s">
        <v>12</v>
      </c>
      <c r="S557" s="15">
        <f t="shared" si="43"/>
        <v>1899</v>
      </c>
      <c r="T557" s="19">
        <f t="shared" si="44"/>
        <v>8</v>
      </c>
    </row>
    <row r="558" spans="1:20" x14ac:dyDescent="0.3">
      <c r="A558" s="20">
        <v>557</v>
      </c>
      <c r="B558" s="20" t="s">
        <v>159</v>
      </c>
      <c r="C558" s="20">
        <v>47</v>
      </c>
      <c r="D558" s="20" t="s">
        <v>480</v>
      </c>
      <c r="E558" s="20" t="s">
        <v>429</v>
      </c>
      <c r="F558" s="20">
        <v>3</v>
      </c>
      <c r="G558" s="21">
        <f>_xlfn.XLOOKUP(C558,[1]products!$A$2:$A$71,[1]products!$D$2:$D$71)</f>
        <v>1638</v>
      </c>
      <c r="H558" s="22">
        <v>44986</v>
      </c>
      <c r="I558" s="22" t="str">
        <f t="shared" si="40"/>
        <v>March</v>
      </c>
      <c r="J558" s="22" t="str">
        <f t="shared" si="41"/>
        <v>Wednesday</v>
      </c>
      <c r="K558" s="23">
        <v>0.1254861111111111</v>
      </c>
      <c r="L558" s="22">
        <v>44993</v>
      </c>
      <c r="M558" s="24">
        <f>HOUR(orders!$K558)</f>
        <v>3</v>
      </c>
      <c r="N558" s="22" t="str">
        <f t="shared" si="42"/>
        <v>March</v>
      </c>
      <c r="O558" s="23">
        <v>9.072916666666668E-2</v>
      </c>
      <c r="P558" s="23" t="str">
        <f>_xlfn.XLOOKUP(B558,[2]customers!$A$2:$A$101,[2]customers!$C$2:$C$101)</f>
        <v>Kamarhati</v>
      </c>
      <c r="Q558" s="20" t="s">
        <v>333</v>
      </c>
      <c r="R558" s="20" t="s">
        <v>36</v>
      </c>
      <c r="S558" s="21">
        <f t="shared" si="43"/>
        <v>4914</v>
      </c>
      <c r="T558" s="25">
        <f t="shared" si="44"/>
        <v>7</v>
      </c>
    </row>
    <row r="559" spans="1:20" x14ac:dyDescent="0.3">
      <c r="A559" s="14">
        <v>558</v>
      </c>
      <c r="B559" s="14" t="s">
        <v>61</v>
      </c>
      <c r="C559" s="14">
        <v>64</v>
      </c>
      <c r="D559" s="14" t="s">
        <v>492</v>
      </c>
      <c r="E559" s="14" t="s">
        <v>445</v>
      </c>
      <c r="F559" s="14">
        <v>3</v>
      </c>
      <c r="G559" s="15">
        <f>_xlfn.XLOOKUP(C559,[1]products!$A$2:$A$71,[1]products!$D$2:$D$71)</f>
        <v>1878</v>
      </c>
      <c r="H559" s="16">
        <v>45160</v>
      </c>
      <c r="I559" s="16" t="str">
        <f t="shared" si="40"/>
        <v>August</v>
      </c>
      <c r="J559" s="16" t="str">
        <f t="shared" si="41"/>
        <v>Tuesday</v>
      </c>
      <c r="K559" s="17">
        <v>2.9837962962962965E-2</v>
      </c>
      <c r="L559" s="16">
        <v>45163</v>
      </c>
      <c r="M559" s="18">
        <f>HOUR(orders!$K559)</f>
        <v>0</v>
      </c>
      <c r="N559" s="16" t="str">
        <f t="shared" si="42"/>
        <v>August</v>
      </c>
      <c r="O559" s="17">
        <v>1.726851851851852E-2</v>
      </c>
      <c r="P559" s="17" t="str">
        <f>_xlfn.XLOOKUP(B559,[2]customers!$A$2:$A$101,[2]customers!$C$2:$C$101)</f>
        <v>New Delhi</v>
      </c>
      <c r="Q559" s="14" t="s">
        <v>302</v>
      </c>
      <c r="R559" s="14" t="s">
        <v>26</v>
      </c>
      <c r="S559" s="15">
        <f t="shared" si="43"/>
        <v>5634</v>
      </c>
      <c r="T559" s="19">
        <f t="shared" si="44"/>
        <v>3</v>
      </c>
    </row>
    <row r="560" spans="1:20" x14ac:dyDescent="0.3">
      <c r="A560" s="20">
        <v>559</v>
      </c>
      <c r="B560" s="20" t="s">
        <v>215</v>
      </c>
      <c r="C560" s="20">
        <v>45</v>
      </c>
      <c r="D560" s="20" t="s">
        <v>433</v>
      </c>
      <c r="E560" s="20" t="s">
        <v>26</v>
      </c>
      <c r="F560" s="20">
        <v>1</v>
      </c>
      <c r="G560" s="21">
        <f>_xlfn.XLOOKUP(C560,[1]products!$A$2:$A$71,[1]products!$D$2:$D$71)</f>
        <v>722</v>
      </c>
      <c r="H560" s="22">
        <v>45279</v>
      </c>
      <c r="I560" s="22" t="str">
        <f t="shared" si="40"/>
        <v>December</v>
      </c>
      <c r="J560" s="22" t="str">
        <f t="shared" si="41"/>
        <v>Tuesday</v>
      </c>
      <c r="K560" s="23">
        <v>0.69248842592592597</v>
      </c>
      <c r="L560" s="22">
        <v>45286</v>
      </c>
      <c r="M560" s="24">
        <f>HOUR(orders!$K560)</f>
        <v>16</v>
      </c>
      <c r="N560" s="22" t="str">
        <f t="shared" si="42"/>
        <v>December</v>
      </c>
      <c r="O560" s="23">
        <v>0.7748032407407407</v>
      </c>
      <c r="P560" s="23" t="str">
        <f>_xlfn.XLOOKUP(B560,[2]customers!$A$2:$A$101,[2]customers!$C$2:$C$101)</f>
        <v>Tiruchirappalli</v>
      </c>
      <c r="Q560" s="20" t="s">
        <v>381</v>
      </c>
      <c r="R560" s="20" t="s">
        <v>20</v>
      </c>
      <c r="S560" s="21">
        <f t="shared" si="43"/>
        <v>722</v>
      </c>
      <c r="T560" s="25">
        <f t="shared" si="44"/>
        <v>7</v>
      </c>
    </row>
    <row r="561" spans="1:20" x14ac:dyDescent="0.3">
      <c r="A561" s="14">
        <v>560</v>
      </c>
      <c r="B561" s="14" t="s">
        <v>13</v>
      </c>
      <c r="C561" s="14">
        <v>39</v>
      </c>
      <c r="D561" s="14" t="s">
        <v>478</v>
      </c>
      <c r="E561" s="14" t="s">
        <v>458</v>
      </c>
      <c r="F561" s="14">
        <v>2</v>
      </c>
      <c r="G561" s="15">
        <f>_xlfn.XLOOKUP(C561,[1]products!$A$2:$A$71,[1]products!$D$2:$D$71)</f>
        <v>387</v>
      </c>
      <c r="H561" s="16">
        <v>45142</v>
      </c>
      <c r="I561" s="16" t="str">
        <f t="shared" si="40"/>
        <v>August</v>
      </c>
      <c r="J561" s="16" t="str">
        <f t="shared" si="41"/>
        <v>Friday</v>
      </c>
      <c r="K561" s="17">
        <v>0.53634259259259254</v>
      </c>
      <c r="L561" s="16">
        <v>45147</v>
      </c>
      <c r="M561" s="18">
        <f>HOUR(orders!$K561)</f>
        <v>12</v>
      </c>
      <c r="N561" s="16" t="str">
        <f t="shared" si="42"/>
        <v>August</v>
      </c>
      <c r="O561" s="17">
        <v>0.41033564814814816</v>
      </c>
      <c r="P561" s="17" t="str">
        <f>_xlfn.XLOOKUP(B561,[2]customers!$A$2:$A$101,[2]customers!$C$2:$C$101)</f>
        <v>Danapur</v>
      </c>
      <c r="Q561" s="14" t="s">
        <v>149</v>
      </c>
      <c r="R561" s="14" t="s">
        <v>60</v>
      </c>
      <c r="S561" s="15">
        <f t="shared" si="43"/>
        <v>774</v>
      </c>
      <c r="T561" s="19">
        <f t="shared" si="44"/>
        <v>5</v>
      </c>
    </row>
    <row r="562" spans="1:20" x14ac:dyDescent="0.3">
      <c r="A562" s="20">
        <v>561</v>
      </c>
      <c r="B562" s="20" t="s">
        <v>32</v>
      </c>
      <c r="C562" s="20">
        <v>49</v>
      </c>
      <c r="D562" s="20" t="s">
        <v>463</v>
      </c>
      <c r="E562" s="20" t="s">
        <v>429</v>
      </c>
      <c r="F562" s="20">
        <v>5</v>
      </c>
      <c r="G562" s="21">
        <f>_xlfn.XLOOKUP(C562,[1]products!$A$2:$A$71,[1]products!$D$2:$D$71)</f>
        <v>903</v>
      </c>
      <c r="H562" s="22">
        <v>44969</v>
      </c>
      <c r="I562" s="22" t="str">
        <f t="shared" si="40"/>
        <v>February</v>
      </c>
      <c r="J562" s="22" t="str">
        <f t="shared" si="41"/>
        <v>Sunday</v>
      </c>
      <c r="K562" s="23">
        <v>0.51707175925925919</v>
      </c>
      <c r="L562" s="22">
        <v>44978</v>
      </c>
      <c r="M562" s="24">
        <f>HOUR(orders!$K562)</f>
        <v>12</v>
      </c>
      <c r="N562" s="22" t="str">
        <f t="shared" si="42"/>
        <v>February</v>
      </c>
      <c r="O562" s="23">
        <v>0.72469907407407408</v>
      </c>
      <c r="P562" s="23" t="str">
        <f>_xlfn.XLOOKUP(B562,[2]customers!$A$2:$A$101,[2]customers!$C$2:$C$101)</f>
        <v>Dhanbad</v>
      </c>
      <c r="Q562" s="20" t="s">
        <v>336</v>
      </c>
      <c r="R562" s="20" t="s">
        <v>23</v>
      </c>
      <c r="S562" s="21">
        <f t="shared" si="43"/>
        <v>4515</v>
      </c>
      <c r="T562" s="25">
        <f t="shared" si="44"/>
        <v>9</v>
      </c>
    </row>
    <row r="563" spans="1:20" x14ac:dyDescent="0.3">
      <c r="A563" s="14">
        <v>562</v>
      </c>
      <c r="B563" s="14" t="s">
        <v>83</v>
      </c>
      <c r="C563" s="14">
        <v>24</v>
      </c>
      <c r="D563" s="14" t="s">
        <v>485</v>
      </c>
      <c r="E563" s="14" t="s">
        <v>458</v>
      </c>
      <c r="F563" s="14">
        <v>4</v>
      </c>
      <c r="G563" s="15">
        <f>_xlfn.XLOOKUP(C563,[1]products!$A$2:$A$71,[1]products!$D$2:$D$71)</f>
        <v>535</v>
      </c>
      <c r="H563" s="16">
        <v>45147</v>
      </c>
      <c r="I563" s="16" t="str">
        <f t="shared" si="40"/>
        <v>August</v>
      </c>
      <c r="J563" s="16" t="str">
        <f t="shared" si="41"/>
        <v>Wednesday</v>
      </c>
      <c r="K563" s="17">
        <v>0.38773148148148145</v>
      </c>
      <c r="L563" s="16">
        <v>45154</v>
      </c>
      <c r="M563" s="18">
        <f>HOUR(orders!$K563)</f>
        <v>9</v>
      </c>
      <c r="N563" s="16" t="str">
        <f t="shared" si="42"/>
        <v>August</v>
      </c>
      <c r="O563" s="17">
        <v>6.5358796296296304E-2</v>
      </c>
      <c r="P563" s="17" t="str">
        <f>_xlfn.XLOOKUP(B563,[2]customers!$A$2:$A$101,[2]customers!$C$2:$C$101)</f>
        <v>Malegaon</v>
      </c>
      <c r="Q563" s="14" t="s">
        <v>301</v>
      </c>
      <c r="R563" s="14" t="s">
        <v>20</v>
      </c>
      <c r="S563" s="15">
        <f t="shared" si="43"/>
        <v>2140</v>
      </c>
      <c r="T563" s="19">
        <f t="shared" si="44"/>
        <v>7</v>
      </c>
    </row>
    <row r="564" spans="1:20" x14ac:dyDescent="0.3">
      <c r="A564" s="20">
        <v>563</v>
      </c>
      <c r="B564" s="20" t="s">
        <v>112</v>
      </c>
      <c r="C564" s="20">
        <v>58</v>
      </c>
      <c r="D564" s="20" t="s">
        <v>430</v>
      </c>
      <c r="E564" s="20" t="s">
        <v>431</v>
      </c>
      <c r="F564" s="20">
        <v>5</v>
      </c>
      <c r="G564" s="21">
        <f>_xlfn.XLOOKUP(C564,[1]products!$A$2:$A$71,[1]products!$D$2:$D$71)</f>
        <v>1492</v>
      </c>
      <c r="H564" s="22">
        <v>44968</v>
      </c>
      <c r="I564" s="22" t="str">
        <f t="shared" si="40"/>
        <v>February</v>
      </c>
      <c r="J564" s="22" t="str">
        <f t="shared" si="41"/>
        <v>Saturday</v>
      </c>
      <c r="K564" s="23">
        <v>0.48840277777777774</v>
      </c>
      <c r="L564" s="22">
        <v>44976</v>
      </c>
      <c r="M564" s="24">
        <f>HOUR(orders!$K564)</f>
        <v>11</v>
      </c>
      <c r="N564" s="22" t="str">
        <f t="shared" si="42"/>
        <v>February</v>
      </c>
      <c r="O564" s="23">
        <v>0.21144675925925926</v>
      </c>
      <c r="P564" s="23" t="str">
        <f>_xlfn.XLOOKUP(B564,[2]customers!$A$2:$A$101,[2]customers!$C$2:$C$101)</f>
        <v>Panchkula</v>
      </c>
      <c r="Q564" s="20" t="s">
        <v>119</v>
      </c>
      <c r="R564" s="20" t="s">
        <v>23</v>
      </c>
      <c r="S564" s="21">
        <f t="shared" si="43"/>
        <v>7460</v>
      </c>
      <c r="T564" s="25">
        <f t="shared" si="44"/>
        <v>8</v>
      </c>
    </row>
    <row r="565" spans="1:20" x14ac:dyDescent="0.3">
      <c r="A565" s="14">
        <v>564</v>
      </c>
      <c r="B565" s="14" t="s">
        <v>220</v>
      </c>
      <c r="C565" s="14">
        <v>40</v>
      </c>
      <c r="D565" s="14" t="s">
        <v>477</v>
      </c>
      <c r="E565" s="14" t="s">
        <v>427</v>
      </c>
      <c r="F565" s="14">
        <v>1</v>
      </c>
      <c r="G565" s="15">
        <f>_xlfn.XLOOKUP(C565,[1]products!$A$2:$A$71,[1]products!$D$2:$D$71)</f>
        <v>1923</v>
      </c>
      <c r="H565" s="16">
        <v>45023</v>
      </c>
      <c r="I565" s="16" t="str">
        <f t="shared" si="40"/>
        <v>April</v>
      </c>
      <c r="J565" s="16" t="str">
        <f t="shared" si="41"/>
        <v>Friday</v>
      </c>
      <c r="K565" s="17">
        <v>2.8009259259259262E-2</v>
      </c>
      <c r="L565" s="16">
        <v>45031</v>
      </c>
      <c r="M565" s="18">
        <f>HOUR(orders!$K565)</f>
        <v>0</v>
      </c>
      <c r="N565" s="16" t="str">
        <f t="shared" si="42"/>
        <v>April</v>
      </c>
      <c r="O565" s="17">
        <v>0.25482638888888892</v>
      </c>
      <c r="P565" s="17" t="str">
        <f>_xlfn.XLOOKUP(B565,[2]customers!$A$2:$A$101,[2]customers!$C$2:$C$101)</f>
        <v>Berhampore</v>
      </c>
      <c r="Q565" s="14" t="s">
        <v>382</v>
      </c>
      <c r="R565" s="14" t="s">
        <v>12</v>
      </c>
      <c r="S565" s="15">
        <f t="shared" si="43"/>
        <v>1923</v>
      </c>
      <c r="T565" s="19">
        <f t="shared" si="44"/>
        <v>8</v>
      </c>
    </row>
    <row r="566" spans="1:20" x14ac:dyDescent="0.3">
      <c r="A566" s="20">
        <v>565</v>
      </c>
      <c r="B566" s="20" t="s">
        <v>50</v>
      </c>
      <c r="C566" s="20">
        <v>50</v>
      </c>
      <c r="D566" s="20" t="s">
        <v>487</v>
      </c>
      <c r="E566" s="20" t="s">
        <v>447</v>
      </c>
      <c r="F566" s="20">
        <v>3</v>
      </c>
      <c r="G566" s="21">
        <f>_xlfn.XLOOKUP(C566,[1]products!$A$2:$A$71,[1]products!$D$2:$D$71)</f>
        <v>422</v>
      </c>
      <c r="H566" s="22">
        <v>44991</v>
      </c>
      <c r="I566" s="22" t="str">
        <f t="shared" si="40"/>
        <v>March</v>
      </c>
      <c r="J566" s="22" t="str">
        <f t="shared" si="41"/>
        <v>Monday</v>
      </c>
      <c r="K566" s="23">
        <v>0.72796296296296292</v>
      </c>
      <c r="L566" s="22">
        <v>44999</v>
      </c>
      <c r="M566" s="24">
        <f>HOUR(orders!$K566)</f>
        <v>17</v>
      </c>
      <c r="N566" s="22" t="str">
        <f t="shared" si="42"/>
        <v>March</v>
      </c>
      <c r="O566" s="23">
        <v>0.55054398148148154</v>
      </c>
      <c r="P566" s="23" t="str">
        <f>_xlfn.XLOOKUP(B566,[2]customers!$A$2:$A$101,[2]customers!$C$2:$C$101)</f>
        <v>Orai</v>
      </c>
      <c r="Q566" s="20" t="s">
        <v>277</v>
      </c>
      <c r="R566" s="20" t="s">
        <v>36</v>
      </c>
      <c r="S566" s="21">
        <f t="shared" si="43"/>
        <v>1266</v>
      </c>
      <c r="T566" s="25">
        <f t="shared" si="44"/>
        <v>8</v>
      </c>
    </row>
    <row r="567" spans="1:20" x14ac:dyDescent="0.3">
      <c r="A567" s="14">
        <v>566</v>
      </c>
      <c r="B567" s="14" t="s">
        <v>54</v>
      </c>
      <c r="C567" s="14">
        <v>42</v>
      </c>
      <c r="D567" s="14" t="s">
        <v>448</v>
      </c>
      <c r="E567" s="14" t="s">
        <v>427</v>
      </c>
      <c r="F567" s="14">
        <v>4</v>
      </c>
      <c r="G567" s="15">
        <f>_xlfn.XLOOKUP(C567,[1]products!$A$2:$A$71,[1]products!$D$2:$D$71)</f>
        <v>1744</v>
      </c>
      <c r="H567" s="16">
        <v>45058</v>
      </c>
      <c r="I567" s="16" t="str">
        <f t="shared" si="40"/>
        <v>May</v>
      </c>
      <c r="J567" s="16" t="str">
        <f t="shared" si="41"/>
        <v>Friday</v>
      </c>
      <c r="K567" s="17">
        <v>0.53336805555555555</v>
      </c>
      <c r="L567" s="16">
        <v>45060</v>
      </c>
      <c r="M567" s="18">
        <f>HOUR(orders!$K567)</f>
        <v>12</v>
      </c>
      <c r="N567" s="16" t="str">
        <f t="shared" si="42"/>
        <v>May</v>
      </c>
      <c r="O567" s="17">
        <v>0.85870370370370364</v>
      </c>
      <c r="P567" s="17" t="str">
        <f>_xlfn.XLOOKUP(B567,[2]customers!$A$2:$A$101,[2]customers!$C$2:$C$101)</f>
        <v>Bidhannagar</v>
      </c>
      <c r="Q567" s="14" t="s">
        <v>300</v>
      </c>
      <c r="R567" s="14" t="s">
        <v>60</v>
      </c>
      <c r="S567" s="15">
        <f t="shared" si="43"/>
        <v>6976</v>
      </c>
      <c r="T567" s="19">
        <f t="shared" si="44"/>
        <v>2</v>
      </c>
    </row>
    <row r="568" spans="1:20" x14ac:dyDescent="0.3">
      <c r="A568" s="20">
        <v>567</v>
      </c>
      <c r="B568" s="20" t="s">
        <v>52</v>
      </c>
      <c r="C568" s="20">
        <v>66</v>
      </c>
      <c r="D568" s="20" t="s">
        <v>456</v>
      </c>
      <c r="E568" s="20" t="s">
        <v>429</v>
      </c>
      <c r="F568" s="20">
        <v>1</v>
      </c>
      <c r="G568" s="21">
        <f>_xlfn.XLOOKUP(C568,[1]products!$A$2:$A$71,[1]products!$D$2:$D$71)</f>
        <v>610</v>
      </c>
      <c r="H568" s="22">
        <v>44991</v>
      </c>
      <c r="I568" s="22" t="str">
        <f t="shared" si="40"/>
        <v>March</v>
      </c>
      <c r="J568" s="22" t="str">
        <f t="shared" si="41"/>
        <v>Monday</v>
      </c>
      <c r="K568" s="23">
        <v>0.25832175925925926</v>
      </c>
      <c r="L568" s="22">
        <v>45000</v>
      </c>
      <c r="M568" s="24">
        <f>HOUR(orders!$K568)</f>
        <v>6</v>
      </c>
      <c r="N568" s="22" t="str">
        <f t="shared" si="42"/>
        <v>March</v>
      </c>
      <c r="O568" s="23">
        <v>0.78962962962962957</v>
      </c>
      <c r="P568" s="23" t="str">
        <f>_xlfn.XLOOKUP(B568,[2]customers!$A$2:$A$101,[2]customers!$C$2:$C$101)</f>
        <v>Anantapuram</v>
      </c>
      <c r="Q568" s="20" t="s">
        <v>372</v>
      </c>
      <c r="R568" s="20" t="s">
        <v>36</v>
      </c>
      <c r="S568" s="21">
        <f t="shared" si="43"/>
        <v>610</v>
      </c>
      <c r="T568" s="25">
        <f t="shared" si="44"/>
        <v>9</v>
      </c>
    </row>
    <row r="569" spans="1:20" x14ac:dyDescent="0.3">
      <c r="A569" s="14">
        <v>568</v>
      </c>
      <c r="B569" s="14" t="s">
        <v>45</v>
      </c>
      <c r="C569" s="14">
        <v>10</v>
      </c>
      <c r="D569" s="14" t="s">
        <v>452</v>
      </c>
      <c r="E569" s="14" t="s">
        <v>431</v>
      </c>
      <c r="F569" s="14">
        <v>1</v>
      </c>
      <c r="G569" s="15">
        <f>_xlfn.XLOOKUP(C569,[1]products!$A$2:$A$71,[1]products!$D$2:$D$71)</f>
        <v>259</v>
      </c>
      <c r="H569" s="16">
        <v>45106</v>
      </c>
      <c r="I569" s="16" t="str">
        <f t="shared" si="40"/>
        <v>June</v>
      </c>
      <c r="J569" s="16" t="str">
        <f t="shared" si="41"/>
        <v>Thursday</v>
      </c>
      <c r="K569" s="17">
        <v>0.87197916666666664</v>
      </c>
      <c r="L569" s="16">
        <v>45115</v>
      </c>
      <c r="M569" s="18">
        <f>HOUR(orders!$K569)</f>
        <v>20</v>
      </c>
      <c r="N569" s="16" t="str">
        <f t="shared" si="42"/>
        <v>July</v>
      </c>
      <c r="O569" s="17">
        <v>0.5529398148148148</v>
      </c>
      <c r="P569" s="17" t="str">
        <f>_xlfn.XLOOKUP(B569,[2]customers!$A$2:$A$101,[2]customers!$C$2:$C$101)</f>
        <v>Haridwar</v>
      </c>
      <c r="Q569" s="14" t="s">
        <v>366</v>
      </c>
      <c r="R569" s="14" t="s">
        <v>20</v>
      </c>
      <c r="S569" s="15">
        <f t="shared" si="43"/>
        <v>259</v>
      </c>
      <c r="T569" s="19">
        <f t="shared" si="44"/>
        <v>9</v>
      </c>
    </row>
    <row r="570" spans="1:20" x14ac:dyDescent="0.3">
      <c r="A570" s="20">
        <v>569</v>
      </c>
      <c r="B570" s="20" t="s">
        <v>238</v>
      </c>
      <c r="C570" s="20">
        <v>53</v>
      </c>
      <c r="D570" s="20" t="s">
        <v>496</v>
      </c>
      <c r="E570" s="20" t="s">
        <v>427</v>
      </c>
      <c r="F570" s="20">
        <v>2</v>
      </c>
      <c r="G570" s="21">
        <f>_xlfn.XLOOKUP(C570,[1]products!$A$2:$A$71,[1]products!$D$2:$D$71)</f>
        <v>1672</v>
      </c>
      <c r="H570" s="22">
        <v>45166</v>
      </c>
      <c r="I570" s="22" t="str">
        <f t="shared" si="40"/>
        <v>August</v>
      </c>
      <c r="J570" s="22" t="str">
        <f t="shared" si="41"/>
        <v>Monday</v>
      </c>
      <c r="K570" s="23">
        <v>0.58383101851851849</v>
      </c>
      <c r="L570" s="22">
        <v>45173</v>
      </c>
      <c r="M570" s="24">
        <f>HOUR(orders!$K570)</f>
        <v>14</v>
      </c>
      <c r="N570" s="22" t="str">
        <f t="shared" si="42"/>
        <v>September</v>
      </c>
      <c r="O570" s="23">
        <v>0.74747685185185186</v>
      </c>
      <c r="P570" s="23" t="str">
        <f>_xlfn.XLOOKUP(B570,[2]customers!$A$2:$A$101,[2]customers!$C$2:$C$101)</f>
        <v>Serampore</v>
      </c>
      <c r="Q570" s="20" t="s">
        <v>158</v>
      </c>
      <c r="R570" s="20" t="s">
        <v>26</v>
      </c>
      <c r="S570" s="21">
        <f t="shared" si="43"/>
        <v>3344</v>
      </c>
      <c r="T570" s="25">
        <f t="shared" si="44"/>
        <v>7</v>
      </c>
    </row>
    <row r="571" spans="1:20" x14ac:dyDescent="0.3">
      <c r="A571" s="14">
        <v>570</v>
      </c>
      <c r="B571" s="14" t="s">
        <v>45</v>
      </c>
      <c r="C571" s="14">
        <v>69</v>
      </c>
      <c r="D571" s="14" t="s">
        <v>486</v>
      </c>
      <c r="E571" s="14" t="s">
        <v>431</v>
      </c>
      <c r="F571" s="14">
        <v>3</v>
      </c>
      <c r="G571" s="15">
        <f>_xlfn.XLOOKUP(C571,[1]products!$A$2:$A$71,[1]products!$D$2:$D$71)</f>
        <v>998</v>
      </c>
      <c r="H571" s="16">
        <v>44985</v>
      </c>
      <c r="I571" s="16" t="str">
        <f t="shared" si="40"/>
        <v>February</v>
      </c>
      <c r="J571" s="16" t="str">
        <f t="shared" si="41"/>
        <v>Tuesday</v>
      </c>
      <c r="K571" s="17">
        <v>0.47574074074074074</v>
      </c>
      <c r="L571" s="16">
        <v>44994</v>
      </c>
      <c r="M571" s="18">
        <f>HOUR(orders!$K571)</f>
        <v>11</v>
      </c>
      <c r="N571" s="16" t="str">
        <f t="shared" si="42"/>
        <v>March</v>
      </c>
      <c r="O571" s="17">
        <v>3.7442129629629624E-2</v>
      </c>
      <c r="P571" s="17" t="str">
        <f>_xlfn.XLOOKUP(B571,[2]customers!$A$2:$A$101,[2]customers!$C$2:$C$101)</f>
        <v>Haridwar</v>
      </c>
      <c r="Q571" s="14" t="s">
        <v>383</v>
      </c>
      <c r="R571" s="14" t="s">
        <v>36</v>
      </c>
      <c r="S571" s="15">
        <f t="shared" si="43"/>
        <v>2994</v>
      </c>
      <c r="T571" s="19">
        <f t="shared" si="44"/>
        <v>9</v>
      </c>
    </row>
    <row r="572" spans="1:20" x14ac:dyDescent="0.3">
      <c r="A572" s="20">
        <v>571</v>
      </c>
      <c r="B572" s="20" t="s">
        <v>88</v>
      </c>
      <c r="C572" s="20">
        <v>6</v>
      </c>
      <c r="D572" s="20" t="s">
        <v>450</v>
      </c>
      <c r="E572" s="20" t="s">
        <v>431</v>
      </c>
      <c r="F572" s="20">
        <v>1</v>
      </c>
      <c r="G572" s="21">
        <f>_xlfn.XLOOKUP(C572,[1]products!$A$2:$A$71,[1]products!$D$2:$D$71)</f>
        <v>1112</v>
      </c>
      <c r="H572" s="22">
        <v>44985</v>
      </c>
      <c r="I572" s="22" t="str">
        <f t="shared" si="40"/>
        <v>February</v>
      </c>
      <c r="J572" s="22" t="str">
        <f t="shared" si="41"/>
        <v>Tuesday</v>
      </c>
      <c r="K572" s="23">
        <v>0.40167824074074071</v>
      </c>
      <c r="L572" s="22">
        <v>44994</v>
      </c>
      <c r="M572" s="24">
        <f>HOUR(orders!$K572)</f>
        <v>9</v>
      </c>
      <c r="N572" s="22" t="str">
        <f t="shared" si="42"/>
        <v>March</v>
      </c>
      <c r="O572" s="23">
        <v>0.1847337962962963</v>
      </c>
      <c r="P572" s="23" t="str">
        <f>_xlfn.XLOOKUP(B572,[2]customers!$A$2:$A$101,[2]customers!$C$2:$C$101)</f>
        <v>Guna</v>
      </c>
      <c r="Q572" s="20" t="s">
        <v>265</v>
      </c>
      <c r="R572" s="20" t="s">
        <v>36</v>
      </c>
      <c r="S572" s="21">
        <f t="shared" si="43"/>
        <v>1112</v>
      </c>
      <c r="T572" s="25">
        <f t="shared" si="44"/>
        <v>9</v>
      </c>
    </row>
    <row r="573" spans="1:20" x14ac:dyDescent="0.3">
      <c r="A573" s="14">
        <v>572</v>
      </c>
      <c r="B573" s="14" t="s">
        <v>150</v>
      </c>
      <c r="C573" s="14">
        <v>25</v>
      </c>
      <c r="D573" s="14" t="s">
        <v>471</v>
      </c>
      <c r="E573" s="14" t="s">
        <v>447</v>
      </c>
      <c r="F573" s="14">
        <v>5</v>
      </c>
      <c r="G573" s="15">
        <f>_xlfn.XLOOKUP(C573,[1]products!$A$2:$A$71,[1]products!$D$2:$D$71)</f>
        <v>1202</v>
      </c>
      <c r="H573" s="16">
        <v>45081</v>
      </c>
      <c r="I573" s="16" t="str">
        <f t="shared" si="40"/>
        <v>June</v>
      </c>
      <c r="J573" s="16" t="str">
        <f t="shared" si="41"/>
        <v>Sunday</v>
      </c>
      <c r="K573" s="17">
        <v>0.6587615740740741</v>
      </c>
      <c r="L573" s="16">
        <v>45087</v>
      </c>
      <c r="M573" s="18">
        <f>HOUR(orders!$K573)</f>
        <v>15</v>
      </c>
      <c r="N573" s="16" t="str">
        <f t="shared" si="42"/>
        <v>June</v>
      </c>
      <c r="O573" s="17">
        <v>0.42486111111111113</v>
      </c>
      <c r="P573" s="17" t="str">
        <f>_xlfn.XLOOKUP(B573,[2]customers!$A$2:$A$101,[2]customers!$C$2:$C$101)</f>
        <v>Satara</v>
      </c>
      <c r="Q573" s="14" t="s">
        <v>228</v>
      </c>
      <c r="R573" s="14" t="s">
        <v>12</v>
      </c>
      <c r="S573" s="15">
        <f t="shared" si="43"/>
        <v>6010</v>
      </c>
      <c r="T573" s="19">
        <f t="shared" si="44"/>
        <v>6</v>
      </c>
    </row>
    <row r="574" spans="1:20" x14ac:dyDescent="0.3">
      <c r="A574" s="20">
        <v>573</v>
      </c>
      <c r="B574" s="20" t="s">
        <v>24</v>
      </c>
      <c r="C574" s="20">
        <v>3</v>
      </c>
      <c r="D574" s="20" t="s">
        <v>483</v>
      </c>
      <c r="E574" s="20" t="s">
        <v>429</v>
      </c>
      <c r="F574" s="20">
        <v>5</v>
      </c>
      <c r="G574" s="21">
        <f>_xlfn.XLOOKUP(C574,[1]products!$A$2:$A$71,[1]products!$D$2:$D$71)</f>
        <v>1534</v>
      </c>
      <c r="H574" s="22">
        <v>44965</v>
      </c>
      <c r="I574" s="22" t="str">
        <f t="shared" si="40"/>
        <v>February</v>
      </c>
      <c r="J574" s="22" t="str">
        <f t="shared" si="41"/>
        <v>Wednesday</v>
      </c>
      <c r="K574" s="23">
        <v>0.11951388888888888</v>
      </c>
      <c r="L574" s="22">
        <v>44971</v>
      </c>
      <c r="M574" s="24">
        <f>HOUR(orders!$K574)</f>
        <v>2</v>
      </c>
      <c r="N574" s="22" t="str">
        <f t="shared" si="42"/>
        <v>February</v>
      </c>
      <c r="O574" s="23">
        <v>0.12298611111111112</v>
      </c>
      <c r="P574" s="23" t="str">
        <f>_xlfn.XLOOKUP(B574,[2]customers!$A$2:$A$101,[2]customers!$C$2:$C$101)</f>
        <v>Pallavaram</v>
      </c>
      <c r="Q574" s="20" t="s">
        <v>316</v>
      </c>
      <c r="R574" s="20" t="s">
        <v>23</v>
      </c>
      <c r="S574" s="21">
        <f t="shared" si="43"/>
        <v>7670</v>
      </c>
      <c r="T574" s="25">
        <f t="shared" si="44"/>
        <v>6</v>
      </c>
    </row>
    <row r="575" spans="1:20" x14ac:dyDescent="0.3">
      <c r="A575" s="14">
        <v>574</v>
      </c>
      <c r="B575" s="14" t="s">
        <v>67</v>
      </c>
      <c r="C575" s="14">
        <v>29</v>
      </c>
      <c r="D575" s="14" t="s">
        <v>497</v>
      </c>
      <c r="E575" s="14" t="s">
        <v>429</v>
      </c>
      <c r="F575" s="14">
        <v>3</v>
      </c>
      <c r="G575" s="15">
        <f>_xlfn.XLOOKUP(C575,[1]products!$A$2:$A$71,[1]products!$D$2:$D$71)</f>
        <v>1252</v>
      </c>
      <c r="H575" s="16">
        <v>44987</v>
      </c>
      <c r="I575" s="16" t="str">
        <f t="shared" si="40"/>
        <v>March</v>
      </c>
      <c r="J575" s="16" t="str">
        <f t="shared" si="41"/>
        <v>Thursday</v>
      </c>
      <c r="K575" s="17">
        <v>0.99798611111111113</v>
      </c>
      <c r="L575" s="16">
        <v>44991</v>
      </c>
      <c r="M575" s="18">
        <f>HOUR(orders!$K575)</f>
        <v>23</v>
      </c>
      <c r="N575" s="16" t="str">
        <f t="shared" si="42"/>
        <v>March</v>
      </c>
      <c r="O575" s="17">
        <v>0.90638888888888891</v>
      </c>
      <c r="P575" s="17" t="str">
        <f>_xlfn.XLOOKUP(B575,[2]customers!$A$2:$A$101,[2]customers!$C$2:$C$101)</f>
        <v>Srikakulam</v>
      </c>
      <c r="Q575" s="14" t="s">
        <v>106</v>
      </c>
      <c r="R575" s="14" t="s">
        <v>36</v>
      </c>
      <c r="S575" s="15">
        <f t="shared" si="43"/>
        <v>3756</v>
      </c>
      <c r="T575" s="19">
        <f t="shared" si="44"/>
        <v>4</v>
      </c>
    </row>
    <row r="576" spans="1:20" x14ac:dyDescent="0.3">
      <c r="A576" s="20">
        <v>575</v>
      </c>
      <c r="B576" s="20" t="s">
        <v>268</v>
      </c>
      <c r="C576" s="20">
        <v>49</v>
      </c>
      <c r="D576" s="20" t="s">
        <v>463</v>
      </c>
      <c r="E576" s="20" t="s">
        <v>429</v>
      </c>
      <c r="F576" s="20">
        <v>2</v>
      </c>
      <c r="G576" s="21">
        <f>_xlfn.XLOOKUP(C576,[1]products!$A$2:$A$71,[1]products!$D$2:$D$71)</f>
        <v>903</v>
      </c>
      <c r="H576" s="22">
        <v>44963</v>
      </c>
      <c r="I576" s="22" t="str">
        <f t="shared" si="40"/>
        <v>February</v>
      </c>
      <c r="J576" s="22" t="str">
        <f t="shared" si="41"/>
        <v>Monday</v>
      </c>
      <c r="K576" s="23">
        <v>0.5587037037037037</v>
      </c>
      <c r="L576" s="22">
        <v>44966</v>
      </c>
      <c r="M576" s="24">
        <f>HOUR(orders!$K576)</f>
        <v>13</v>
      </c>
      <c r="N576" s="22" t="str">
        <f t="shared" si="42"/>
        <v>February</v>
      </c>
      <c r="O576" s="23">
        <v>0.62162037037037032</v>
      </c>
      <c r="P576" s="23" t="str">
        <f>_xlfn.XLOOKUP(B576,[2]customers!$A$2:$A$101,[2]customers!$C$2:$C$101)</f>
        <v>Gaya</v>
      </c>
      <c r="Q576" s="20" t="s">
        <v>46</v>
      </c>
      <c r="R576" s="20" t="s">
        <v>23</v>
      </c>
      <c r="S576" s="21">
        <f t="shared" si="43"/>
        <v>1806</v>
      </c>
      <c r="T576" s="25">
        <f t="shared" si="44"/>
        <v>3</v>
      </c>
    </row>
    <row r="577" spans="1:20" x14ac:dyDescent="0.3">
      <c r="A577" s="14">
        <v>576</v>
      </c>
      <c r="B577" s="14" t="s">
        <v>118</v>
      </c>
      <c r="C577" s="14">
        <v>53</v>
      </c>
      <c r="D577" s="14" t="s">
        <v>496</v>
      </c>
      <c r="E577" s="14" t="s">
        <v>427</v>
      </c>
      <c r="F577" s="14">
        <v>4</v>
      </c>
      <c r="G577" s="15">
        <f>_xlfn.XLOOKUP(C577,[1]products!$A$2:$A$71,[1]products!$D$2:$D$71)</f>
        <v>1672</v>
      </c>
      <c r="H577" s="16">
        <v>45158</v>
      </c>
      <c r="I577" s="16" t="str">
        <f t="shared" si="40"/>
        <v>August</v>
      </c>
      <c r="J577" s="16" t="str">
        <f t="shared" si="41"/>
        <v>Sunday</v>
      </c>
      <c r="K577" s="17">
        <v>0.29487268518518517</v>
      </c>
      <c r="L577" s="16">
        <v>45164</v>
      </c>
      <c r="M577" s="18">
        <f>HOUR(orders!$K577)</f>
        <v>7</v>
      </c>
      <c r="N577" s="16" t="str">
        <f t="shared" si="42"/>
        <v>August</v>
      </c>
      <c r="O577" s="17">
        <v>0.33471064814814816</v>
      </c>
      <c r="P577" s="17" t="str">
        <f>_xlfn.XLOOKUP(B577,[2]customers!$A$2:$A$101,[2]customers!$C$2:$C$101)</f>
        <v>Sultan Pur Majra</v>
      </c>
      <c r="Q577" s="14" t="s">
        <v>151</v>
      </c>
      <c r="R577" s="14" t="s">
        <v>26</v>
      </c>
      <c r="S577" s="15">
        <f t="shared" si="43"/>
        <v>6688</v>
      </c>
      <c r="T577" s="19">
        <f t="shared" si="44"/>
        <v>6</v>
      </c>
    </row>
    <row r="578" spans="1:20" x14ac:dyDescent="0.3">
      <c r="A578" s="20">
        <v>577</v>
      </c>
      <c r="B578" s="20" t="s">
        <v>140</v>
      </c>
      <c r="C578" s="20">
        <v>20</v>
      </c>
      <c r="D578" s="20" t="s">
        <v>439</v>
      </c>
      <c r="E578" s="20" t="s">
        <v>429</v>
      </c>
      <c r="F578" s="20">
        <v>4</v>
      </c>
      <c r="G578" s="21">
        <f>_xlfn.XLOOKUP(C578,[1]products!$A$2:$A$71,[1]products!$D$2:$D$71)</f>
        <v>697</v>
      </c>
      <c r="H578" s="22">
        <v>45227</v>
      </c>
      <c r="I578" s="22" t="str">
        <f t="shared" si="40"/>
        <v>October</v>
      </c>
      <c r="J578" s="22" t="str">
        <f t="shared" si="41"/>
        <v>Saturday</v>
      </c>
      <c r="K578" s="23">
        <v>0.61905092592592592</v>
      </c>
      <c r="L578" s="22">
        <v>45235</v>
      </c>
      <c r="M578" s="24">
        <f>HOUR(orders!$K578)</f>
        <v>14</v>
      </c>
      <c r="N578" s="22" t="str">
        <f t="shared" si="42"/>
        <v>November</v>
      </c>
      <c r="O578" s="23">
        <v>0.78524305555555562</v>
      </c>
      <c r="P578" s="23" t="str">
        <f>_xlfn.XLOOKUP(B578,[2]customers!$A$2:$A$101,[2]customers!$C$2:$C$101)</f>
        <v>Chinsurah</v>
      </c>
      <c r="Q578" s="20" t="s">
        <v>357</v>
      </c>
      <c r="R578" s="20" t="s">
        <v>12</v>
      </c>
      <c r="S578" s="21">
        <f t="shared" si="43"/>
        <v>2788</v>
      </c>
      <c r="T578" s="25">
        <f t="shared" si="44"/>
        <v>8</v>
      </c>
    </row>
    <row r="579" spans="1:20" x14ac:dyDescent="0.3">
      <c r="A579" s="14">
        <v>578</v>
      </c>
      <c r="B579" s="14" t="s">
        <v>140</v>
      </c>
      <c r="C579" s="14">
        <v>18</v>
      </c>
      <c r="D579" s="14" t="s">
        <v>484</v>
      </c>
      <c r="E579" s="14" t="s">
        <v>447</v>
      </c>
      <c r="F579" s="14">
        <v>4</v>
      </c>
      <c r="G579" s="15">
        <f>_xlfn.XLOOKUP(C579,[1]products!$A$2:$A$71,[1]products!$D$2:$D$71)</f>
        <v>781</v>
      </c>
      <c r="H579" s="16">
        <v>45138</v>
      </c>
      <c r="I579" s="16" t="str">
        <f t="shared" ref="I579:I642" si="45">TEXT(H579,"mmmm")</f>
        <v>July</v>
      </c>
      <c r="J579" s="16" t="str">
        <f t="shared" ref="J579:J642" si="46">TEXT(H579,"dddd")</f>
        <v>Monday</v>
      </c>
      <c r="K579" s="17">
        <v>0.76921296296296304</v>
      </c>
      <c r="L579" s="16">
        <v>45144</v>
      </c>
      <c r="M579" s="18">
        <f>HOUR(orders!$K579)</f>
        <v>18</v>
      </c>
      <c r="N579" s="16" t="str">
        <f t="shared" ref="N579:N642" si="47">TEXT(L579,"mmmm")</f>
        <v>August</v>
      </c>
      <c r="O579" s="17">
        <v>0.69681712962962961</v>
      </c>
      <c r="P579" s="17" t="str">
        <f>_xlfn.XLOOKUP(B579,[2]customers!$A$2:$A$101,[2]customers!$C$2:$C$101)</f>
        <v>Chinsurah</v>
      </c>
      <c r="Q579" s="14" t="s">
        <v>157</v>
      </c>
      <c r="R579" s="14" t="s">
        <v>20</v>
      </c>
      <c r="S579" s="15">
        <f t="shared" ref="S579:S642" si="48">G579*F579</f>
        <v>3124</v>
      </c>
      <c r="T579" s="19">
        <f t="shared" ref="T579:T642" si="49">L579-H579</f>
        <v>6</v>
      </c>
    </row>
    <row r="580" spans="1:20" x14ac:dyDescent="0.3">
      <c r="A580" s="20">
        <v>579</v>
      </c>
      <c r="B580" s="20" t="s">
        <v>212</v>
      </c>
      <c r="C580" s="20">
        <v>29</v>
      </c>
      <c r="D580" s="20" t="s">
        <v>497</v>
      </c>
      <c r="E580" s="20" t="s">
        <v>429</v>
      </c>
      <c r="F580" s="20">
        <v>2</v>
      </c>
      <c r="G580" s="21">
        <f>_xlfn.XLOOKUP(C580,[1]products!$A$2:$A$71,[1]products!$D$2:$D$71)</f>
        <v>1252</v>
      </c>
      <c r="H580" s="22">
        <v>44992</v>
      </c>
      <c r="I580" s="22" t="str">
        <f t="shared" si="45"/>
        <v>March</v>
      </c>
      <c r="J580" s="22" t="str">
        <f t="shared" si="46"/>
        <v>Tuesday</v>
      </c>
      <c r="K580" s="23">
        <v>0.9018518518518519</v>
      </c>
      <c r="L580" s="22">
        <v>44999</v>
      </c>
      <c r="M580" s="24">
        <f>HOUR(orders!$K580)</f>
        <v>21</v>
      </c>
      <c r="N580" s="22" t="str">
        <f t="shared" si="47"/>
        <v>March</v>
      </c>
      <c r="O580" s="23">
        <v>0.44798611111111114</v>
      </c>
      <c r="P580" s="23" t="str">
        <f>_xlfn.XLOOKUP(B580,[2]customers!$A$2:$A$101,[2]customers!$C$2:$C$101)</f>
        <v>Dibrugarh</v>
      </c>
      <c r="Q580" s="20" t="s">
        <v>325</v>
      </c>
      <c r="R580" s="20" t="s">
        <v>36</v>
      </c>
      <c r="S580" s="21">
        <f t="shared" si="48"/>
        <v>2504</v>
      </c>
      <c r="T580" s="25">
        <f t="shared" si="49"/>
        <v>7</v>
      </c>
    </row>
    <row r="581" spans="1:20" x14ac:dyDescent="0.3">
      <c r="A581" s="14">
        <v>580</v>
      </c>
      <c r="B581" s="14" t="s">
        <v>249</v>
      </c>
      <c r="C581" s="14">
        <v>24</v>
      </c>
      <c r="D581" s="14" t="s">
        <v>485</v>
      </c>
      <c r="E581" s="14" t="s">
        <v>458</v>
      </c>
      <c r="F581" s="14">
        <v>4</v>
      </c>
      <c r="G581" s="15">
        <f>_xlfn.XLOOKUP(C581,[1]products!$A$2:$A$71,[1]products!$D$2:$D$71)</f>
        <v>535</v>
      </c>
      <c r="H581" s="16">
        <v>45093</v>
      </c>
      <c r="I581" s="16" t="str">
        <f t="shared" si="45"/>
        <v>June</v>
      </c>
      <c r="J581" s="16" t="str">
        <f t="shared" si="46"/>
        <v>Friday</v>
      </c>
      <c r="K581" s="17">
        <v>0.91888888888888898</v>
      </c>
      <c r="L581" s="16">
        <v>45097</v>
      </c>
      <c r="M581" s="18">
        <f>HOUR(orders!$K581)</f>
        <v>22</v>
      </c>
      <c r="N581" s="16" t="str">
        <f t="shared" si="47"/>
        <v>June</v>
      </c>
      <c r="O581" s="17">
        <v>0.51784722222222224</v>
      </c>
      <c r="P581" s="17" t="str">
        <f>_xlfn.XLOOKUP(B581,[2]customers!$A$2:$A$101,[2]customers!$C$2:$C$101)</f>
        <v>Tumkur</v>
      </c>
      <c r="Q581" s="14" t="s">
        <v>265</v>
      </c>
      <c r="R581" s="14" t="s">
        <v>20</v>
      </c>
      <c r="S581" s="15">
        <f t="shared" si="48"/>
        <v>2140</v>
      </c>
      <c r="T581" s="19">
        <f t="shared" si="49"/>
        <v>4</v>
      </c>
    </row>
    <row r="582" spans="1:20" x14ac:dyDescent="0.3">
      <c r="A582" s="20">
        <v>581</v>
      </c>
      <c r="B582" s="20" t="s">
        <v>167</v>
      </c>
      <c r="C582" s="20">
        <v>18</v>
      </c>
      <c r="D582" s="20" t="s">
        <v>484</v>
      </c>
      <c r="E582" s="20" t="s">
        <v>447</v>
      </c>
      <c r="F582" s="20">
        <v>2</v>
      </c>
      <c r="G582" s="21">
        <f>_xlfn.XLOOKUP(C582,[1]products!$A$2:$A$71,[1]products!$D$2:$D$71)</f>
        <v>781</v>
      </c>
      <c r="H582" s="22">
        <v>45109</v>
      </c>
      <c r="I582" s="22" t="str">
        <f t="shared" si="45"/>
        <v>July</v>
      </c>
      <c r="J582" s="22" t="str">
        <f t="shared" si="46"/>
        <v>Sunday</v>
      </c>
      <c r="K582" s="23">
        <v>8.9155092592592591E-2</v>
      </c>
      <c r="L582" s="22">
        <v>45118</v>
      </c>
      <c r="M582" s="24">
        <f>HOUR(orders!$K582)</f>
        <v>2</v>
      </c>
      <c r="N582" s="22" t="str">
        <f t="shared" si="47"/>
        <v>July</v>
      </c>
      <c r="O582" s="23">
        <v>0.62290509259259264</v>
      </c>
      <c r="P582" s="23" t="str">
        <f>_xlfn.XLOOKUP(B582,[2]customers!$A$2:$A$101,[2]customers!$C$2:$C$101)</f>
        <v>Ahmednagar</v>
      </c>
      <c r="Q582" s="20" t="s">
        <v>133</v>
      </c>
      <c r="R582" s="20" t="s">
        <v>20</v>
      </c>
      <c r="S582" s="21">
        <f t="shared" si="48"/>
        <v>1562</v>
      </c>
      <c r="T582" s="25">
        <f t="shared" si="49"/>
        <v>9</v>
      </c>
    </row>
    <row r="583" spans="1:20" x14ac:dyDescent="0.3">
      <c r="A583" s="14">
        <v>582</v>
      </c>
      <c r="B583" s="14" t="s">
        <v>13</v>
      </c>
      <c r="C583" s="14">
        <v>3</v>
      </c>
      <c r="D583" s="14" t="s">
        <v>483</v>
      </c>
      <c r="E583" s="14" t="s">
        <v>429</v>
      </c>
      <c r="F583" s="14">
        <v>4</v>
      </c>
      <c r="G583" s="15">
        <f>_xlfn.XLOOKUP(C583,[1]products!$A$2:$A$71,[1]products!$D$2:$D$71)</f>
        <v>1534</v>
      </c>
      <c r="H583" s="16">
        <v>44961</v>
      </c>
      <c r="I583" s="16" t="str">
        <f t="shared" si="45"/>
        <v>February</v>
      </c>
      <c r="J583" s="16" t="str">
        <f t="shared" si="46"/>
        <v>Saturday</v>
      </c>
      <c r="K583" s="17">
        <v>0.77119212962962969</v>
      </c>
      <c r="L583" s="16">
        <v>44962</v>
      </c>
      <c r="M583" s="18">
        <f>HOUR(orders!$K583)</f>
        <v>18</v>
      </c>
      <c r="N583" s="16" t="str">
        <f t="shared" si="47"/>
        <v>February</v>
      </c>
      <c r="O583" s="17">
        <v>0.80325231481481485</v>
      </c>
      <c r="P583" s="17" t="str">
        <f>_xlfn.XLOOKUP(B583,[2]customers!$A$2:$A$101,[2]customers!$C$2:$C$101)</f>
        <v>Danapur</v>
      </c>
      <c r="Q583" s="14" t="s">
        <v>161</v>
      </c>
      <c r="R583" s="14" t="s">
        <v>23</v>
      </c>
      <c r="S583" s="15">
        <f t="shared" si="48"/>
        <v>6136</v>
      </c>
      <c r="T583" s="19">
        <f t="shared" si="49"/>
        <v>1</v>
      </c>
    </row>
    <row r="584" spans="1:20" x14ac:dyDescent="0.3">
      <c r="A584" s="20">
        <v>583</v>
      </c>
      <c r="B584" s="20" t="s">
        <v>343</v>
      </c>
      <c r="C584" s="20">
        <v>56</v>
      </c>
      <c r="D584" s="20" t="s">
        <v>436</v>
      </c>
      <c r="E584" s="20" t="s">
        <v>26</v>
      </c>
      <c r="F584" s="20">
        <v>4</v>
      </c>
      <c r="G584" s="21">
        <f>_xlfn.XLOOKUP(C584,[1]products!$A$2:$A$71,[1]products!$D$2:$D$71)</f>
        <v>1272</v>
      </c>
      <c r="H584" s="22">
        <v>45187</v>
      </c>
      <c r="I584" s="22" t="str">
        <f t="shared" si="45"/>
        <v>September</v>
      </c>
      <c r="J584" s="22" t="str">
        <f t="shared" si="46"/>
        <v>Monday</v>
      </c>
      <c r="K584" s="23">
        <v>0.69959490740740737</v>
      </c>
      <c r="L584" s="22">
        <v>45191</v>
      </c>
      <c r="M584" s="24">
        <f>HOUR(orders!$K584)</f>
        <v>16</v>
      </c>
      <c r="N584" s="22" t="str">
        <f t="shared" si="47"/>
        <v>September</v>
      </c>
      <c r="O584" s="23">
        <v>0.83232638888888888</v>
      </c>
      <c r="P584" s="23" t="str">
        <f>_xlfn.XLOOKUP(B584,[2]customers!$A$2:$A$101,[2]customers!$C$2:$C$101)</f>
        <v>Singrauli</v>
      </c>
      <c r="Q584" s="20" t="s">
        <v>318</v>
      </c>
      <c r="R584" s="20" t="s">
        <v>12</v>
      </c>
      <c r="S584" s="21">
        <f t="shared" si="48"/>
        <v>5088</v>
      </c>
      <c r="T584" s="25">
        <f t="shared" si="49"/>
        <v>4</v>
      </c>
    </row>
    <row r="585" spans="1:20" x14ac:dyDescent="0.3">
      <c r="A585" s="14">
        <v>584</v>
      </c>
      <c r="B585" s="14" t="s">
        <v>253</v>
      </c>
      <c r="C585" s="14">
        <v>34</v>
      </c>
      <c r="D585" s="14" t="s">
        <v>472</v>
      </c>
      <c r="E585" s="14" t="s">
        <v>445</v>
      </c>
      <c r="F585" s="14">
        <v>2</v>
      </c>
      <c r="G585" s="15">
        <f>_xlfn.XLOOKUP(C585,[1]products!$A$2:$A$71,[1]products!$D$2:$D$71)</f>
        <v>1335</v>
      </c>
      <c r="H585" s="16">
        <v>45161</v>
      </c>
      <c r="I585" s="16" t="str">
        <f t="shared" si="45"/>
        <v>August</v>
      </c>
      <c r="J585" s="16" t="str">
        <f t="shared" si="46"/>
        <v>Wednesday</v>
      </c>
      <c r="K585" s="17">
        <v>0.3190972222222222</v>
      </c>
      <c r="L585" s="16">
        <v>45165</v>
      </c>
      <c r="M585" s="18">
        <f>HOUR(orders!$K585)</f>
        <v>7</v>
      </c>
      <c r="N585" s="16" t="str">
        <f t="shared" si="47"/>
        <v>August</v>
      </c>
      <c r="O585" s="17">
        <v>0.67393518518518514</v>
      </c>
      <c r="P585" s="17" t="str">
        <f>_xlfn.XLOOKUP(B585,[2]customers!$A$2:$A$101,[2]customers!$C$2:$C$101)</f>
        <v>Nellore</v>
      </c>
      <c r="Q585" s="14" t="s">
        <v>347</v>
      </c>
      <c r="R585" s="14" t="s">
        <v>26</v>
      </c>
      <c r="S585" s="15">
        <f t="shared" si="48"/>
        <v>2670</v>
      </c>
      <c r="T585" s="19">
        <f t="shared" si="49"/>
        <v>4</v>
      </c>
    </row>
    <row r="586" spans="1:20" x14ac:dyDescent="0.3">
      <c r="A586" s="20">
        <v>585</v>
      </c>
      <c r="B586" s="20" t="s">
        <v>43</v>
      </c>
      <c r="C586" s="20">
        <v>63</v>
      </c>
      <c r="D586" s="20" t="s">
        <v>498</v>
      </c>
      <c r="E586" s="20" t="s">
        <v>427</v>
      </c>
      <c r="F586" s="20">
        <v>5</v>
      </c>
      <c r="G586" s="21">
        <f>_xlfn.XLOOKUP(C586,[1]products!$A$2:$A$71,[1]products!$D$2:$D$71)</f>
        <v>1348</v>
      </c>
      <c r="H586" s="22">
        <v>45042</v>
      </c>
      <c r="I586" s="22" t="str">
        <f t="shared" si="45"/>
        <v>April</v>
      </c>
      <c r="J586" s="22" t="str">
        <f t="shared" si="46"/>
        <v>Wednesday</v>
      </c>
      <c r="K586" s="23">
        <v>0.77269675925925929</v>
      </c>
      <c r="L586" s="22">
        <v>45047</v>
      </c>
      <c r="M586" s="24">
        <f>HOUR(orders!$K586)</f>
        <v>18</v>
      </c>
      <c r="N586" s="22" t="str">
        <f t="shared" si="47"/>
        <v>May</v>
      </c>
      <c r="O586" s="23">
        <v>7.784722222222222E-2</v>
      </c>
      <c r="P586" s="23" t="str">
        <f>_xlfn.XLOOKUP(B586,[2]customers!$A$2:$A$101,[2]customers!$C$2:$C$101)</f>
        <v>Mangalore</v>
      </c>
      <c r="Q586" s="20" t="s">
        <v>366</v>
      </c>
      <c r="R586" s="20" t="s">
        <v>60</v>
      </c>
      <c r="S586" s="21">
        <f t="shared" si="48"/>
        <v>6740</v>
      </c>
      <c r="T586" s="25">
        <f t="shared" si="49"/>
        <v>5</v>
      </c>
    </row>
    <row r="587" spans="1:20" x14ac:dyDescent="0.3">
      <c r="A587" s="14">
        <v>586</v>
      </c>
      <c r="B587" s="14" t="s">
        <v>239</v>
      </c>
      <c r="C587" s="14">
        <v>64</v>
      </c>
      <c r="D587" s="14" t="s">
        <v>492</v>
      </c>
      <c r="E587" s="14" t="s">
        <v>445</v>
      </c>
      <c r="F587" s="14">
        <v>5</v>
      </c>
      <c r="G587" s="15">
        <f>_xlfn.XLOOKUP(C587,[1]products!$A$2:$A$71,[1]products!$D$2:$D$71)</f>
        <v>1878</v>
      </c>
      <c r="H587" s="16">
        <v>45165</v>
      </c>
      <c r="I587" s="16" t="str">
        <f t="shared" si="45"/>
        <v>August</v>
      </c>
      <c r="J587" s="16" t="str">
        <f t="shared" si="46"/>
        <v>Sunday</v>
      </c>
      <c r="K587" s="17">
        <v>0.87821759259259258</v>
      </c>
      <c r="L587" s="16">
        <v>45173</v>
      </c>
      <c r="M587" s="18">
        <f>HOUR(orders!$K587)</f>
        <v>21</v>
      </c>
      <c r="N587" s="16" t="str">
        <f t="shared" si="47"/>
        <v>September</v>
      </c>
      <c r="O587" s="17">
        <v>0.68795138888888896</v>
      </c>
      <c r="P587" s="17" t="str">
        <f>_xlfn.XLOOKUP(B587,[2]customers!$A$2:$A$101,[2]customers!$C$2:$C$101)</f>
        <v>Kalyan-Dombivli</v>
      </c>
      <c r="Q587" s="14" t="s">
        <v>17</v>
      </c>
      <c r="R587" s="14" t="s">
        <v>26</v>
      </c>
      <c r="S587" s="15">
        <f t="shared" si="48"/>
        <v>9390</v>
      </c>
      <c r="T587" s="19">
        <f t="shared" si="49"/>
        <v>8</v>
      </c>
    </row>
    <row r="588" spans="1:20" x14ac:dyDescent="0.3">
      <c r="A588" s="20">
        <v>587</v>
      </c>
      <c r="B588" s="20" t="s">
        <v>58</v>
      </c>
      <c r="C588" s="20">
        <v>43</v>
      </c>
      <c r="D588" s="20" t="s">
        <v>434</v>
      </c>
      <c r="E588" s="20" t="s">
        <v>26</v>
      </c>
      <c r="F588" s="20">
        <v>1</v>
      </c>
      <c r="G588" s="21">
        <f>_xlfn.XLOOKUP(C588,[1]products!$A$2:$A$71,[1]products!$D$2:$D$71)</f>
        <v>750</v>
      </c>
      <c r="H588" s="22">
        <v>45232</v>
      </c>
      <c r="I588" s="22" t="str">
        <f t="shared" si="45"/>
        <v>November</v>
      </c>
      <c r="J588" s="22" t="str">
        <f t="shared" si="46"/>
        <v>Thursday</v>
      </c>
      <c r="K588" s="23">
        <v>3.5694444444444445E-2</v>
      </c>
      <c r="L588" s="22">
        <v>45233</v>
      </c>
      <c r="M588" s="24">
        <f>HOUR(orders!$K588)</f>
        <v>0</v>
      </c>
      <c r="N588" s="22" t="str">
        <f t="shared" si="47"/>
        <v>November</v>
      </c>
      <c r="O588" s="23">
        <v>0.44520833333333337</v>
      </c>
      <c r="P588" s="23" t="str">
        <f>_xlfn.XLOOKUP(B588,[2]customers!$A$2:$A$101,[2]customers!$C$2:$C$101)</f>
        <v>Nizamabad</v>
      </c>
      <c r="Q588" s="20" t="s">
        <v>324</v>
      </c>
      <c r="R588" s="20" t="s">
        <v>15</v>
      </c>
      <c r="S588" s="21">
        <f t="shared" si="48"/>
        <v>750</v>
      </c>
      <c r="T588" s="25">
        <f t="shared" si="49"/>
        <v>1</v>
      </c>
    </row>
    <row r="589" spans="1:20" x14ac:dyDescent="0.3">
      <c r="A589" s="14">
        <v>588</v>
      </c>
      <c r="B589" s="14" t="s">
        <v>45</v>
      </c>
      <c r="C589" s="14">
        <v>49</v>
      </c>
      <c r="D589" s="14" t="s">
        <v>463</v>
      </c>
      <c r="E589" s="14" t="s">
        <v>429</v>
      </c>
      <c r="F589" s="14">
        <v>5</v>
      </c>
      <c r="G589" s="15">
        <f>_xlfn.XLOOKUP(C589,[1]products!$A$2:$A$71,[1]products!$D$2:$D$71)</f>
        <v>903</v>
      </c>
      <c r="H589" s="16">
        <v>44961</v>
      </c>
      <c r="I589" s="16" t="str">
        <f t="shared" si="45"/>
        <v>February</v>
      </c>
      <c r="J589" s="16" t="str">
        <f t="shared" si="46"/>
        <v>Saturday</v>
      </c>
      <c r="K589" s="17">
        <v>0.27569444444444446</v>
      </c>
      <c r="L589" s="16">
        <v>44962</v>
      </c>
      <c r="M589" s="18">
        <f>HOUR(orders!$K589)</f>
        <v>6</v>
      </c>
      <c r="N589" s="16" t="str">
        <f t="shared" si="47"/>
        <v>February</v>
      </c>
      <c r="O589" s="17">
        <v>0.89024305555555561</v>
      </c>
      <c r="P589" s="17" t="str">
        <f>_xlfn.XLOOKUP(B589,[2]customers!$A$2:$A$101,[2]customers!$C$2:$C$101)</f>
        <v>Haridwar</v>
      </c>
      <c r="Q589" s="14" t="s">
        <v>173</v>
      </c>
      <c r="R589" s="14" t="s">
        <v>23</v>
      </c>
      <c r="S589" s="15">
        <f t="shared" si="48"/>
        <v>4515</v>
      </c>
      <c r="T589" s="19">
        <f t="shared" si="49"/>
        <v>1</v>
      </c>
    </row>
    <row r="590" spans="1:20" x14ac:dyDescent="0.3">
      <c r="A590" s="20">
        <v>589</v>
      </c>
      <c r="B590" s="20" t="s">
        <v>249</v>
      </c>
      <c r="C590" s="20">
        <v>40</v>
      </c>
      <c r="D590" s="20" t="s">
        <v>477</v>
      </c>
      <c r="E590" s="20" t="s">
        <v>427</v>
      </c>
      <c r="F590" s="20">
        <v>3</v>
      </c>
      <c r="G590" s="21">
        <f>_xlfn.XLOOKUP(C590,[1]products!$A$2:$A$71,[1]products!$D$2:$D$71)</f>
        <v>1923</v>
      </c>
      <c r="H590" s="22">
        <v>45269</v>
      </c>
      <c r="I590" s="22" t="str">
        <f t="shared" si="45"/>
        <v>December</v>
      </c>
      <c r="J590" s="22" t="str">
        <f t="shared" si="46"/>
        <v>Saturday</v>
      </c>
      <c r="K590" s="23">
        <v>0.89116898148148149</v>
      </c>
      <c r="L590" s="22">
        <v>45279</v>
      </c>
      <c r="M590" s="24">
        <f>HOUR(orders!$K590)</f>
        <v>21</v>
      </c>
      <c r="N590" s="22" t="str">
        <f t="shared" si="47"/>
        <v>December</v>
      </c>
      <c r="O590" s="23">
        <v>5.6643518518518517E-2</v>
      </c>
      <c r="P590" s="23" t="str">
        <f>_xlfn.XLOOKUP(B590,[2]customers!$A$2:$A$101,[2]customers!$C$2:$C$101)</f>
        <v>Tumkur</v>
      </c>
      <c r="Q590" s="20" t="s">
        <v>226</v>
      </c>
      <c r="R590" s="20" t="s">
        <v>12</v>
      </c>
      <c r="S590" s="21">
        <f t="shared" si="48"/>
        <v>5769</v>
      </c>
      <c r="T590" s="25">
        <f t="shared" si="49"/>
        <v>10</v>
      </c>
    </row>
    <row r="591" spans="1:20" x14ac:dyDescent="0.3">
      <c r="A591" s="14">
        <v>590</v>
      </c>
      <c r="B591" s="14" t="s">
        <v>90</v>
      </c>
      <c r="C591" s="14">
        <v>23</v>
      </c>
      <c r="D591" s="14" t="s">
        <v>441</v>
      </c>
      <c r="E591" s="14" t="s">
        <v>427</v>
      </c>
      <c r="F591" s="14">
        <v>2</v>
      </c>
      <c r="G591" s="15">
        <f>_xlfn.XLOOKUP(C591,[1]products!$A$2:$A$71,[1]products!$D$2:$D$71)</f>
        <v>1098</v>
      </c>
      <c r="H591" s="16">
        <v>44945</v>
      </c>
      <c r="I591" s="16" t="str">
        <f t="shared" si="45"/>
        <v>January</v>
      </c>
      <c r="J591" s="16" t="str">
        <f t="shared" si="46"/>
        <v>Thursday</v>
      </c>
      <c r="K591" s="17">
        <v>0.9002430555555555</v>
      </c>
      <c r="L591" s="16">
        <v>44949</v>
      </c>
      <c r="M591" s="18">
        <f>HOUR(orders!$K591)</f>
        <v>21</v>
      </c>
      <c r="N591" s="16" t="str">
        <f t="shared" si="47"/>
        <v>January</v>
      </c>
      <c r="O591" s="17">
        <v>0.2457175925925926</v>
      </c>
      <c r="P591" s="17" t="str">
        <f>_xlfn.XLOOKUP(B591,[2]customers!$A$2:$A$101,[2]customers!$C$2:$C$101)</f>
        <v>Karimnagar</v>
      </c>
      <c r="Q591" s="14" t="s">
        <v>59</v>
      </c>
      <c r="R591" s="14" t="s">
        <v>12</v>
      </c>
      <c r="S591" s="15">
        <f t="shared" si="48"/>
        <v>2196</v>
      </c>
      <c r="T591" s="19">
        <f t="shared" si="49"/>
        <v>4</v>
      </c>
    </row>
    <row r="592" spans="1:20" x14ac:dyDescent="0.3">
      <c r="A592" s="20">
        <v>591</v>
      </c>
      <c r="B592" s="20" t="s">
        <v>339</v>
      </c>
      <c r="C592" s="20">
        <v>31</v>
      </c>
      <c r="D592" s="20" t="s">
        <v>474</v>
      </c>
      <c r="E592" s="20" t="s">
        <v>429</v>
      </c>
      <c r="F592" s="20">
        <v>3</v>
      </c>
      <c r="G592" s="21">
        <f>_xlfn.XLOOKUP(C592,[1]products!$A$2:$A$71,[1]products!$D$2:$D$71)</f>
        <v>1804</v>
      </c>
      <c r="H592" s="22">
        <v>45113</v>
      </c>
      <c r="I592" s="22" t="str">
        <f t="shared" si="45"/>
        <v>July</v>
      </c>
      <c r="J592" s="22" t="str">
        <f t="shared" si="46"/>
        <v>Thursday</v>
      </c>
      <c r="K592" s="23">
        <v>0.53888888888888886</v>
      </c>
      <c r="L592" s="22">
        <v>45121</v>
      </c>
      <c r="M592" s="24">
        <f>HOUR(orders!$K592)</f>
        <v>12</v>
      </c>
      <c r="N592" s="22" t="str">
        <f t="shared" si="47"/>
        <v>July</v>
      </c>
      <c r="O592" s="23">
        <v>5.9027777777777778E-4</v>
      </c>
      <c r="P592" s="23" t="str">
        <f>_xlfn.XLOOKUP(B592,[2]customers!$A$2:$A$101,[2]customers!$C$2:$C$101)</f>
        <v>Bulandshahr</v>
      </c>
      <c r="Q592" s="20" t="s">
        <v>273</v>
      </c>
      <c r="R592" s="20" t="s">
        <v>60</v>
      </c>
      <c r="S592" s="21">
        <f t="shared" si="48"/>
        <v>5412</v>
      </c>
      <c r="T592" s="25">
        <f t="shared" si="49"/>
        <v>8</v>
      </c>
    </row>
    <row r="593" spans="1:20" x14ac:dyDescent="0.3">
      <c r="A593" s="14">
        <v>592</v>
      </c>
      <c r="B593" s="14" t="s">
        <v>220</v>
      </c>
      <c r="C593" s="14">
        <v>47</v>
      </c>
      <c r="D593" s="14" t="s">
        <v>480</v>
      </c>
      <c r="E593" s="14" t="s">
        <v>429</v>
      </c>
      <c r="F593" s="14">
        <v>5</v>
      </c>
      <c r="G593" s="15">
        <f>_xlfn.XLOOKUP(C593,[1]products!$A$2:$A$71,[1]products!$D$2:$D$71)</f>
        <v>1638</v>
      </c>
      <c r="H593" s="16">
        <v>44992</v>
      </c>
      <c r="I593" s="16" t="str">
        <f t="shared" si="45"/>
        <v>March</v>
      </c>
      <c r="J593" s="16" t="str">
        <f t="shared" si="46"/>
        <v>Tuesday</v>
      </c>
      <c r="K593" s="17">
        <v>0.14378472222222222</v>
      </c>
      <c r="L593" s="16">
        <v>44996</v>
      </c>
      <c r="M593" s="18">
        <f>HOUR(orders!$K593)</f>
        <v>3</v>
      </c>
      <c r="N593" s="16" t="str">
        <f t="shared" si="47"/>
        <v>March</v>
      </c>
      <c r="O593" s="17">
        <v>0.9037384259259259</v>
      </c>
      <c r="P593" s="17" t="str">
        <f>_xlfn.XLOOKUP(B593,[2]customers!$A$2:$A$101,[2]customers!$C$2:$C$101)</f>
        <v>Berhampore</v>
      </c>
      <c r="Q593" s="14" t="s">
        <v>384</v>
      </c>
      <c r="R593" s="14" t="s">
        <v>36</v>
      </c>
      <c r="S593" s="15">
        <f t="shared" si="48"/>
        <v>8190</v>
      </c>
      <c r="T593" s="19">
        <f t="shared" si="49"/>
        <v>4</v>
      </c>
    </row>
    <row r="594" spans="1:20" x14ac:dyDescent="0.3">
      <c r="A594" s="20">
        <v>593</v>
      </c>
      <c r="B594" s="20" t="s">
        <v>243</v>
      </c>
      <c r="C594" s="20">
        <v>58</v>
      </c>
      <c r="D594" s="20" t="s">
        <v>430</v>
      </c>
      <c r="E594" s="20" t="s">
        <v>431</v>
      </c>
      <c r="F594" s="20">
        <v>3</v>
      </c>
      <c r="G594" s="21">
        <f>_xlfn.XLOOKUP(C594,[1]products!$A$2:$A$71,[1]products!$D$2:$D$71)</f>
        <v>1492</v>
      </c>
      <c r="H594" s="22">
        <v>44962</v>
      </c>
      <c r="I594" s="22" t="str">
        <f t="shared" si="45"/>
        <v>February</v>
      </c>
      <c r="J594" s="22" t="str">
        <f t="shared" si="46"/>
        <v>Sunday</v>
      </c>
      <c r="K594" s="23">
        <v>0.72962962962962974</v>
      </c>
      <c r="L594" s="22">
        <v>44969</v>
      </c>
      <c r="M594" s="24">
        <f>HOUR(orders!$K594)</f>
        <v>17</v>
      </c>
      <c r="N594" s="22" t="str">
        <f t="shared" si="47"/>
        <v>February</v>
      </c>
      <c r="O594" s="23">
        <v>0.39864583333333337</v>
      </c>
      <c r="P594" s="23" t="str">
        <f>_xlfn.XLOOKUP(B594,[2]customers!$A$2:$A$101,[2]customers!$C$2:$C$101)</f>
        <v>Tenali</v>
      </c>
      <c r="Q594" s="20" t="s">
        <v>234</v>
      </c>
      <c r="R594" s="20" t="s">
        <v>23</v>
      </c>
      <c r="S594" s="21">
        <f t="shared" si="48"/>
        <v>4476</v>
      </c>
      <c r="T594" s="25">
        <f t="shared" si="49"/>
        <v>7</v>
      </c>
    </row>
    <row r="595" spans="1:20" x14ac:dyDescent="0.3">
      <c r="A595" s="14">
        <v>594</v>
      </c>
      <c r="B595" s="14" t="s">
        <v>150</v>
      </c>
      <c r="C595" s="14">
        <v>20</v>
      </c>
      <c r="D595" s="14" t="s">
        <v>439</v>
      </c>
      <c r="E595" s="14" t="s">
        <v>429</v>
      </c>
      <c r="F595" s="14">
        <v>2</v>
      </c>
      <c r="G595" s="15">
        <f>_xlfn.XLOOKUP(C595,[1]products!$A$2:$A$71,[1]products!$D$2:$D$71)</f>
        <v>697</v>
      </c>
      <c r="H595" s="16">
        <v>45072</v>
      </c>
      <c r="I595" s="16" t="str">
        <f t="shared" si="45"/>
        <v>May</v>
      </c>
      <c r="J595" s="16" t="str">
        <f t="shared" si="46"/>
        <v>Friday</v>
      </c>
      <c r="K595" s="17">
        <v>0.89309027777777772</v>
      </c>
      <c r="L595" s="16">
        <v>45078</v>
      </c>
      <c r="M595" s="18">
        <f>HOUR(orders!$K595)</f>
        <v>21</v>
      </c>
      <c r="N595" s="16" t="str">
        <f t="shared" si="47"/>
        <v>June</v>
      </c>
      <c r="O595" s="17">
        <v>0.20796296296296299</v>
      </c>
      <c r="P595" s="17" t="str">
        <f>_xlfn.XLOOKUP(B595,[2]customers!$A$2:$A$101,[2]customers!$C$2:$C$101)</f>
        <v>Satara</v>
      </c>
      <c r="Q595" s="14" t="s">
        <v>139</v>
      </c>
      <c r="R595" s="14" t="s">
        <v>12</v>
      </c>
      <c r="S595" s="15">
        <f t="shared" si="48"/>
        <v>1394</v>
      </c>
      <c r="T595" s="19">
        <f t="shared" si="49"/>
        <v>6</v>
      </c>
    </row>
    <row r="596" spans="1:20" x14ac:dyDescent="0.3">
      <c r="A596" s="20">
        <v>595</v>
      </c>
      <c r="B596" s="20" t="s">
        <v>200</v>
      </c>
      <c r="C596" s="20">
        <v>51</v>
      </c>
      <c r="D596" s="20" t="s">
        <v>469</v>
      </c>
      <c r="E596" s="20" t="s">
        <v>445</v>
      </c>
      <c r="F596" s="20">
        <v>4</v>
      </c>
      <c r="G596" s="21">
        <f>_xlfn.XLOOKUP(C596,[1]products!$A$2:$A$71,[1]products!$D$2:$D$71)</f>
        <v>1084</v>
      </c>
      <c r="H596" s="22">
        <v>45238</v>
      </c>
      <c r="I596" s="22" t="str">
        <f t="shared" si="45"/>
        <v>November</v>
      </c>
      <c r="J596" s="22" t="str">
        <f t="shared" si="46"/>
        <v>Wednesday</v>
      </c>
      <c r="K596" s="23">
        <v>0.5759143518518518</v>
      </c>
      <c r="L596" s="22">
        <v>45245</v>
      </c>
      <c r="M596" s="24">
        <f>HOUR(orders!$K596)</f>
        <v>13</v>
      </c>
      <c r="N596" s="22" t="str">
        <f t="shared" si="47"/>
        <v>November</v>
      </c>
      <c r="O596" s="23">
        <v>0.17119212962962962</v>
      </c>
      <c r="P596" s="23" t="str">
        <f>_xlfn.XLOOKUP(B596,[2]customers!$A$2:$A$101,[2]customers!$C$2:$C$101)</f>
        <v>Khandwa</v>
      </c>
      <c r="Q596" s="20" t="s">
        <v>193</v>
      </c>
      <c r="R596" s="20" t="s">
        <v>60</v>
      </c>
      <c r="S596" s="21">
        <f t="shared" si="48"/>
        <v>4336</v>
      </c>
      <c r="T596" s="25">
        <f t="shared" si="49"/>
        <v>7</v>
      </c>
    </row>
    <row r="597" spans="1:20" x14ac:dyDescent="0.3">
      <c r="A597" s="14">
        <v>596</v>
      </c>
      <c r="B597" s="14" t="s">
        <v>88</v>
      </c>
      <c r="C597" s="14">
        <v>50</v>
      </c>
      <c r="D597" s="14" t="s">
        <v>487</v>
      </c>
      <c r="E597" s="14" t="s">
        <v>447</v>
      </c>
      <c r="F597" s="14">
        <v>1</v>
      </c>
      <c r="G597" s="15">
        <f>_xlfn.XLOOKUP(C597,[1]products!$A$2:$A$71,[1]products!$D$2:$D$71)</f>
        <v>422</v>
      </c>
      <c r="H597" s="16">
        <v>44990</v>
      </c>
      <c r="I597" s="16" t="str">
        <f t="shared" si="45"/>
        <v>March</v>
      </c>
      <c r="J597" s="16" t="str">
        <f t="shared" si="46"/>
        <v>Sunday</v>
      </c>
      <c r="K597" s="17">
        <v>0.62339120370370371</v>
      </c>
      <c r="L597" s="16">
        <v>44999</v>
      </c>
      <c r="M597" s="18">
        <f>HOUR(orders!$K597)</f>
        <v>14</v>
      </c>
      <c r="N597" s="16" t="str">
        <f t="shared" si="47"/>
        <v>March</v>
      </c>
      <c r="O597" s="17">
        <v>0.74912037037037038</v>
      </c>
      <c r="P597" s="17" t="str">
        <f>_xlfn.XLOOKUP(B597,[2]customers!$A$2:$A$101,[2]customers!$C$2:$C$101)</f>
        <v>Guna</v>
      </c>
      <c r="Q597" s="14" t="s">
        <v>197</v>
      </c>
      <c r="R597" s="14" t="s">
        <v>36</v>
      </c>
      <c r="S597" s="15">
        <f t="shared" si="48"/>
        <v>422</v>
      </c>
      <c r="T597" s="19">
        <f t="shared" si="49"/>
        <v>9</v>
      </c>
    </row>
    <row r="598" spans="1:20" x14ac:dyDescent="0.3">
      <c r="A598" s="20">
        <v>597</v>
      </c>
      <c r="B598" s="20" t="s">
        <v>118</v>
      </c>
      <c r="C598" s="20">
        <v>16</v>
      </c>
      <c r="D598" s="20" t="s">
        <v>437</v>
      </c>
      <c r="E598" s="20" t="s">
        <v>427</v>
      </c>
      <c r="F598" s="20">
        <v>1</v>
      </c>
      <c r="G598" s="21">
        <f>_xlfn.XLOOKUP(C598,[1]products!$A$2:$A$71,[1]products!$D$2:$D$71)</f>
        <v>1721</v>
      </c>
      <c r="H598" s="22">
        <v>44986</v>
      </c>
      <c r="I598" s="22" t="str">
        <f t="shared" si="45"/>
        <v>March</v>
      </c>
      <c r="J598" s="22" t="str">
        <f t="shared" si="46"/>
        <v>Wednesday</v>
      </c>
      <c r="K598" s="23">
        <v>4.5752314814814815E-2</v>
      </c>
      <c r="L598" s="22">
        <v>44991</v>
      </c>
      <c r="M598" s="24">
        <f>HOUR(orders!$K598)</f>
        <v>1</v>
      </c>
      <c r="N598" s="22" t="str">
        <f t="shared" si="47"/>
        <v>March</v>
      </c>
      <c r="O598" s="23">
        <v>0.11787037037037036</v>
      </c>
      <c r="P598" s="23" t="str">
        <f>_xlfn.XLOOKUP(B598,[2]customers!$A$2:$A$101,[2]customers!$C$2:$C$101)</f>
        <v>Sultan Pur Majra</v>
      </c>
      <c r="Q598" s="20" t="s">
        <v>367</v>
      </c>
      <c r="R598" s="20" t="s">
        <v>36</v>
      </c>
      <c r="S598" s="21">
        <f t="shared" si="48"/>
        <v>1721</v>
      </c>
      <c r="T598" s="25">
        <f t="shared" si="49"/>
        <v>5</v>
      </c>
    </row>
    <row r="599" spans="1:20" x14ac:dyDescent="0.3">
      <c r="A599" s="14">
        <v>598</v>
      </c>
      <c r="B599" s="14" t="s">
        <v>54</v>
      </c>
      <c r="C599" s="14">
        <v>37</v>
      </c>
      <c r="D599" s="14" t="s">
        <v>459</v>
      </c>
      <c r="E599" s="14" t="s">
        <v>429</v>
      </c>
      <c r="F599" s="14">
        <v>3</v>
      </c>
      <c r="G599" s="15">
        <f>_xlfn.XLOOKUP(C599,[1]products!$A$2:$A$71,[1]products!$D$2:$D$71)</f>
        <v>1428</v>
      </c>
      <c r="H599" s="16">
        <v>45241</v>
      </c>
      <c r="I599" s="16" t="str">
        <f t="shared" si="45"/>
        <v>November</v>
      </c>
      <c r="J599" s="16" t="str">
        <f t="shared" si="46"/>
        <v>Saturday</v>
      </c>
      <c r="K599" s="17">
        <v>0.11901620370370369</v>
      </c>
      <c r="L599" s="16">
        <v>45248</v>
      </c>
      <c r="M599" s="18">
        <f>HOUR(orders!$K599)</f>
        <v>2</v>
      </c>
      <c r="N599" s="16" t="str">
        <f t="shared" si="47"/>
        <v>November</v>
      </c>
      <c r="O599" s="17">
        <v>0.91211805555555558</v>
      </c>
      <c r="P599" s="17" t="str">
        <f>_xlfn.XLOOKUP(B599,[2]customers!$A$2:$A$101,[2]customers!$C$2:$C$101)</f>
        <v>Bidhannagar</v>
      </c>
      <c r="Q599" s="14" t="s">
        <v>107</v>
      </c>
      <c r="R599" s="14" t="s">
        <v>15</v>
      </c>
      <c r="S599" s="15">
        <f t="shared" si="48"/>
        <v>4284</v>
      </c>
      <c r="T599" s="19">
        <f t="shared" si="49"/>
        <v>7</v>
      </c>
    </row>
    <row r="600" spans="1:20" x14ac:dyDescent="0.3">
      <c r="A600" s="20">
        <v>599</v>
      </c>
      <c r="B600" s="20" t="s">
        <v>251</v>
      </c>
      <c r="C600" s="20">
        <v>34</v>
      </c>
      <c r="D600" s="20" t="s">
        <v>472</v>
      </c>
      <c r="E600" s="20" t="s">
        <v>445</v>
      </c>
      <c r="F600" s="20">
        <v>1</v>
      </c>
      <c r="G600" s="21">
        <f>_xlfn.XLOOKUP(C600,[1]products!$A$2:$A$71,[1]products!$D$2:$D$71)</f>
        <v>1335</v>
      </c>
      <c r="H600" s="22">
        <v>45159</v>
      </c>
      <c r="I600" s="22" t="str">
        <f t="shared" si="45"/>
        <v>August</v>
      </c>
      <c r="J600" s="22" t="str">
        <f t="shared" si="46"/>
        <v>Monday</v>
      </c>
      <c r="K600" s="23">
        <v>0.81416666666666659</v>
      </c>
      <c r="L600" s="22">
        <v>45162</v>
      </c>
      <c r="M600" s="24">
        <f>HOUR(orders!$K600)</f>
        <v>19</v>
      </c>
      <c r="N600" s="22" t="str">
        <f t="shared" si="47"/>
        <v>August</v>
      </c>
      <c r="O600" s="23">
        <v>0.50962962962962965</v>
      </c>
      <c r="P600" s="23" t="str">
        <f>_xlfn.XLOOKUP(B600,[2]customers!$A$2:$A$101,[2]customers!$C$2:$C$101)</f>
        <v>Miryalaguda</v>
      </c>
      <c r="Q600" s="20" t="s">
        <v>269</v>
      </c>
      <c r="R600" s="20" t="s">
        <v>26</v>
      </c>
      <c r="S600" s="21">
        <f t="shared" si="48"/>
        <v>1335</v>
      </c>
      <c r="T600" s="25">
        <f t="shared" si="49"/>
        <v>3</v>
      </c>
    </row>
    <row r="601" spans="1:20" x14ac:dyDescent="0.3">
      <c r="A601" s="14">
        <v>600</v>
      </c>
      <c r="B601" s="14" t="s">
        <v>109</v>
      </c>
      <c r="C601" s="14">
        <v>47</v>
      </c>
      <c r="D601" s="14" t="s">
        <v>480</v>
      </c>
      <c r="E601" s="14" t="s">
        <v>429</v>
      </c>
      <c r="F601" s="14">
        <v>4</v>
      </c>
      <c r="G601" s="15">
        <f>_xlfn.XLOOKUP(C601,[1]products!$A$2:$A$71,[1]products!$D$2:$D$71)</f>
        <v>1638</v>
      </c>
      <c r="H601" s="16">
        <v>44992</v>
      </c>
      <c r="I601" s="16" t="str">
        <f t="shared" si="45"/>
        <v>March</v>
      </c>
      <c r="J601" s="16" t="str">
        <f t="shared" si="46"/>
        <v>Tuesday</v>
      </c>
      <c r="K601" s="17">
        <v>0.89211805555555557</v>
      </c>
      <c r="L601" s="16">
        <v>44994</v>
      </c>
      <c r="M601" s="18">
        <f>HOUR(orders!$K601)</f>
        <v>21</v>
      </c>
      <c r="N601" s="16" t="str">
        <f t="shared" si="47"/>
        <v>March</v>
      </c>
      <c r="O601" s="17">
        <v>0.63702546296296292</v>
      </c>
      <c r="P601" s="17" t="str">
        <f>_xlfn.XLOOKUP(B601,[2]customers!$A$2:$A$101,[2]customers!$C$2:$C$101)</f>
        <v>Warangal</v>
      </c>
      <c r="Q601" s="14" t="s">
        <v>385</v>
      </c>
      <c r="R601" s="14" t="s">
        <v>36</v>
      </c>
      <c r="S601" s="15">
        <f t="shared" si="48"/>
        <v>6552</v>
      </c>
      <c r="T601" s="19">
        <f t="shared" si="49"/>
        <v>2</v>
      </c>
    </row>
    <row r="602" spans="1:20" x14ac:dyDescent="0.3">
      <c r="A602" s="20">
        <v>601</v>
      </c>
      <c r="B602" s="20" t="s">
        <v>188</v>
      </c>
      <c r="C602" s="20">
        <v>1</v>
      </c>
      <c r="D602" s="20" t="s">
        <v>479</v>
      </c>
      <c r="E602" s="20" t="s">
        <v>445</v>
      </c>
      <c r="F602" s="20">
        <v>4</v>
      </c>
      <c r="G602" s="21">
        <f>_xlfn.XLOOKUP(C602,[1]products!$A$2:$A$71,[1]products!$D$2:$D$71)</f>
        <v>1935</v>
      </c>
      <c r="H602" s="22">
        <v>44999</v>
      </c>
      <c r="I602" s="22" t="str">
        <f t="shared" si="45"/>
        <v>March</v>
      </c>
      <c r="J602" s="22" t="str">
        <f t="shared" si="46"/>
        <v>Tuesday</v>
      </c>
      <c r="K602" s="23">
        <v>0.10957175925925926</v>
      </c>
      <c r="L602" s="22">
        <v>45003</v>
      </c>
      <c r="M602" s="24">
        <f>HOUR(orders!$K602)</f>
        <v>2</v>
      </c>
      <c r="N602" s="22" t="str">
        <f t="shared" si="47"/>
        <v>March</v>
      </c>
      <c r="O602" s="23">
        <v>0.15083333333333335</v>
      </c>
      <c r="P602" s="23" t="str">
        <f>_xlfn.XLOOKUP(B602,[2]customers!$A$2:$A$101,[2]customers!$C$2:$C$101)</f>
        <v>Sambhal</v>
      </c>
      <c r="Q602" s="20" t="s">
        <v>240</v>
      </c>
      <c r="R602" s="20" t="s">
        <v>60</v>
      </c>
      <c r="S602" s="21">
        <f t="shared" si="48"/>
        <v>7740</v>
      </c>
      <c r="T602" s="25">
        <f t="shared" si="49"/>
        <v>4</v>
      </c>
    </row>
    <row r="603" spans="1:20" x14ac:dyDescent="0.3">
      <c r="A603" s="14">
        <v>602</v>
      </c>
      <c r="B603" s="14" t="s">
        <v>40</v>
      </c>
      <c r="C603" s="14">
        <v>43</v>
      </c>
      <c r="D603" s="14" t="s">
        <v>434</v>
      </c>
      <c r="E603" s="14" t="s">
        <v>26</v>
      </c>
      <c r="F603" s="14">
        <v>5</v>
      </c>
      <c r="G603" s="15">
        <f>_xlfn.XLOOKUP(C603,[1]products!$A$2:$A$71,[1]products!$D$2:$D$71)</f>
        <v>750</v>
      </c>
      <c r="H603" s="16">
        <v>45232</v>
      </c>
      <c r="I603" s="16" t="str">
        <f t="shared" si="45"/>
        <v>November</v>
      </c>
      <c r="J603" s="16" t="str">
        <f t="shared" si="46"/>
        <v>Thursday</v>
      </c>
      <c r="K603" s="17">
        <v>0.42876157407407406</v>
      </c>
      <c r="L603" s="16">
        <v>45241</v>
      </c>
      <c r="M603" s="18">
        <f>HOUR(orders!$K603)</f>
        <v>10</v>
      </c>
      <c r="N603" s="16" t="str">
        <f t="shared" si="47"/>
        <v>November</v>
      </c>
      <c r="O603" s="17">
        <v>0.25138888888888888</v>
      </c>
      <c r="P603" s="17" t="str">
        <f>_xlfn.XLOOKUP(B603,[2]customers!$A$2:$A$101,[2]customers!$C$2:$C$101)</f>
        <v>Ajmer</v>
      </c>
      <c r="Q603" s="14" t="s">
        <v>358</v>
      </c>
      <c r="R603" s="14" t="s">
        <v>15</v>
      </c>
      <c r="S603" s="15">
        <f t="shared" si="48"/>
        <v>3750</v>
      </c>
      <c r="T603" s="19">
        <f t="shared" si="49"/>
        <v>9</v>
      </c>
    </row>
    <row r="604" spans="1:20" x14ac:dyDescent="0.3">
      <c r="A604" s="20">
        <v>603</v>
      </c>
      <c r="B604" s="20" t="s">
        <v>275</v>
      </c>
      <c r="C604" s="20">
        <v>8</v>
      </c>
      <c r="D604" s="20" t="s">
        <v>454</v>
      </c>
      <c r="E604" s="20" t="s">
        <v>427</v>
      </c>
      <c r="F604" s="20">
        <v>3</v>
      </c>
      <c r="G604" s="21">
        <f>_xlfn.XLOOKUP(C604,[1]products!$A$2:$A$71,[1]products!$D$2:$D$71)</f>
        <v>252</v>
      </c>
      <c r="H604" s="22">
        <v>45075</v>
      </c>
      <c r="I604" s="22" t="str">
        <f t="shared" si="45"/>
        <v>May</v>
      </c>
      <c r="J604" s="22" t="str">
        <f t="shared" si="46"/>
        <v>Monday</v>
      </c>
      <c r="K604" s="23">
        <v>0.22496527777777778</v>
      </c>
      <c r="L604" s="22">
        <v>45084</v>
      </c>
      <c r="M604" s="24">
        <f>HOUR(orders!$K604)</f>
        <v>5</v>
      </c>
      <c r="N604" s="22" t="str">
        <f t="shared" si="47"/>
        <v>June</v>
      </c>
      <c r="O604" s="23">
        <v>0.6352430555555556</v>
      </c>
      <c r="P604" s="23" t="str">
        <f>_xlfn.XLOOKUP(B604,[2]customers!$A$2:$A$101,[2]customers!$C$2:$C$101)</f>
        <v>Bhilai</v>
      </c>
      <c r="Q604" s="20" t="s">
        <v>229</v>
      </c>
      <c r="R604" s="20" t="s">
        <v>12</v>
      </c>
      <c r="S604" s="21">
        <f t="shared" si="48"/>
        <v>756</v>
      </c>
      <c r="T604" s="25">
        <f t="shared" si="49"/>
        <v>9</v>
      </c>
    </row>
    <row r="605" spans="1:20" x14ac:dyDescent="0.3">
      <c r="A605" s="14">
        <v>604</v>
      </c>
      <c r="B605" s="14" t="s">
        <v>41</v>
      </c>
      <c r="C605" s="14">
        <v>39</v>
      </c>
      <c r="D605" s="14" t="s">
        <v>478</v>
      </c>
      <c r="E605" s="14" t="s">
        <v>458</v>
      </c>
      <c r="F605" s="14">
        <v>3</v>
      </c>
      <c r="G605" s="15">
        <f>_xlfn.XLOOKUP(C605,[1]products!$A$2:$A$71,[1]products!$D$2:$D$71)</f>
        <v>387</v>
      </c>
      <c r="H605" s="16">
        <v>44957</v>
      </c>
      <c r="I605" s="16" t="str">
        <f t="shared" si="45"/>
        <v>January</v>
      </c>
      <c r="J605" s="16" t="str">
        <f t="shared" si="46"/>
        <v>Tuesday</v>
      </c>
      <c r="K605" s="17">
        <v>0.82981481481481489</v>
      </c>
      <c r="L605" s="16">
        <v>44960</v>
      </c>
      <c r="M605" s="18">
        <f>HOUR(orders!$K605)</f>
        <v>19</v>
      </c>
      <c r="N605" s="16" t="str">
        <f t="shared" si="47"/>
        <v>February</v>
      </c>
      <c r="O605" s="17">
        <v>0.89210648148148142</v>
      </c>
      <c r="P605" s="17" t="str">
        <f>_xlfn.XLOOKUP(B605,[2]customers!$A$2:$A$101,[2]customers!$C$2:$C$101)</f>
        <v>Madhyamgram</v>
      </c>
      <c r="Q605" s="14" t="s">
        <v>386</v>
      </c>
      <c r="R605" s="14" t="s">
        <v>60</v>
      </c>
      <c r="S605" s="15">
        <f t="shared" si="48"/>
        <v>1161</v>
      </c>
      <c r="T605" s="19">
        <f t="shared" si="49"/>
        <v>3</v>
      </c>
    </row>
    <row r="606" spans="1:20" x14ac:dyDescent="0.3">
      <c r="A606" s="20">
        <v>605</v>
      </c>
      <c r="B606" s="20" t="s">
        <v>239</v>
      </c>
      <c r="C606" s="20">
        <v>45</v>
      </c>
      <c r="D606" s="20" t="s">
        <v>433</v>
      </c>
      <c r="E606" s="20" t="s">
        <v>26</v>
      </c>
      <c r="F606" s="20">
        <v>2</v>
      </c>
      <c r="G606" s="21">
        <f>_xlfn.XLOOKUP(C606,[1]products!$A$2:$A$71,[1]products!$D$2:$D$71)</f>
        <v>722</v>
      </c>
      <c r="H606" s="22">
        <v>45281</v>
      </c>
      <c r="I606" s="22" t="str">
        <f t="shared" si="45"/>
        <v>December</v>
      </c>
      <c r="J606" s="22" t="str">
        <f t="shared" si="46"/>
        <v>Thursday</v>
      </c>
      <c r="K606" s="23">
        <v>0.93131944444444448</v>
      </c>
      <c r="L606" s="22">
        <v>45285</v>
      </c>
      <c r="M606" s="24">
        <f>HOUR(orders!$K606)</f>
        <v>22</v>
      </c>
      <c r="N606" s="22" t="str">
        <f t="shared" si="47"/>
        <v>December</v>
      </c>
      <c r="O606" s="23">
        <v>0.86774305555555553</v>
      </c>
      <c r="P606" s="23" t="str">
        <f>_xlfn.XLOOKUP(B606,[2]customers!$A$2:$A$101,[2]customers!$C$2:$C$101)</f>
        <v>Kalyan-Dombivli</v>
      </c>
      <c r="Q606" s="20" t="s">
        <v>387</v>
      </c>
      <c r="R606" s="20" t="s">
        <v>20</v>
      </c>
      <c r="S606" s="21">
        <f t="shared" si="48"/>
        <v>1444</v>
      </c>
      <c r="T606" s="25">
        <f t="shared" si="49"/>
        <v>4</v>
      </c>
    </row>
    <row r="607" spans="1:20" x14ac:dyDescent="0.3">
      <c r="A607" s="14">
        <v>606</v>
      </c>
      <c r="B607" s="14" t="s">
        <v>72</v>
      </c>
      <c r="C607" s="14">
        <v>3</v>
      </c>
      <c r="D607" s="14" t="s">
        <v>483</v>
      </c>
      <c r="E607" s="14" t="s">
        <v>429</v>
      </c>
      <c r="F607" s="14">
        <v>5</v>
      </c>
      <c r="G607" s="15">
        <f>_xlfn.XLOOKUP(C607,[1]products!$A$2:$A$71,[1]products!$D$2:$D$71)</f>
        <v>1534</v>
      </c>
      <c r="H607" s="16">
        <v>44965</v>
      </c>
      <c r="I607" s="16" t="str">
        <f t="shared" si="45"/>
        <v>February</v>
      </c>
      <c r="J607" s="16" t="str">
        <f t="shared" si="46"/>
        <v>Wednesday</v>
      </c>
      <c r="K607" s="17">
        <v>9.2511574074074066E-2</v>
      </c>
      <c r="L607" s="16">
        <v>44974</v>
      </c>
      <c r="M607" s="18">
        <f>HOUR(orders!$K607)</f>
        <v>2</v>
      </c>
      <c r="N607" s="16" t="str">
        <f t="shared" si="47"/>
        <v>February</v>
      </c>
      <c r="O607" s="17">
        <v>0.31356481481481485</v>
      </c>
      <c r="P607" s="17" t="str">
        <f>_xlfn.XLOOKUP(B607,[2]customers!$A$2:$A$101,[2]customers!$C$2:$C$101)</f>
        <v>Jorhat</v>
      </c>
      <c r="Q607" s="14" t="s">
        <v>89</v>
      </c>
      <c r="R607" s="14" t="s">
        <v>23</v>
      </c>
      <c r="S607" s="15">
        <f t="shared" si="48"/>
        <v>7670</v>
      </c>
      <c r="T607" s="19">
        <f t="shared" si="49"/>
        <v>9</v>
      </c>
    </row>
    <row r="608" spans="1:20" x14ac:dyDescent="0.3">
      <c r="A608" s="20">
        <v>607</v>
      </c>
      <c r="B608" s="20" t="s">
        <v>134</v>
      </c>
      <c r="C608" s="20">
        <v>50</v>
      </c>
      <c r="D608" s="20" t="s">
        <v>487</v>
      </c>
      <c r="E608" s="20" t="s">
        <v>447</v>
      </c>
      <c r="F608" s="20">
        <v>3</v>
      </c>
      <c r="G608" s="21">
        <f>_xlfn.XLOOKUP(C608,[1]products!$A$2:$A$71,[1]products!$D$2:$D$71)</f>
        <v>422</v>
      </c>
      <c r="H608" s="22">
        <v>44988</v>
      </c>
      <c r="I608" s="22" t="str">
        <f t="shared" si="45"/>
        <v>March</v>
      </c>
      <c r="J608" s="22" t="str">
        <f t="shared" si="46"/>
        <v>Friday</v>
      </c>
      <c r="K608" s="23">
        <v>7.6678240740740741E-2</v>
      </c>
      <c r="L608" s="22">
        <v>44990</v>
      </c>
      <c r="M608" s="24">
        <f>HOUR(orders!$K608)</f>
        <v>1</v>
      </c>
      <c r="N608" s="22" t="str">
        <f t="shared" si="47"/>
        <v>March</v>
      </c>
      <c r="O608" s="23">
        <v>0.41175925925925921</v>
      </c>
      <c r="P608" s="23" t="str">
        <f>_xlfn.XLOOKUP(B608,[2]customers!$A$2:$A$101,[2]customers!$C$2:$C$101)</f>
        <v>Noida</v>
      </c>
      <c r="Q608" s="20" t="s">
        <v>338</v>
      </c>
      <c r="R608" s="20" t="s">
        <v>36</v>
      </c>
      <c r="S608" s="21">
        <f t="shared" si="48"/>
        <v>1266</v>
      </c>
      <c r="T608" s="25">
        <f t="shared" si="49"/>
        <v>2</v>
      </c>
    </row>
    <row r="609" spans="1:20" x14ac:dyDescent="0.3">
      <c r="A609" s="14">
        <v>608</v>
      </c>
      <c r="B609" s="14" t="s">
        <v>188</v>
      </c>
      <c r="C609" s="14">
        <v>55</v>
      </c>
      <c r="D609" s="14" t="s">
        <v>491</v>
      </c>
      <c r="E609" s="14" t="s">
        <v>445</v>
      </c>
      <c r="F609" s="14">
        <v>5</v>
      </c>
      <c r="G609" s="15">
        <f>_xlfn.XLOOKUP(C609,[1]products!$A$2:$A$71,[1]products!$D$2:$D$71)</f>
        <v>1904</v>
      </c>
      <c r="H609" s="16">
        <v>45166</v>
      </c>
      <c r="I609" s="16" t="str">
        <f t="shared" si="45"/>
        <v>August</v>
      </c>
      <c r="J609" s="16" t="str">
        <f t="shared" si="46"/>
        <v>Monday</v>
      </c>
      <c r="K609" s="17">
        <v>0.85434027777777777</v>
      </c>
      <c r="L609" s="16">
        <v>45170</v>
      </c>
      <c r="M609" s="18">
        <f>HOUR(orders!$K609)</f>
        <v>20</v>
      </c>
      <c r="N609" s="16" t="str">
        <f t="shared" si="47"/>
        <v>September</v>
      </c>
      <c r="O609" s="17">
        <v>0.30162037037037037</v>
      </c>
      <c r="P609" s="17" t="str">
        <f>_xlfn.XLOOKUP(B609,[2]customers!$A$2:$A$101,[2]customers!$C$2:$C$101)</f>
        <v>Sambhal</v>
      </c>
      <c r="Q609" s="14" t="s">
        <v>245</v>
      </c>
      <c r="R609" s="14" t="s">
        <v>26</v>
      </c>
      <c r="S609" s="15">
        <f t="shared" si="48"/>
        <v>9520</v>
      </c>
      <c r="T609" s="19">
        <f t="shared" si="49"/>
        <v>4</v>
      </c>
    </row>
    <row r="610" spans="1:20" x14ac:dyDescent="0.3">
      <c r="A610" s="20">
        <v>609</v>
      </c>
      <c r="B610" s="20" t="s">
        <v>38</v>
      </c>
      <c r="C610" s="20">
        <v>25</v>
      </c>
      <c r="D610" s="20" t="s">
        <v>471</v>
      </c>
      <c r="E610" s="20" t="s">
        <v>447</v>
      </c>
      <c r="F610" s="20">
        <v>5</v>
      </c>
      <c r="G610" s="21">
        <f>_xlfn.XLOOKUP(C610,[1]products!$A$2:$A$71,[1]products!$D$2:$D$71)</f>
        <v>1202</v>
      </c>
      <c r="H610" s="22">
        <v>45226</v>
      </c>
      <c r="I610" s="22" t="str">
        <f t="shared" si="45"/>
        <v>October</v>
      </c>
      <c r="J610" s="22" t="str">
        <f t="shared" si="46"/>
        <v>Friday</v>
      </c>
      <c r="K610" s="23">
        <v>0.46453703703703703</v>
      </c>
      <c r="L610" s="22">
        <v>45227</v>
      </c>
      <c r="M610" s="24">
        <f>HOUR(orders!$K610)</f>
        <v>11</v>
      </c>
      <c r="N610" s="22" t="str">
        <f t="shared" si="47"/>
        <v>October</v>
      </c>
      <c r="O610" s="23">
        <v>0.99091435185185184</v>
      </c>
      <c r="P610" s="23" t="str">
        <f>_xlfn.XLOOKUP(B610,[2]customers!$A$2:$A$101,[2]customers!$C$2:$C$101)</f>
        <v>Kavali</v>
      </c>
      <c r="Q610" s="20" t="s">
        <v>357</v>
      </c>
      <c r="R610" s="20" t="s">
        <v>12</v>
      </c>
      <c r="S610" s="21">
        <f t="shared" si="48"/>
        <v>6010</v>
      </c>
      <c r="T610" s="25">
        <f t="shared" si="49"/>
        <v>1</v>
      </c>
    </row>
    <row r="611" spans="1:20" x14ac:dyDescent="0.3">
      <c r="A611" s="14">
        <v>610</v>
      </c>
      <c r="B611" s="14" t="s">
        <v>239</v>
      </c>
      <c r="C611" s="14">
        <v>5</v>
      </c>
      <c r="D611" s="14" t="s">
        <v>467</v>
      </c>
      <c r="E611" s="14" t="s">
        <v>429</v>
      </c>
      <c r="F611" s="14">
        <v>3</v>
      </c>
      <c r="G611" s="15">
        <f>_xlfn.XLOOKUP(C611,[1]products!$A$2:$A$71,[1]products!$D$2:$D$71)</f>
        <v>1444</v>
      </c>
      <c r="H611" s="16">
        <v>44929</v>
      </c>
      <c r="I611" s="16" t="str">
        <f t="shared" si="45"/>
        <v>January</v>
      </c>
      <c r="J611" s="16" t="str">
        <f t="shared" si="46"/>
        <v>Tuesday</v>
      </c>
      <c r="K611" s="17">
        <v>0.72616898148148146</v>
      </c>
      <c r="L611" s="16">
        <v>44931</v>
      </c>
      <c r="M611" s="18">
        <f>HOUR(orders!$K611)</f>
        <v>17</v>
      </c>
      <c r="N611" s="16" t="str">
        <f t="shared" si="47"/>
        <v>January</v>
      </c>
      <c r="O611" s="17">
        <v>8.0555555555555554E-3</v>
      </c>
      <c r="P611" s="17" t="str">
        <f>_xlfn.XLOOKUP(B611,[2]customers!$A$2:$A$101,[2]customers!$C$2:$C$101)</f>
        <v>Kalyan-Dombivli</v>
      </c>
      <c r="Q611" s="14" t="s">
        <v>25</v>
      </c>
      <c r="R611" s="14" t="s">
        <v>60</v>
      </c>
      <c r="S611" s="15">
        <f t="shared" si="48"/>
        <v>4332</v>
      </c>
      <c r="T611" s="19">
        <f t="shared" si="49"/>
        <v>2</v>
      </c>
    </row>
    <row r="612" spans="1:20" x14ac:dyDescent="0.3">
      <c r="A612" s="20">
        <v>611</v>
      </c>
      <c r="B612" s="20" t="s">
        <v>45</v>
      </c>
      <c r="C612" s="20">
        <v>28</v>
      </c>
      <c r="D612" s="20" t="s">
        <v>432</v>
      </c>
      <c r="E612" s="20" t="s">
        <v>427</v>
      </c>
      <c r="F612" s="20">
        <v>2</v>
      </c>
      <c r="G612" s="21">
        <f>_xlfn.XLOOKUP(C612,[1]products!$A$2:$A$71,[1]products!$D$2:$D$71)</f>
        <v>1778</v>
      </c>
      <c r="H612" s="22">
        <v>45160</v>
      </c>
      <c r="I612" s="22" t="str">
        <f t="shared" si="45"/>
        <v>August</v>
      </c>
      <c r="J612" s="22" t="str">
        <f t="shared" si="46"/>
        <v>Tuesday</v>
      </c>
      <c r="K612" s="23">
        <v>0.88738425925925923</v>
      </c>
      <c r="L612" s="22">
        <v>45166</v>
      </c>
      <c r="M612" s="24">
        <f>HOUR(orders!$K612)</f>
        <v>21</v>
      </c>
      <c r="N612" s="22" t="str">
        <f t="shared" si="47"/>
        <v>August</v>
      </c>
      <c r="O612" s="23">
        <v>0.14409722222222224</v>
      </c>
      <c r="P612" s="23" t="str">
        <f>_xlfn.XLOOKUP(B612,[2]customers!$A$2:$A$101,[2]customers!$C$2:$C$101)</f>
        <v>Haridwar</v>
      </c>
      <c r="Q612" s="20" t="s">
        <v>161</v>
      </c>
      <c r="R612" s="20" t="s">
        <v>26</v>
      </c>
      <c r="S612" s="21">
        <f t="shared" si="48"/>
        <v>3556</v>
      </c>
      <c r="T612" s="25">
        <f t="shared" si="49"/>
        <v>6</v>
      </c>
    </row>
    <row r="613" spans="1:20" x14ac:dyDescent="0.3">
      <c r="A613" s="14">
        <v>612</v>
      </c>
      <c r="B613" s="14" t="s">
        <v>172</v>
      </c>
      <c r="C613" s="14">
        <v>26</v>
      </c>
      <c r="D613" s="14" t="s">
        <v>473</v>
      </c>
      <c r="E613" s="14" t="s">
        <v>429</v>
      </c>
      <c r="F613" s="14">
        <v>1</v>
      </c>
      <c r="G613" s="15">
        <f>_xlfn.XLOOKUP(C613,[1]products!$A$2:$A$71,[1]products!$D$2:$D$71)</f>
        <v>289</v>
      </c>
      <c r="H613" s="16">
        <v>44987</v>
      </c>
      <c r="I613" s="16" t="str">
        <f t="shared" si="45"/>
        <v>March</v>
      </c>
      <c r="J613" s="16" t="str">
        <f t="shared" si="46"/>
        <v>Thursday</v>
      </c>
      <c r="K613" s="17">
        <v>0.43223379629629632</v>
      </c>
      <c r="L613" s="16">
        <v>44993</v>
      </c>
      <c r="M613" s="18">
        <f>HOUR(orders!$K613)</f>
        <v>10</v>
      </c>
      <c r="N613" s="16" t="str">
        <f t="shared" si="47"/>
        <v>March</v>
      </c>
      <c r="O613" s="17">
        <v>0.52766203703703707</v>
      </c>
      <c r="P613" s="17" t="str">
        <f>_xlfn.XLOOKUP(B613,[2]customers!$A$2:$A$101,[2]customers!$C$2:$C$101)</f>
        <v>Aligarh</v>
      </c>
      <c r="Q613" s="14" t="s">
        <v>132</v>
      </c>
      <c r="R613" s="14" t="s">
        <v>36</v>
      </c>
      <c r="S613" s="15">
        <f t="shared" si="48"/>
        <v>289</v>
      </c>
      <c r="T613" s="19">
        <f t="shared" si="49"/>
        <v>6</v>
      </c>
    </row>
    <row r="614" spans="1:20" x14ac:dyDescent="0.3">
      <c r="A614" s="20">
        <v>613</v>
      </c>
      <c r="B614" s="20" t="s">
        <v>64</v>
      </c>
      <c r="C614" s="20">
        <v>4</v>
      </c>
      <c r="D614" s="20" t="s">
        <v>475</v>
      </c>
      <c r="E614" s="20" t="s">
        <v>427</v>
      </c>
      <c r="F614" s="20">
        <v>5</v>
      </c>
      <c r="G614" s="21">
        <f>_xlfn.XLOOKUP(C614,[1]products!$A$2:$A$71,[1]products!$D$2:$D$71)</f>
        <v>1199</v>
      </c>
      <c r="H614" s="22">
        <v>45240</v>
      </c>
      <c r="I614" s="22" t="str">
        <f t="shared" si="45"/>
        <v>November</v>
      </c>
      <c r="J614" s="22" t="str">
        <f t="shared" si="46"/>
        <v>Friday</v>
      </c>
      <c r="K614" s="23">
        <v>0.74622685185185189</v>
      </c>
      <c r="L614" s="22">
        <v>45244</v>
      </c>
      <c r="M614" s="24">
        <f>HOUR(orders!$K614)</f>
        <v>17</v>
      </c>
      <c r="N614" s="22" t="str">
        <f t="shared" si="47"/>
        <v>November</v>
      </c>
      <c r="O614" s="23">
        <v>0.80447916666666675</v>
      </c>
      <c r="P614" s="23" t="str">
        <f>_xlfn.XLOOKUP(B614,[2]customers!$A$2:$A$101,[2]customers!$C$2:$C$101)</f>
        <v>Jamnagar</v>
      </c>
      <c r="Q614" s="20" t="s">
        <v>145</v>
      </c>
      <c r="R614" s="20" t="s">
        <v>15</v>
      </c>
      <c r="S614" s="21">
        <f t="shared" si="48"/>
        <v>5995</v>
      </c>
      <c r="T614" s="25">
        <f t="shared" si="49"/>
        <v>4</v>
      </c>
    </row>
    <row r="615" spans="1:20" x14ac:dyDescent="0.3">
      <c r="A615" s="14">
        <v>614</v>
      </c>
      <c r="B615" s="14" t="s">
        <v>253</v>
      </c>
      <c r="C615" s="14">
        <v>26</v>
      </c>
      <c r="D615" s="14" t="s">
        <v>473</v>
      </c>
      <c r="E615" s="14" t="s">
        <v>429</v>
      </c>
      <c r="F615" s="14">
        <v>1</v>
      </c>
      <c r="G615" s="15">
        <f>_xlfn.XLOOKUP(C615,[1]products!$A$2:$A$71,[1]products!$D$2:$D$71)</f>
        <v>289</v>
      </c>
      <c r="H615" s="16">
        <v>44988</v>
      </c>
      <c r="I615" s="16" t="str">
        <f t="shared" si="45"/>
        <v>March</v>
      </c>
      <c r="J615" s="16" t="str">
        <f t="shared" si="46"/>
        <v>Friday</v>
      </c>
      <c r="K615" s="17">
        <v>0.65015046296296297</v>
      </c>
      <c r="L615" s="16">
        <v>44992</v>
      </c>
      <c r="M615" s="18">
        <f>HOUR(orders!$K615)</f>
        <v>15</v>
      </c>
      <c r="N615" s="16" t="str">
        <f t="shared" si="47"/>
        <v>March</v>
      </c>
      <c r="O615" s="17">
        <v>0.78589120370370369</v>
      </c>
      <c r="P615" s="17" t="str">
        <f>_xlfn.XLOOKUP(B615,[2]customers!$A$2:$A$101,[2]customers!$C$2:$C$101)</f>
        <v>Nellore</v>
      </c>
      <c r="Q615" s="14" t="s">
        <v>388</v>
      </c>
      <c r="R615" s="14" t="s">
        <v>36</v>
      </c>
      <c r="S615" s="15">
        <f t="shared" si="48"/>
        <v>289</v>
      </c>
      <c r="T615" s="19">
        <f t="shared" si="49"/>
        <v>4</v>
      </c>
    </row>
    <row r="616" spans="1:20" x14ac:dyDescent="0.3">
      <c r="A616" s="20">
        <v>615</v>
      </c>
      <c r="B616" s="20" t="s">
        <v>97</v>
      </c>
      <c r="C616" s="20">
        <v>28</v>
      </c>
      <c r="D616" s="20" t="s">
        <v>432</v>
      </c>
      <c r="E616" s="20" t="s">
        <v>427</v>
      </c>
      <c r="F616" s="20">
        <v>3</v>
      </c>
      <c r="G616" s="21">
        <f>_xlfn.XLOOKUP(C616,[1]products!$A$2:$A$71,[1]products!$D$2:$D$71)</f>
        <v>1778</v>
      </c>
      <c r="H616" s="22">
        <v>45163</v>
      </c>
      <c r="I616" s="22" t="str">
        <f t="shared" si="45"/>
        <v>August</v>
      </c>
      <c r="J616" s="22" t="str">
        <f t="shared" si="46"/>
        <v>Friday</v>
      </c>
      <c r="K616" s="23">
        <v>0.88274305555555566</v>
      </c>
      <c r="L616" s="22">
        <v>45170</v>
      </c>
      <c r="M616" s="24">
        <f>HOUR(orders!$K616)</f>
        <v>21</v>
      </c>
      <c r="N616" s="22" t="str">
        <f t="shared" si="47"/>
        <v>September</v>
      </c>
      <c r="O616" s="23">
        <v>0.25712962962962965</v>
      </c>
      <c r="P616" s="23" t="str">
        <f>_xlfn.XLOOKUP(B616,[2]customers!$A$2:$A$101,[2]customers!$C$2:$C$101)</f>
        <v>Machilipatnam</v>
      </c>
      <c r="Q616" s="20" t="s">
        <v>204</v>
      </c>
      <c r="R616" s="20" t="s">
        <v>26</v>
      </c>
      <c r="S616" s="21">
        <f t="shared" si="48"/>
        <v>5334</v>
      </c>
      <c r="T616" s="25">
        <f t="shared" si="49"/>
        <v>7</v>
      </c>
    </row>
    <row r="617" spans="1:20" x14ac:dyDescent="0.3">
      <c r="A617" s="14">
        <v>616</v>
      </c>
      <c r="B617" s="14" t="s">
        <v>90</v>
      </c>
      <c r="C617" s="14">
        <v>44</v>
      </c>
      <c r="D617" s="14" t="s">
        <v>470</v>
      </c>
      <c r="E617" s="14" t="s">
        <v>447</v>
      </c>
      <c r="F617" s="14">
        <v>5</v>
      </c>
      <c r="G617" s="15">
        <f>_xlfn.XLOOKUP(C617,[1]products!$A$2:$A$71,[1]products!$D$2:$D$71)</f>
        <v>794</v>
      </c>
      <c r="H617" s="16">
        <v>45238</v>
      </c>
      <c r="I617" s="16" t="str">
        <f t="shared" si="45"/>
        <v>November</v>
      </c>
      <c r="J617" s="16" t="str">
        <f t="shared" si="46"/>
        <v>Wednesday</v>
      </c>
      <c r="K617" s="17">
        <v>0.99857638888888889</v>
      </c>
      <c r="L617" s="16">
        <v>45242</v>
      </c>
      <c r="M617" s="18">
        <f>HOUR(orders!$K617)</f>
        <v>23</v>
      </c>
      <c r="N617" s="16" t="str">
        <f t="shared" si="47"/>
        <v>November</v>
      </c>
      <c r="O617" s="17">
        <v>0.80623842592592598</v>
      </c>
      <c r="P617" s="17" t="str">
        <f>_xlfn.XLOOKUP(B617,[2]customers!$A$2:$A$101,[2]customers!$C$2:$C$101)</f>
        <v>Karimnagar</v>
      </c>
      <c r="Q617" s="14" t="s">
        <v>248</v>
      </c>
      <c r="R617" s="14" t="s">
        <v>15</v>
      </c>
      <c r="S617" s="15">
        <f t="shared" si="48"/>
        <v>3970</v>
      </c>
      <c r="T617" s="19">
        <f t="shared" si="49"/>
        <v>4</v>
      </c>
    </row>
    <row r="618" spans="1:20" x14ac:dyDescent="0.3">
      <c r="A618" s="20">
        <v>617</v>
      </c>
      <c r="B618" s="20" t="s">
        <v>184</v>
      </c>
      <c r="C618" s="20">
        <v>22</v>
      </c>
      <c r="D618" s="20" t="s">
        <v>465</v>
      </c>
      <c r="E618" s="20" t="s">
        <v>445</v>
      </c>
      <c r="F618" s="20">
        <v>1</v>
      </c>
      <c r="G618" s="21">
        <f>_xlfn.XLOOKUP(C618,[1]products!$A$2:$A$71,[1]products!$D$2:$D$71)</f>
        <v>1639</v>
      </c>
      <c r="H618" s="22">
        <v>44976</v>
      </c>
      <c r="I618" s="22" t="str">
        <f t="shared" si="45"/>
        <v>February</v>
      </c>
      <c r="J618" s="22" t="str">
        <f t="shared" si="46"/>
        <v>Sunday</v>
      </c>
      <c r="K618" s="23">
        <v>0.120625</v>
      </c>
      <c r="L618" s="22">
        <v>44985</v>
      </c>
      <c r="M618" s="24">
        <f>HOUR(orders!$K618)</f>
        <v>2</v>
      </c>
      <c r="N618" s="22" t="str">
        <f t="shared" si="47"/>
        <v>February</v>
      </c>
      <c r="O618" s="23">
        <v>0.70942129629629624</v>
      </c>
      <c r="P618" s="23" t="str">
        <f>_xlfn.XLOOKUP(B618,[2]customers!$A$2:$A$101,[2]customers!$C$2:$C$101)</f>
        <v>Raurkela Industrial Township</v>
      </c>
      <c r="Q618" s="20" t="s">
        <v>352</v>
      </c>
      <c r="R618" s="20" t="s">
        <v>60</v>
      </c>
      <c r="S618" s="21">
        <f t="shared" si="48"/>
        <v>1639</v>
      </c>
      <c r="T618" s="25">
        <f t="shared" si="49"/>
        <v>9</v>
      </c>
    </row>
    <row r="619" spans="1:20" x14ac:dyDescent="0.3">
      <c r="A619" s="14">
        <v>618</v>
      </c>
      <c r="B619" s="14" t="s">
        <v>322</v>
      </c>
      <c r="C619" s="14">
        <v>60</v>
      </c>
      <c r="D619" s="14" t="s">
        <v>440</v>
      </c>
      <c r="E619" s="14" t="s">
        <v>427</v>
      </c>
      <c r="F619" s="14">
        <v>4</v>
      </c>
      <c r="G619" s="15">
        <f>_xlfn.XLOOKUP(C619,[1]products!$A$2:$A$71,[1]products!$D$2:$D$71)</f>
        <v>827</v>
      </c>
      <c r="H619" s="16">
        <v>45235</v>
      </c>
      <c r="I619" s="16" t="str">
        <f t="shared" si="45"/>
        <v>November</v>
      </c>
      <c r="J619" s="16" t="str">
        <f t="shared" si="46"/>
        <v>Sunday</v>
      </c>
      <c r="K619" s="17">
        <v>0.67306712962962967</v>
      </c>
      <c r="L619" s="16">
        <v>45245</v>
      </c>
      <c r="M619" s="18">
        <f>HOUR(orders!$K619)</f>
        <v>16</v>
      </c>
      <c r="N619" s="16" t="str">
        <f t="shared" si="47"/>
        <v>November</v>
      </c>
      <c r="O619" s="17">
        <v>0.72333333333333327</v>
      </c>
      <c r="P619" s="17" t="str">
        <f>_xlfn.XLOOKUP(B619,[2]customers!$A$2:$A$101,[2]customers!$C$2:$C$101)</f>
        <v>Parbhani</v>
      </c>
      <c r="Q619" s="14" t="s">
        <v>226</v>
      </c>
      <c r="R619" s="14" t="s">
        <v>15</v>
      </c>
      <c r="S619" s="15">
        <f t="shared" si="48"/>
        <v>3308</v>
      </c>
      <c r="T619" s="19">
        <f t="shared" si="49"/>
        <v>10</v>
      </c>
    </row>
    <row r="620" spans="1:20" x14ac:dyDescent="0.3">
      <c r="A620" s="20">
        <v>619</v>
      </c>
      <c r="B620" s="20" t="s">
        <v>61</v>
      </c>
      <c r="C620" s="20">
        <v>35</v>
      </c>
      <c r="D620" s="20" t="s">
        <v>462</v>
      </c>
      <c r="E620" s="20" t="s">
        <v>429</v>
      </c>
      <c r="F620" s="20">
        <v>1</v>
      </c>
      <c r="G620" s="21">
        <f>_xlfn.XLOOKUP(C620,[1]products!$A$2:$A$71,[1]products!$D$2:$D$71)</f>
        <v>1865</v>
      </c>
      <c r="H620" s="22">
        <v>44991</v>
      </c>
      <c r="I620" s="22" t="str">
        <f t="shared" si="45"/>
        <v>March</v>
      </c>
      <c r="J620" s="22" t="str">
        <f t="shared" si="46"/>
        <v>Monday</v>
      </c>
      <c r="K620" s="23">
        <v>0.30469907407407409</v>
      </c>
      <c r="L620" s="22">
        <v>45001</v>
      </c>
      <c r="M620" s="24">
        <f>HOUR(orders!$K620)</f>
        <v>7</v>
      </c>
      <c r="N620" s="22" t="str">
        <f t="shared" si="47"/>
        <v>March</v>
      </c>
      <c r="O620" s="23">
        <v>0.13718749999999999</v>
      </c>
      <c r="P620" s="23" t="str">
        <f>_xlfn.XLOOKUP(B620,[2]customers!$A$2:$A$101,[2]customers!$C$2:$C$101)</f>
        <v>New Delhi</v>
      </c>
      <c r="Q620" s="20" t="s">
        <v>230</v>
      </c>
      <c r="R620" s="20" t="s">
        <v>36</v>
      </c>
      <c r="S620" s="21">
        <f t="shared" si="48"/>
        <v>1865</v>
      </c>
      <c r="T620" s="25">
        <f t="shared" si="49"/>
        <v>10</v>
      </c>
    </row>
    <row r="621" spans="1:20" x14ac:dyDescent="0.3">
      <c r="A621" s="14">
        <v>620</v>
      </c>
      <c r="B621" s="14" t="s">
        <v>118</v>
      </c>
      <c r="C621" s="14">
        <v>67</v>
      </c>
      <c r="D621" s="14" t="s">
        <v>425</v>
      </c>
      <c r="E621" s="14" t="s">
        <v>26</v>
      </c>
      <c r="F621" s="14">
        <v>3</v>
      </c>
      <c r="G621" s="15">
        <f>_xlfn.XLOOKUP(C621,[1]products!$A$2:$A$71,[1]products!$D$2:$D$71)</f>
        <v>1374</v>
      </c>
      <c r="H621" s="16">
        <v>45118</v>
      </c>
      <c r="I621" s="16" t="str">
        <f t="shared" si="45"/>
        <v>July</v>
      </c>
      <c r="J621" s="16" t="str">
        <f t="shared" si="46"/>
        <v>Tuesday</v>
      </c>
      <c r="K621" s="17">
        <v>0.93265046296296295</v>
      </c>
      <c r="L621" s="16">
        <v>45125</v>
      </c>
      <c r="M621" s="18">
        <f>HOUR(orders!$K621)</f>
        <v>22</v>
      </c>
      <c r="N621" s="16" t="str">
        <f t="shared" si="47"/>
        <v>July</v>
      </c>
      <c r="O621" s="17">
        <v>5.8912037037037034E-2</v>
      </c>
      <c r="P621" s="17" t="str">
        <f>_xlfn.XLOOKUP(B621,[2]customers!$A$2:$A$101,[2]customers!$C$2:$C$101)</f>
        <v>Sultan Pur Majra</v>
      </c>
      <c r="Q621" s="14" t="s">
        <v>342</v>
      </c>
      <c r="R621" s="14" t="s">
        <v>12</v>
      </c>
      <c r="S621" s="15">
        <f t="shared" si="48"/>
        <v>4122</v>
      </c>
      <c r="T621" s="19">
        <f t="shared" si="49"/>
        <v>7</v>
      </c>
    </row>
    <row r="622" spans="1:20" x14ac:dyDescent="0.3">
      <c r="A622" s="20">
        <v>621</v>
      </c>
      <c r="B622" s="20" t="s">
        <v>194</v>
      </c>
      <c r="C622" s="20">
        <v>64</v>
      </c>
      <c r="D622" s="20" t="s">
        <v>492</v>
      </c>
      <c r="E622" s="20" t="s">
        <v>445</v>
      </c>
      <c r="F622" s="20">
        <v>3</v>
      </c>
      <c r="G622" s="21">
        <f>_xlfn.XLOOKUP(C622,[1]products!$A$2:$A$71,[1]products!$D$2:$D$71)</f>
        <v>1878</v>
      </c>
      <c r="H622" s="22">
        <v>45158</v>
      </c>
      <c r="I622" s="22" t="str">
        <f t="shared" si="45"/>
        <v>August</v>
      </c>
      <c r="J622" s="22" t="str">
        <f t="shared" si="46"/>
        <v>Sunday</v>
      </c>
      <c r="K622" s="23">
        <v>0.30350694444444443</v>
      </c>
      <c r="L622" s="22">
        <v>45166</v>
      </c>
      <c r="M622" s="24">
        <f>HOUR(orders!$K622)</f>
        <v>7</v>
      </c>
      <c r="N622" s="22" t="str">
        <f t="shared" si="47"/>
        <v>August</v>
      </c>
      <c r="O622" s="23">
        <v>6.4456018518518524E-2</v>
      </c>
      <c r="P622" s="23" t="str">
        <f>_xlfn.XLOOKUP(B622,[2]customers!$A$2:$A$101,[2]customers!$C$2:$C$101)</f>
        <v>Bhatpara</v>
      </c>
      <c r="Q622" s="20" t="s">
        <v>111</v>
      </c>
      <c r="R622" s="20" t="s">
        <v>26</v>
      </c>
      <c r="S622" s="21">
        <f t="shared" si="48"/>
        <v>5634</v>
      </c>
      <c r="T622" s="25">
        <f t="shared" si="49"/>
        <v>8</v>
      </c>
    </row>
    <row r="623" spans="1:20" x14ac:dyDescent="0.3">
      <c r="A623" s="14">
        <v>622</v>
      </c>
      <c r="B623" s="14" t="s">
        <v>215</v>
      </c>
      <c r="C623" s="14">
        <v>4</v>
      </c>
      <c r="D623" s="14" t="s">
        <v>475</v>
      </c>
      <c r="E623" s="14" t="s">
        <v>427</v>
      </c>
      <c r="F623" s="14">
        <v>4</v>
      </c>
      <c r="G623" s="15">
        <f>_xlfn.XLOOKUP(C623,[1]products!$A$2:$A$71,[1]products!$D$2:$D$71)</f>
        <v>1199</v>
      </c>
      <c r="H623" s="16">
        <v>45238</v>
      </c>
      <c r="I623" s="16" t="str">
        <f t="shared" si="45"/>
        <v>November</v>
      </c>
      <c r="J623" s="16" t="str">
        <f t="shared" si="46"/>
        <v>Wednesday</v>
      </c>
      <c r="K623" s="17">
        <v>0.59273148148148147</v>
      </c>
      <c r="L623" s="16">
        <v>45239</v>
      </c>
      <c r="M623" s="18">
        <f>HOUR(orders!$K623)</f>
        <v>14</v>
      </c>
      <c r="N623" s="16" t="str">
        <f t="shared" si="47"/>
        <v>November</v>
      </c>
      <c r="O623" s="17">
        <v>0.66599537037037038</v>
      </c>
      <c r="P623" s="17" t="str">
        <f>_xlfn.XLOOKUP(B623,[2]customers!$A$2:$A$101,[2]customers!$C$2:$C$101)</f>
        <v>Tiruchirappalli</v>
      </c>
      <c r="Q623" s="14" t="s">
        <v>365</v>
      </c>
      <c r="R623" s="14" t="s">
        <v>15</v>
      </c>
      <c r="S623" s="15">
        <f t="shared" si="48"/>
        <v>4796</v>
      </c>
      <c r="T623" s="19">
        <f t="shared" si="49"/>
        <v>1</v>
      </c>
    </row>
    <row r="624" spans="1:20" x14ac:dyDescent="0.3">
      <c r="A624" s="20">
        <v>623</v>
      </c>
      <c r="B624" s="20" t="s">
        <v>105</v>
      </c>
      <c r="C624" s="20">
        <v>37</v>
      </c>
      <c r="D624" s="20" t="s">
        <v>459</v>
      </c>
      <c r="E624" s="20" t="s">
        <v>429</v>
      </c>
      <c r="F624" s="20">
        <v>2</v>
      </c>
      <c r="G624" s="21">
        <f>_xlfn.XLOOKUP(C624,[1]products!$A$2:$A$71,[1]products!$D$2:$D$71)</f>
        <v>1428</v>
      </c>
      <c r="H624" s="22">
        <v>45238</v>
      </c>
      <c r="I624" s="22" t="str">
        <f t="shared" si="45"/>
        <v>November</v>
      </c>
      <c r="J624" s="22" t="str">
        <f t="shared" si="46"/>
        <v>Wednesday</v>
      </c>
      <c r="K624" s="23">
        <v>0.56793981481481481</v>
      </c>
      <c r="L624" s="22">
        <v>45248</v>
      </c>
      <c r="M624" s="24">
        <f>HOUR(orders!$K624)</f>
        <v>13</v>
      </c>
      <c r="N624" s="22" t="str">
        <f t="shared" si="47"/>
        <v>November</v>
      </c>
      <c r="O624" s="23">
        <v>0.60114583333333338</v>
      </c>
      <c r="P624" s="23" t="str">
        <f>_xlfn.XLOOKUP(B624,[2]customers!$A$2:$A$101,[2]customers!$C$2:$C$101)</f>
        <v>Maheshtala</v>
      </c>
      <c r="Q624" s="20" t="s">
        <v>226</v>
      </c>
      <c r="R624" s="20" t="s">
        <v>15</v>
      </c>
      <c r="S624" s="21">
        <f t="shared" si="48"/>
        <v>2856</v>
      </c>
      <c r="T624" s="25">
        <f t="shared" si="49"/>
        <v>10</v>
      </c>
    </row>
    <row r="625" spans="1:20" x14ac:dyDescent="0.3">
      <c r="A625" s="14">
        <v>624</v>
      </c>
      <c r="B625" s="14" t="s">
        <v>38</v>
      </c>
      <c r="C625" s="14">
        <v>53</v>
      </c>
      <c r="D625" s="14" t="s">
        <v>496</v>
      </c>
      <c r="E625" s="14" t="s">
        <v>427</v>
      </c>
      <c r="F625" s="14">
        <v>5</v>
      </c>
      <c r="G625" s="15">
        <f>_xlfn.XLOOKUP(C625,[1]products!$A$2:$A$71,[1]products!$D$2:$D$71)</f>
        <v>1672</v>
      </c>
      <c r="H625" s="16">
        <v>45167</v>
      </c>
      <c r="I625" s="16" t="str">
        <f t="shared" si="45"/>
        <v>August</v>
      </c>
      <c r="J625" s="16" t="str">
        <f t="shared" si="46"/>
        <v>Tuesday</v>
      </c>
      <c r="K625" s="17">
        <v>0.3888773148148148</v>
      </c>
      <c r="L625" s="16">
        <v>45170</v>
      </c>
      <c r="M625" s="18">
        <f>HOUR(orders!$K625)</f>
        <v>9</v>
      </c>
      <c r="N625" s="16" t="str">
        <f t="shared" si="47"/>
        <v>September</v>
      </c>
      <c r="O625" s="17">
        <v>0.35409722222222223</v>
      </c>
      <c r="P625" s="17" t="str">
        <f>_xlfn.XLOOKUP(B625,[2]customers!$A$2:$A$101,[2]customers!$C$2:$C$101)</f>
        <v>Kavali</v>
      </c>
      <c r="Q625" s="14" t="s">
        <v>33</v>
      </c>
      <c r="R625" s="14" t="s">
        <v>26</v>
      </c>
      <c r="S625" s="15">
        <f t="shared" si="48"/>
        <v>8360</v>
      </c>
      <c r="T625" s="19">
        <f t="shared" si="49"/>
        <v>3</v>
      </c>
    </row>
    <row r="626" spans="1:20" x14ac:dyDescent="0.3">
      <c r="A626" s="20">
        <v>625</v>
      </c>
      <c r="B626" s="20" t="s">
        <v>253</v>
      </c>
      <c r="C626" s="20">
        <v>63</v>
      </c>
      <c r="D626" s="20" t="s">
        <v>498</v>
      </c>
      <c r="E626" s="20" t="s">
        <v>427</v>
      </c>
      <c r="F626" s="20">
        <v>5</v>
      </c>
      <c r="G626" s="21">
        <f>_xlfn.XLOOKUP(C626,[1]products!$A$2:$A$71,[1]products!$D$2:$D$71)</f>
        <v>1348</v>
      </c>
      <c r="H626" s="22">
        <v>44980</v>
      </c>
      <c r="I626" s="22" t="str">
        <f t="shared" si="45"/>
        <v>February</v>
      </c>
      <c r="J626" s="22" t="str">
        <f t="shared" si="46"/>
        <v>Thursday</v>
      </c>
      <c r="K626" s="23">
        <v>0.88590277777777782</v>
      </c>
      <c r="L626" s="22">
        <v>44989</v>
      </c>
      <c r="M626" s="24">
        <f>HOUR(orders!$K626)</f>
        <v>21</v>
      </c>
      <c r="N626" s="22" t="str">
        <f t="shared" si="47"/>
        <v>March</v>
      </c>
      <c r="O626" s="23">
        <v>0.11534722222222223</v>
      </c>
      <c r="P626" s="23" t="str">
        <f>_xlfn.XLOOKUP(B626,[2]customers!$A$2:$A$101,[2]customers!$C$2:$C$101)</f>
        <v>Nellore</v>
      </c>
      <c r="Q626" s="20" t="s">
        <v>35</v>
      </c>
      <c r="R626" s="20" t="s">
        <v>60</v>
      </c>
      <c r="S626" s="21">
        <f t="shared" si="48"/>
        <v>6740</v>
      </c>
      <c r="T626" s="25">
        <f t="shared" si="49"/>
        <v>9</v>
      </c>
    </row>
    <row r="627" spans="1:20" x14ac:dyDescent="0.3">
      <c r="A627" s="14">
        <v>626</v>
      </c>
      <c r="B627" s="14" t="s">
        <v>38</v>
      </c>
      <c r="C627" s="14">
        <v>40</v>
      </c>
      <c r="D627" s="14" t="s">
        <v>477</v>
      </c>
      <c r="E627" s="14" t="s">
        <v>427</v>
      </c>
      <c r="F627" s="14">
        <v>5</v>
      </c>
      <c r="G627" s="15">
        <f>_xlfn.XLOOKUP(C627,[1]products!$A$2:$A$71,[1]products!$D$2:$D$71)</f>
        <v>1923</v>
      </c>
      <c r="H627" s="16">
        <v>45192</v>
      </c>
      <c r="I627" s="16" t="str">
        <f t="shared" si="45"/>
        <v>September</v>
      </c>
      <c r="J627" s="16" t="str">
        <f t="shared" si="46"/>
        <v>Saturday</v>
      </c>
      <c r="K627" s="17">
        <v>0.63400462962962967</v>
      </c>
      <c r="L627" s="16">
        <v>45196</v>
      </c>
      <c r="M627" s="18">
        <f>HOUR(orders!$K627)</f>
        <v>15</v>
      </c>
      <c r="N627" s="16" t="str">
        <f t="shared" si="47"/>
        <v>September</v>
      </c>
      <c r="O627" s="17">
        <v>0.34331018518518519</v>
      </c>
      <c r="P627" s="17" t="str">
        <f>_xlfn.XLOOKUP(B627,[2]customers!$A$2:$A$101,[2]customers!$C$2:$C$101)</f>
        <v>Kavali</v>
      </c>
      <c r="Q627" s="14" t="s">
        <v>313</v>
      </c>
      <c r="R627" s="14" t="s">
        <v>12</v>
      </c>
      <c r="S627" s="15">
        <f t="shared" si="48"/>
        <v>9615</v>
      </c>
      <c r="T627" s="19">
        <f t="shared" si="49"/>
        <v>4</v>
      </c>
    </row>
    <row r="628" spans="1:20" x14ac:dyDescent="0.3">
      <c r="A628" s="20">
        <v>627</v>
      </c>
      <c r="B628" s="20" t="s">
        <v>38</v>
      </c>
      <c r="C628" s="20">
        <v>51</v>
      </c>
      <c r="D628" s="20" t="s">
        <v>469</v>
      </c>
      <c r="E628" s="20" t="s">
        <v>445</v>
      </c>
      <c r="F628" s="20">
        <v>4</v>
      </c>
      <c r="G628" s="21">
        <f>_xlfn.XLOOKUP(C628,[1]products!$A$2:$A$71,[1]products!$D$2:$D$71)</f>
        <v>1084</v>
      </c>
      <c r="H628" s="22">
        <v>44962</v>
      </c>
      <c r="I628" s="22" t="str">
        <f t="shared" si="45"/>
        <v>February</v>
      </c>
      <c r="J628" s="22" t="str">
        <f t="shared" si="46"/>
        <v>Sunday</v>
      </c>
      <c r="K628" s="23">
        <v>0.18778935185185186</v>
      </c>
      <c r="L628" s="22">
        <v>44965</v>
      </c>
      <c r="M628" s="24">
        <f>HOUR(orders!$K628)</f>
        <v>4</v>
      </c>
      <c r="N628" s="22" t="str">
        <f t="shared" si="47"/>
        <v>February</v>
      </c>
      <c r="O628" s="23">
        <v>0.98486111111111108</v>
      </c>
      <c r="P628" s="23" t="str">
        <f>_xlfn.XLOOKUP(B628,[2]customers!$A$2:$A$101,[2]customers!$C$2:$C$101)</f>
        <v>Kavali</v>
      </c>
      <c r="Q628" s="20" t="s">
        <v>25</v>
      </c>
      <c r="R628" s="20" t="s">
        <v>60</v>
      </c>
      <c r="S628" s="21">
        <f t="shared" si="48"/>
        <v>4336</v>
      </c>
      <c r="T628" s="25">
        <f t="shared" si="49"/>
        <v>3</v>
      </c>
    </row>
    <row r="629" spans="1:20" x14ac:dyDescent="0.3">
      <c r="A629" s="14">
        <v>628</v>
      </c>
      <c r="B629" s="14" t="s">
        <v>153</v>
      </c>
      <c r="C629" s="14">
        <v>11</v>
      </c>
      <c r="D629" s="14" t="s">
        <v>476</v>
      </c>
      <c r="E629" s="14" t="s">
        <v>458</v>
      </c>
      <c r="F629" s="14">
        <v>5</v>
      </c>
      <c r="G629" s="15">
        <f>_xlfn.XLOOKUP(C629,[1]products!$A$2:$A$71,[1]products!$D$2:$D$71)</f>
        <v>1096</v>
      </c>
      <c r="H629" s="16">
        <v>44967</v>
      </c>
      <c r="I629" s="16" t="str">
        <f t="shared" si="45"/>
        <v>February</v>
      </c>
      <c r="J629" s="16" t="str">
        <f t="shared" si="46"/>
        <v>Friday</v>
      </c>
      <c r="K629" s="17">
        <v>0.91003472222222215</v>
      </c>
      <c r="L629" s="16">
        <v>44970</v>
      </c>
      <c r="M629" s="18">
        <f>HOUR(orders!$K629)</f>
        <v>21</v>
      </c>
      <c r="N629" s="16" t="str">
        <f t="shared" si="47"/>
        <v>February</v>
      </c>
      <c r="O629" s="17">
        <v>0.88039351851851855</v>
      </c>
      <c r="P629" s="17" t="str">
        <f>_xlfn.XLOOKUP(B629,[2]customers!$A$2:$A$101,[2]customers!$C$2:$C$101)</f>
        <v>Kavali</v>
      </c>
      <c r="Q629" s="14" t="s">
        <v>329</v>
      </c>
      <c r="R629" s="14" t="s">
        <v>23</v>
      </c>
      <c r="S629" s="15">
        <f t="shared" si="48"/>
        <v>5480</v>
      </c>
      <c r="T629" s="19">
        <f t="shared" si="49"/>
        <v>3</v>
      </c>
    </row>
    <row r="630" spans="1:20" x14ac:dyDescent="0.3">
      <c r="A630" s="20">
        <v>629</v>
      </c>
      <c r="B630" s="20" t="s">
        <v>146</v>
      </c>
      <c r="C630" s="20">
        <v>28</v>
      </c>
      <c r="D630" s="20" t="s">
        <v>432</v>
      </c>
      <c r="E630" s="20" t="s">
        <v>427</v>
      </c>
      <c r="F630" s="20">
        <v>5</v>
      </c>
      <c r="G630" s="21">
        <f>_xlfn.XLOOKUP(C630,[1]products!$A$2:$A$71,[1]products!$D$2:$D$71)</f>
        <v>1778</v>
      </c>
      <c r="H630" s="22">
        <v>45165</v>
      </c>
      <c r="I630" s="22" t="str">
        <f t="shared" si="45"/>
        <v>August</v>
      </c>
      <c r="J630" s="22" t="str">
        <f t="shared" si="46"/>
        <v>Sunday</v>
      </c>
      <c r="K630" s="23">
        <v>0.38126157407407407</v>
      </c>
      <c r="L630" s="22">
        <v>45173</v>
      </c>
      <c r="M630" s="24">
        <f>HOUR(orders!$K630)</f>
        <v>9</v>
      </c>
      <c r="N630" s="22" t="str">
        <f t="shared" si="47"/>
        <v>September</v>
      </c>
      <c r="O630" s="23">
        <v>0.64679398148148148</v>
      </c>
      <c r="P630" s="23" t="str">
        <f>_xlfn.XLOOKUP(B630,[2]customers!$A$2:$A$101,[2]customers!$C$2:$C$101)</f>
        <v>Surat</v>
      </c>
      <c r="Q630" s="20" t="s">
        <v>379</v>
      </c>
      <c r="R630" s="20" t="s">
        <v>26</v>
      </c>
      <c r="S630" s="21">
        <f t="shared" si="48"/>
        <v>8890</v>
      </c>
      <c r="T630" s="25">
        <f t="shared" si="49"/>
        <v>8</v>
      </c>
    </row>
    <row r="631" spans="1:20" x14ac:dyDescent="0.3">
      <c r="A631" s="14">
        <v>630</v>
      </c>
      <c r="B631" s="14" t="s">
        <v>73</v>
      </c>
      <c r="C631" s="14">
        <v>67</v>
      </c>
      <c r="D631" s="14" t="s">
        <v>425</v>
      </c>
      <c r="E631" s="14" t="s">
        <v>26</v>
      </c>
      <c r="F631" s="14">
        <v>3</v>
      </c>
      <c r="G631" s="15">
        <f>_xlfn.XLOOKUP(C631,[1]products!$A$2:$A$71,[1]products!$D$2:$D$71)</f>
        <v>1374</v>
      </c>
      <c r="H631" s="16">
        <v>44978</v>
      </c>
      <c r="I631" s="16" t="str">
        <f t="shared" si="45"/>
        <v>February</v>
      </c>
      <c r="J631" s="16" t="str">
        <f t="shared" si="46"/>
        <v>Tuesday</v>
      </c>
      <c r="K631" s="17">
        <v>0.90123842592592596</v>
      </c>
      <c r="L631" s="16">
        <v>44986</v>
      </c>
      <c r="M631" s="18">
        <f>HOUR(orders!$K631)</f>
        <v>21</v>
      </c>
      <c r="N631" s="16" t="str">
        <f t="shared" si="47"/>
        <v>March</v>
      </c>
      <c r="O631" s="17">
        <v>0.78689814814814818</v>
      </c>
      <c r="P631" s="17" t="str">
        <f>_xlfn.XLOOKUP(B631,[2]customers!$A$2:$A$101,[2]customers!$C$2:$C$101)</f>
        <v>Tiruppur</v>
      </c>
      <c r="Q631" s="14" t="s">
        <v>346</v>
      </c>
      <c r="R631" s="14" t="s">
        <v>12</v>
      </c>
      <c r="S631" s="15">
        <f t="shared" si="48"/>
        <v>4122</v>
      </c>
      <c r="T631" s="19">
        <f t="shared" si="49"/>
        <v>8</v>
      </c>
    </row>
    <row r="632" spans="1:20" x14ac:dyDescent="0.3">
      <c r="A632" s="20">
        <v>631</v>
      </c>
      <c r="B632" s="20" t="s">
        <v>31</v>
      </c>
      <c r="C632" s="20">
        <v>32</v>
      </c>
      <c r="D632" s="20" t="s">
        <v>444</v>
      </c>
      <c r="E632" s="20" t="s">
        <v>445</v>
      </c>
      <c r="F632" s="20">
        <v>4</v>
      </c>
      <c r="G632" s="21">
        <f>_xlfn.XLOOKUP(C632,[1]products!$A$2:$A$71,[1]products!$D$2:$D$71)</f>
        <v>1792</v>
      </c>
      <c r="H632" s="22">
        <v>45029</v>
      </c>
      <c r="I632" s="22" t="str">
        <f t="shared" si="45"/>
        <v>April</v>
      </c>
      <c r="J632" s="22" t="str">
        <f t="shared" si="46"/>
        <v>Thursday</v>
      </c>
      <c r="K632" s="23">
        <v>0.90405092592592595</v>
      </c>
      <c r="L632" s="22">
        <v>45033</v>
      </c>
      <c r="M632" s="24">
        <f>HOUR(orders!$K632)</f>
        <v>21</v>
      </c>
      <c r="N632" s="22" t="str">
        <f t="shared" si="47"/>
        <v>April</v>
      </c>
      <c r="O632" s="23">
        <v>0.15628472222222223</v>
      </c>
      <c r="P632" s="23" t="str">
        <f>_xlfn.XLOOKUP(B632,[2]customers!$A$2:$A$101,[2]customers!$C$2:$C$101)</f>
        <v>Agra</v>
      </c>
      <c r="Q632" s="20" t="s">
        <v>210</v>
      </c>
      <c r="R632" s="20" t="s">
        <v>20</v>
      </c>
      <c r="S632" s="21">
        <f t="shared" si="48"/>
        <v>7168</v>
      </c>
      <c r="T632" s="25">
        <f t="shared" si="49"/>
        <v>4</v>
      </c>
    </row>
    <row r="633" spans="1:20" x14ac:dyDescent="0.3">
      <c r="A633" s="14">
        <v>632</v>
      </c>
      <c r="B633" s="14" t="s">
        <v>172</v>
      </c>
      <c r="C633" s="14">
        <v>51</v>
      </c>
      <c r="D633" s="14" t="s">
        <v>469</v>
      </c>
      <c r="E633" s="14" t="s">
        <v>445</v>
      </c>
      <c r="F633" s="14">
        <v>1</v>
      </c>
      <c r="G633" s="15">
        <f>_xlfn.XLOOKUP(C633,[1]products!$A$2:$A$71,[1]products!$D$2:$D$71)</f>
        <v>1084</v>
      </c>
      <c r="H633" s="16">
        <v>45118</v>
      </c>
      <c r="I633" s="16" t="str">
        <f t="shared" si="45"/>
        <v>July</v>
      </c>
      <c r="J633" s="16" t="str">
        <f t="shared" si="46"/>
        <v>Tuesday</v>
      </c>
      <c r="K633" s="17">
        <v>0.94098379629629625</v>
      </c>
      <c r="L633" s="16">
        <v>45119</v>
      </c>
      <c r="M633" s="18">
        <f>HOUR(orders!$K633)</f>
        <v>22</v>
      </c>
      <c r="N633" s="16" t="str">
        <f t="shared" si="47"/>
        <v>July</v>
      </c>
      <c r="O633" s="17">
        <v>0.48113425925925929</v>
      </c>
      <c r="P633" s="17" t="str">
        <f>_xlfn.XLOOKUP(B633,[2]customers!$A$2:$A$101,[2]customers!$C$2:$C$101)</f>
        <v>Aligarh</v>
      </c>
      <c r="Q633" s="14" t="s">
        <v>389</v>
      </c>
      <c r="R633" s="14" t="s">
        <v>60</v>
      </c>
      <c r="S633" s="15">
        <f t="shared" si="48"/>
        <v>1084</v>
      </c>
      <c r="T633" s="19">
        <f t="shared" si="49"/>
        <v>1</v>
      </c>
    </row>
    <row r="634" spans="1:20" x14ac:dyDescent="0.3">
      <c r="A634" s="20">
        <v>633</v>
      </c>
      <c r="B634" s="20" t="s">
        <v>95</v>
      </c>
      <c r="C634" s="20">
        <v>52</v>
      </c>
      <c r="D634" s="20" t="s">
        <v>443</v>
      </c>
      <c r="E634" s="20" t="s">
        <v>26</v>
      </c>
      <c r="F634" s="20">
        <v>5</v>
      </c>
      <c r="G634" s="21">
        <f>_xlfn.XLOOKUP(C634,[1]products!$A$2:$A$71,[1]products!$D$2:$D$71)</f>
        <v>236</v>
      </c>
      <c r="H634" s="22">
        <v>44967</v>
      </c>
      <c r="I634" s="22" t="str">
        <f t="shared" si="45"/>
        <v>February</v>
      </c>
      <c r="J634" s="22" t="str">
        <f t="shared" si="46"/>
        <v>Friday</v>
      </c>
      <c r="K634" s="23">
        <v>0.614375</v>
      </c>
      <c r="L634" s="22">
        <v>44972</v>
      </c>
      <c r="M634" s="24">
        <f>HOUR(orders!$K634)</f>
        <v>14</v>
      </c>
      <c r="N634" s="22" t="str">
        <f t="shared" si="47"/>
        <v>February</v>
      </c>
      <c r="O634" s="23">
        <v>0.2171990740740741</v>
      </c>
      <c r="P634" s="23" t="str">
        <f>_xlfn.XLOOKUP(B634,[2]customers!$A$2:$A$101,[2]customers!$C$2:$C$101)</f>
        <v>Sasaram</v>
      </c>
      <c r="Q634" s="20" t="s">
        <v>273</v>
      </c>
      <c r="R634" s="20" t="s">
        <v>23</v>
      </c>
      <c r="S634" s="21">
        <f t="shared" si="48"/>
        <v>1180</v>
      </c>
      <c r="T634" s="25">
        <f t="shared" si="49"/>
        <v>5</v>
      </c>
    </row>
    <row r="635" spans="1:20" x14ac:dyDescent="0.3">
      <c r="A635" s="14">
        <v>634</v>
      </c>
      <c r="B635" s="14" t="s">
        <v>144</v>
      </c>
      <c r="C635" s="14">
        <v>57</v>
      </c>
      <c r="D635" s="14" t="s">
        <v>488</v>
      </c>
      <c r="E635" s="14" t="s">
        <v>429</v>
      </c>
      <c r="F635" s="14">
        <v>3</v>
      </c>
      <c r="G635" s="15">
        <f>_xlfn.XLOOKUP(C635,[1]products!$A$2:$A$71,[1]products!$D$2:$D$71)</f>
        <v>1582</v>
      </c>
      <c r="H635" s="16">
        <v>45053</v>
      </c>
      <c r="I635" s="16" t="str">
        <f t="shared" si="45"/>
        <v>May</v>
      </c>
      <c r="J635" s="16" t="str">
        <f t="shared" si="46"/>
        <v>Sunday</v>
      </c>
      <c r="K635" s="17">
        <v>0.2751851851851852</v>
      </c>
      <c r="L635" s="16">
        <v>45057</v>
      </c>
      <c r="M635" s="18">
        <f>HOUR(orders!$K635)</f>
        <v>6</v>
      </c>
      <c r="N635" s="16" t="str">
        <f t="shared" si="47"/>
        <v>May</v>
      </c>
      <c r="O635" s="17">
        <v>0.57209490740740743</v>
      </c>
      <c r="P635" s="17" t="str">
        <f>_xlfn.XLOOKUP(B635,[2]customers!$A$2:$A$101,[2]customers!$C$2:$C$101)</f>
        <v>Aizawl</v>
      </c>
      <c r="Q635" s="14" t="s">
        <v>181</v>
      </c>
      <c r="R635" s="14" t="s">
        <v>20</v>
      </c>
      <c r="S635" s="15">
        <f t="shared" si="48"/>
        <v>4746</v>
      </c>
      <c r="T635" s="19">
        <f t="shared" si="49"/>
        <v>4</v>
      </c>
    </row>
    <row r="636" spans="1:20" x14ac:dyDescent="0.3">
      <c r="A636" s="20">
        <v>635</v>
      </c>
      <c r="B636" s="20" t="s">
        <v>109</v>
      </c>
      <c r="C636" s="20">
        <v>67</v>
      </c>
      <c r="D636" s="20" t="s">
        <v>425</v>
      </c>
      <c r="E636" s="20" t="s">
        <v>26</v>
      </c>
      <c r="F636" s="20">
        <v>1</v>
      </c>
      <c r="G636" s="21">
        <f>_xlfn.XLOOKUP(C636,[1]products!$A$2:$A$71,[1]products!$D$2:$D$71)</f>
        <v>1374</v>
      </c>
      <c r="H636" s="22">
        <v>45242</v>
      </c>
      <c r="I636" s="22" t="str">
        <f t="shared" si="45"/>
        <v>November</v>
      </c>
      <c r="J636" s="22" t="str">
        <f t="shared" si="46"/>
        <v>Sunday</v>
      </c>
      <c r="K636" s="23">
        <v>0.77582175925925922</v>
      </c>
      <c r="L636" s="22">
        <v>45252</v>
      </c>
      <c r="M636" s="24">
        <f>HOUR(orders!$K636)</f>
        <v>18</v>
      </c>
      <c r="N636" s="22" t="str">
        <f t="shared" si="47"/>
        <v>November</v>
      </c>
      <c r="O636" s="23">
        <v>0.30800925925925926</v>
      </c>
      <c r="P636" s="23" t="str">
        <f>_xlfn.XLOOKUP(B636,[2]customers!$A$2:$A$101,[2]customers!$C$2:$C$101)</f>
        <v>Warangal</v>
      </c>
      <c r="Q636" s="20" t="s">
        <v>232</v>
      </c>
      <c r="R636" s="20" t="s">
        <v>12</v>
      </c>
      <c r="S636" s="21">
        <f t="shared" si="48"/>
        <v>1374</v>
      </c>
      <c r="T636" s="25">
        <f t="shared" si="49"/>
        <v>10</v>
      </c>
    </row>
    <row r="637" spans="1:20" x14ac:dyDescent="0.3">
      <c r="A637" s="14">
        <v>636</v>
      </c>
      <c r="B637" s="14" t="s">
        <v>80</v>
      </c>
      <c r="C637" s="14">
        <v>53</v>
      </c>
      <c r="D637" s="14" t="s">
        <v>496</v>
      </c>
      <c r="E637" s="14" t="s">
        <v>427</v>
      </c>
      <c r="F637" s="14">
        <v>2</v>
      </c>
      <c r="G637" s="15">
        <f>_xlfn.XLOOKUP(C637,[1]products!$A$2:$A$71,[1]products!$D$2:$D$71)</f>
        <v>1672</v>
      </c>
      <c r="H637" s="16">
        <v>45163</v>
      </c>
      <c r="I637" s="16" t="str">
        <f t="shared" si="45"/>
        <v>August</v>
      </c>
      <c r="J637" s="16" t="str">
        <f t="shared" si="46"/>
        <v>Friday</v>
      </c>
      <c r="K637" s="17">
        <v>0.3044675925925926</v>
      </c>
      <c r="L637" s="16">
        <v>45171</v>
      </c>
      <c r="M637" s="18">
        <f>HOUR(orders!$K637)</f>
        <v>7</v>
      </c>
      <c r="N637" s="16" t="str">
        <f t="shared" si="47"/>
        <v>September</v>
      </c>
      <c r="O637" s="17">
        <v>0.1484375</v>
      </c>
      <c r="P637" s="17" t="str">
        <f>_xlfn.XLOOKUP(B637,[2]customers!$A$2:$A$101,[2]customers!$C$2:$C$101)</f>
        <v>Anand</v>
      </c>
      <c r="Q637" s="14" t="s">
        <v>62</v>
      </c>
      <c r="R637" s="14" t="s">
        <v>26</v>
      </c>
      <c r="S637" s="15">
        <f t="shared" si="48"/>
        <v>3344</v>
      </c>
      <c r="T637" s="19">
        <f t="shared" si="49"/>
        <v>8</v>
      </c>
    </row>
    <row r="638" spans="1:20" x14ac:dyDescent="0.3">
      <c r="A638" s="20">
        <v>637</v>
      </c>
      <c r="B638" s="20" t="s">
        <v>45</v>
      </c>
      <c r="C638" s="20">
        <v>51</v>
      </c>
      <c r="D638" s="20" t="s">
        <v>469</v>
      </c>
      <c r="E638" s="20" t="s">
        <v>445</v>
      </c>
      <c r="F638" s="20">
        <v>3</v>
      </c>
      <c r="G638" s="21">
        <f>_xlfn.XLOOKUP(C638,[1]products!$A$2:$A$71,[1]products!$D$2:$D$71)</f>
        <v>1084</v>
      </c>
      <c r="H638" s="22">
        <v>44997</v>
      </c>
      <c r="I638" s="22" t="str">
        <f t="shared" si="45"/>
        <v>March</v>
      </c>
      <c r="J638" s="22" t="str">
        <f t="shared" si="46"/>
        <v>Sunday</v>
      </c>
      <c r="K638" s="23">
        <v>0.81210648148148146</v>
      </c>
      <c r="L638" s="22">
        <v>45005</v>
      </c>
      <c r="M638" s="24">
        <f>HOUR(orders!$K638)</f>
        <v>19</v>
      </c>
      <c r="N638" s="22" t="str">
        <f t="shared" si="47"/>
        <v>March</v>
      </c>
      <c r="O638" s="23">
        <v>0.94043981481481476</v>
      </c>
      <c r="P638" s="23" t="str">
        <f>_xlfn.XLOOKUP(B638,[2]customers!$A$2:$A$101,[2]customers!$C$2:$C$101)</f>
        <v>Haridwar</v>
      </c>
      <c r="Q638" s="20" t="s">
        <v>115</v>
      </c>
      <c r="R638" s="20" t="s">
        <v>60</v>
      </c>
      <c r="S638" s="21">
        <f t="shared" si="48"/>
        <v>3252</v>
      </c>
      <c r="T638" s="25">
        <f t="shared" si="49"/>
        <v>8</v>
      </c>
    </row>
    <row r="639" spans="1:20" x14ac:dyDescent="0.3">
      <c r="A639" s="14">
        <v>638</v>
      </c>
      <c r="B639" s="14" t="s">
        <v>150</v>
      </c>
      <c r="C639" s="14">
        <v>39</v>
      </c>
      <c r="D639" s="14" t="s">
        <v>478</v>
      </c>
      <c r="E639" s="14" t="s">
        <v>458</v>
      </c>
      <c r="F639" s="14">
        <v>1</v>
      </c>
      <c r="G639" s="15">
        <f>_xlfn.XLOOKUP(C639,[1]products!$A$2:$A$71,[1]products!$D$2:$D$71)</f>
        <v>387</v>
      </c>
      <c r="H639" s="16">
        <v>45039</v>
      </c>
      <c r="I639" s="16" t="str">
        <f t="shared" si="45"/>
        <v>April</v>
      </c>
      <c r="J639" s="16" t="str">
        <f t="shared" si="46"/>
        <v>Sunday</v>
      </c>
      <c r="K639" s="17">
        <v>9.2743055555555565E-2</v>
      </c>
      <c r="L639" s="16">
        <v>45043</v>
      </c>
      <c r="M639" s="18">
        <f>HOUR(orders!$K639)</f>
        <v>2</v>
      </c>
      <c r="N639" s="16" t="str">
        <f t="shared" si="47"/>
        <v>April</v>
      </c>
      <c r="O639" s="17">
        <v>0.11898148148148148</v>
      </c>
      <c r="P639" s="17" t="str">
        <f>_xlfn.XLOOKUP(B639,[2]customers!$A$2:$A$101,[2]customers!$C$2:$C$101)</f>
        <v>Satara</v>
      </c>
      <c r="Q639" s="14" t="s">
        <v>351</v>
      </c>
      <c r="R639" s="14" t="s">
        <v>60</v>
      </c>
      <c r="S639" s="15">
        <f t="shared" si="48"/>
        <v>387</v>
      </c>
      <c r="T639" s="19">
        <f t="shared" si="49"/>
        <v>4</v>
      </c>
    </row>
    <row r="640" spans="1:20" x14ac:dyDescent="0.3">
      <c r="A640" s="20">
        <v>639</v>
      </c>
      <c r="B640" s="20" t="s">
        <v>264</v>
      </c>
      <c r="C640" s="20">
        <v>24</v>
      </c>
      <c r="D640" s="20" t="s">
        <v>485</v>
      </c>
      <c r="E640" s="20" t="s">
        <v>458</v>
      </c>
      <c r="F640" s="20">
        <v>1</v>
      </c>
      <c r="G640" s="21">
        <f>_xlfn.XLOOKUP(C640,[1]products!$A$2:$A$71,[1]products!$D$2:$D$71)</f>
        <v>535</v>
      </c>
      <c r="H640" s="22">
        <v>45072</v>
      </c>
      <c r="I640" s="22" t="str">
        <f t="shared" si="45"/>
        <v>May</v>
      </c>
      <c r="J640" s="22" t="str">
        <f t="shared" si="46"/>
        <v>Friday</v>
      </c>
      <c r="K640" s="23">
        <v>0.10869212962962964</v>
      </c>
      <c r="L640" s="22">
        <v>45077</v>
      </c>
      <c r="M640" s="24">
        <f>HOUR(orders!$K640)</f>
        <v>2</v>
      </c>
      <c r="N640" s="22" t="str">
        <f t="shared" si="47"/>
        <v>May</v>
      </c>
      <c r="O640" s="23">
        <v>0.13778935185185184</v>
      </c>
      <c r="P640" s="23" t="str">
        <f>_xlfn.XLOOKUP(B640,[2]customers!$A$2:$A$101,[2]customers!$C$2:$C$101)</f>
        <v>Cuttack</v>
      </c>
      <c r="Q640" s="20" t="s">
        <v>390</v>
      </c>
      <c r="R640" s="20" t="s">
        <v>20</v>
      </c>
      <c r="S640" s="21">
        <f t="shared" si="48"/>
        <v>535</v>
      </c>
      <c r="T640" s="25">
        <f t="shared" si="49"/>
        <v>5</v>
      </c>
    </row>
    <row r="641" spans="1:20" x14ac:dyDescent="0.3">
      <c r="A641" s="14">
        <v>640</v>
      </c>
      <c r="B641" s="14" t="s">
        <v>253</v>
      </c>
      <c r="C641" s="14">
        <v>59</v>
      </c>
      <c r="D641" s="14" t="s">
        <v>489</v>
      </c>
      <c r="E641" s="14" t="s">
        <v>431</v>
      </c>
      <c r="F641" s="14">
        <v>3</v>
      </c>
      <c r="G641" s="15">
        <f>_xlfn.XLOOKUP(C641,[1]products!$A$2:$A$71,[1]products!$D$2:$D$71)</f>
        <v>811</v>
      </c>
      <c r="H641" s="16">
        <v>45161</v>
      </c>
      <c r="I641" s="16" t="str">
        <f t="shared" si="45"/>
        <v>August</v>
      </c>
      <c r="J641" s="16" t="str">
        <f t="shared" si="46"/>
        <v>Wednesday</v>
      </c>
      <c r="K641" s="17">
        <v>0.26170138888888889</v>
      </c>
      <c r="L641" s="16">
        <v>45169</v>
      </c>
      <c r="M641" s="18">
        <f>HOUR(orders!$K641)</f>
        <v>6</v>
      </c>
      <c r="N641" s="16" t="str">
        <f t="shared" si="47"/>
        <v>August</v>
      </c>
      <c r="O641" s="17">
        <v>0.79677083333333332</v>
      </c>
      <c r="P641" s="17" t="str">
        <f>_xlfn.XLOOKUP(B641,[2]customers!$A$2:$A$101,[2]customers!$C$2:$C$101)</f>
        <v>Nellore</v>
      </c>
      <c r="Q641" s="14" t="s">
        <v>53</v>
      </c>
      <c r="R641" s="14" t="s">
        <v>26</v>
      </c>
      <c r="S641" s="15">
        <f t="shared" si="48"/>
        <v>2433</v>
      </c>
      <c r="T641" s="19">
        <f t="shared" si="49"/>
        <v>8</v>
      </c>
    </row>
    <row r="642" spans="1:20" x14ac:dyDescent="0.3">
      <c r="A642" s="20">
        <v>641</v>
      </c>
      <c r="B642" s="20" t="s">
        <v>64</v>
      </c>
      <c r="C642" s="20">
        <v>15</v>
      </c>
      <c r="D642" s="20" t="s">
        <v>482</v>
      </c>
      <c r="E642" s="20" t="s">
        <v>26</v>
      </c>
      <c r="F642" s="20">
        <v>4</v>
      </c>
      <c r="G642" s="21">
        <f>_xlfn.XLOOKUP(C642,[1]products!$A$2:$A$71,[1]products!$D$2:$D$71)</f>
        <v>1488</v>
      </c>
      <c r="H642" s="22">
        <v>45064</v>
      </c>
      <c r="I642" s="22" t="str">
        <f t="shared" si="45"/>
        <v>May</v>
      </c>
      <c r="J642" s="22" t="str">
        <f t="shared" si="46"/>
        <v>Thursday</v>
      </c>
      <c r="K642" s="23">
        <v>0.99995370370370373</v>
      </c>
      <c r="L642" s="22">
        <v>45072</v>
      </c>
      <c r="M642" s="24">
        <f>HOUR(orders!$K642)</f>
        <v>23</v>
      </c>
      <c r="N642" s="22" t="str">
        <f t="shared" si="47"/>
        <v>May</v>
      </c>
      <c r="O642" s="23">
        <v>0.80202546296296295</v>
      </c>
      <c r="P642" s="23" t="str">
        <f>_xlfn.XLOOKUP(B642,[2]customers!$A$2:$A$101,[2]customers!$C$2:$C$101)</f>
        <v>Jamnagar</v>
      </c>
      <c r="Q642" s="20" t="s">
        <v>327</v>
      </c>
      <c r="R642" s="20" t="s">
        <v>12</v>
      </c>
      <c r="S642" s="21">
        <f t="shared" si="48"/>
        <v>5952</v>
      </c>
      <c r="T642" s="25">
        <f t="shared" si="49"/>
        <v>8</v>
      </c>
    </row>
    <row r="643" spans="1:20" x14ac:dyDescent="0.3">
      <c r="A643" s="14">
        <v>642</v>
      </c>
      <c r="B643" s="14" t="s">
        <v>354</v>
      </c>
      <c r="C643" s="14">
        <v>44</v>
      </c>
      <c r="D643" s="14" t="s">
        <v>470</v>
      </c>
      <c r="E643" s="14" t="s">
        <v>447</v>
      </c>
      <c r="F643" s="14">
        <v>5</v>
      </c>
      <c r="G643" s="15">
        <f>_xlfn.XLOOKUP(C643,[1]products!$A$2:$A$71,[1]products!$D$2:$D$71)</f>
        <v>794</v>
      </c>
      <c r="H643" s="16">
        <v>45232</v>
      </c>
      <c r="I643" s="16" t="str">
        <f t="shared" ref="I643:I706" si="50">TEXT(H643,"mmmm")</f>
        <v>November</v>
      </c>
      <c r="J643" s="16" t="str">
        <f t="shared" ref="J643:J706" si="51">TEXT(H643,"dddd")</f>
        <v>Thursday</v>
      </c>
      <c r="K643" s="17">
        <v>0.22643518518518521</v>
      </c>
      <c r="L643" s="16">
        <v>45237</v>
      </c>
      <c r="M643" s="18">
        <f>HOUR(orders!$K643)</f>
        <v>5</v>
      </c>
      <c r="N643" s="16" t="str">
        <f t="shared" ref="N643:N706" si="52">TEXT(L643,"mmmm")</f>
        <v>November</v>
      </c>
      <c r="O643" s="17">
        <v>2.0729166666666667E-2</v>
      </c>
      <c r="P643" s="17" t="str">
        <f>_xlfn.XLOOKUP(B643,[2]customers!$A$2:$A$101,[2]customers!$C$2:$C$101)</f>
        <v>Mehsana</v>
      </c>
      <c r="Q643" s="14" t="s">
        <v>106</v>
      </c>
      <c r="R643" s="14" t="s">
        <v>15</v>
      </c>
      <c r="S643" s="15">
        <f t="shared" ref="S643:S706" si="53">G643*F643</f>
        <v>3970</v>
      </c>
      <c r="T643" s="19">
        <f t="shared" ref="T643:T706" si="54">L643-H643</f>
        <v>5</v>
      </c>
    </row>
    <row r="644" spans="1:20" x14ac:dyDescent="0.3">
      <c r="A644" s="20">
        <v>643</v>
      </c>
      <c r="B644" s="20" t="s">
        <v>64</v>
      </c>
      <c r="C644" s="20">
        <v>35</v>
      </c>
      <c r="D644" s="20" t="s">
        <v>462</v>
      </c>
      <c r="E644" s="20" t="s">
        <v>429</v>
      </c>
      <c r="F644" s="20">
        <v>2</v>
      </c>
      <c r="G644" s="21">
        <f>_xlfn.XLOOKUP(C644,[1]products!$A$2:$A$71,[1]products!$D$2:$D$71)</f>
        <v>1865</v>
      </c>
      <c r="H644" s="22">
        <v>44983</v>
      </c>
      <c r="I644" s="22" t="str">
        <f t="shared" si="50"/>
        <v>February</v>
      </c>
      <c r="J644" s="22" t="str">
        <f t="shared" si="51"/>
        <v>Sunday</v>
      </c>
      <c r="K644" s="23">
        <v>0.54888888888888887</v>
      </c>
      <c r="L644" s="22">
        <v>44991</v>
      </c>
      <c r="M644" s="24">
        <f>HOUR(orders!$K644)</f>
        <v>13</v>
      </c>
      <c r="N644" s="22" t="str">
        <f t="shared" si="52"/>
        <v>March</v>
      </c>
      <c r="O644" s="23">
        <v>0.85011574074074081</v>
      </c>
      <c r="P644" s="23" t="str">
        <f>_xlfn.XLOOKUP(B644,[2]customers!$A$2:$A$101,[2]customers!$C$2:$C$101)</f>
        <v>Jamnagar</v>
      </c>
      <c r="Q644" s="20" t="s">
        <v>148</v>
      </c>
      <c r="R644" s="20" t="s">
        <v>36</v>
      </c>
      <c r="S644" s="21">
        <f t="shared" si="53"/>
        <v>3730</v>
      </c>
      <c r="T644" s="25">
        <f t="shared" si="54"/>
        <v>8</v>
      </c>
    </row>
    <row r="645" spans="1:20" x14ac:dyDescent="0.3">
      <c r="A645" s="14">
        <v>644</v>
      </c>
      <c r="B645" s="14" t="s">
        <v>127</v>
      </c>
      <c r="C645" s="14">
        <v>67</v>
      </c>
      <c r="D645" s="14" t="s">
        <v>425</v>
      </c>
      <c r="E645" s="14" t="s">
        <v>26</v>
      </c>
      <c r="F645" s="14">
        <v>1</v>
      </c>
      <c r="G645" s="15">
        <f>_xlfn.XLOOKUP(C645,[1]products!$A$2:$A$71,[1]products!$D$2:$D$71)</f>
        <v>1374</v>
      </c>
      <c r="H645" s="16">
        <v>45170</v>
      </c>
      <c r="I645" s="16" t="str">
        <f t="shared" si="50"/>
        <v>September</v>
      </c>
      <c r="J645" s="16" t="str">
        <f t="shared" si="51"/>
        <v>Friday</v>
      </c>
      <c r="K645" s="17">
        <v>0.62124999999999997</v>
      </c>
      <c r="L645" s="16">
        <v>45180</v>
      </c>
      <c r="M645" s="18">
        <f>HOUR(orders!$K645)</f>
        <v>14</v>
      </c>
      <c r="N645" s="16" t="str">
        <f t="shared" si="52"/>
        <v>September</v>
      </c>
      <c r="O645" s="17">
        <v>0.47312500000000002</v>
      </c>
      <c r="P645" s="17" t="str">
        <f>_xlfn.XLOOKUP(B645,[2]customers!$A$2:$A$101,[2]customers!$C$2:$C$101)</f>
        <v>Imphal</v>
      </c>
      <c r="Q645" s="14" t="s">
        <v>330</v>
      </c>
      <c r="R645" s="14" t="s">
        <v>12</v>
      </c>
      <c r="S645" s="15">
        <f t="shared" si="53"/>
        <v>1374</v>
      </c>
      <c r="T645" s="19">
        <f t="shared" si="54"/>
        <v>10</v>
      </c>
    </row>
    <row r="646" spans="1:20" x14ac:dyDescent="0.3">
      <c r="A646" s="20">
        <v>645</v>
      </c>
      <c r="B646" s="20" t="s">
        <v>123</v>
      </c>
      <c r="C646" s="20">
        <v>50</v>
      </c>
      <c r="D646" s="20" t="s">
        <v>487</v>
      </c>
      <c r="E646" s="20" t="s">
        <v>447</v>
      </c>
      <c r="F646" s="20">
        <v>3</v>
      </c>
      <c r="G646" s="21">
        <f>_xlfn.XLOOKUP(C646,[1]products!$A$2:$A$71,[1]products!$D$2:$D$71)</f>
        <v>422</v>
      </c>
      <c r="H646" s="22">
        <v>44984</v>
      </c>
      <c r="I646" s="22" t="str">
        <f t="shared" si="50"/>
        <v>February</v>
      </c>
      <c r="J646" s="22" t="str">
        <f t="shared" si="51"/>
        <v>Monday</v>
      </c>
      <c r="K646" s="23">
        <v>7.4062499999999989E-2</v>
      </c>
      <c r="L646" s="22">
        <v>44985</v>
      </c>
      <c r="M646" s="24">
        <f>HOUR(orders!$K646)</f>
        <v>1</v>
      </c>
      <c r="N646" s="22" t="str">
        <f t="shared" si="52"/>
        <v>February</v>
      </c>
      <c r="O646" s="23">
        <v>8.8321759259259267E-2</v>
      </c>
      <c r="P646" s="23" t="str">
        <f>_xlfn.XLOOKUP(B646,[2]customers!$A$2:$A$101,[2]customers!$C$2:$C$101)</f>
        <v>Indore</v>
      </c>
      <c r="Q646" s="20" t="s">
        <v>110</v>
      </c>
      <c r="R646" s="20" t="s">
        <v>36</v>
      </c>
      <c r="S646" s="21">
        <f t="shared" si="53"/>
        <v>1266</v>
      </c>
      <c r="T646" s="25">
        <f t="shared" si="54"/>
        <v>1</v>
      </c>
    </row>
    <row r="647" spans="1:20" x14ac:dyDescent="0.3">
      <c r="A647" s="14">
        <v>646</v>
      </c>
      <c r="B647" s="14" t="s">
        <v>121</v>
      </c>
      <c r="C647" s="14">
        <v>38</v>
      </c>
      <c r="D647" s="14" t="s">
        <v>438</v>
      </c>
      <c r="E647" s="14" t="s">
        <v>431</v>
      </c>
      <c r="F647" s="14">
        <v>5</v>
      </c>
      <c r="G647" s="15">
        <f>_xlfn.XLOOKUP(C647,[1]products!$A$2:$A$71,[1]products!$D$2:$D$71)</f>
        <v>562</v>
      </c>
      <c r="H647" s="16">
        <v>45059</v>
      </c>
      <c r="I647" s="16" t="str">
        <f t="shared" si="50"/>
        <v>May</v>
      </c>
      <c r="J647" s="16" t="str">
        <f t="shared" si="51"/>
        <v>Saturday</v>
      </c>
      <c r="K647" s="17">
        <v>0.68761574074074072</v>
      </c>
      <c r="L647" s="16">
        <v>45069</v>
      </c>
      <c r="M647" s="18">
        <f>HOUR(orders!$K647)</f>
        <v>16</v>
      </c>
      <c r="N647" s="16" t="str">
        <f t="shared" si="52"/>
        <v>May</v>
      </c>
      <c r="O647" s="17">
        <v>0.38678240740740738</v>
      </c>
      <c r="P647" s="17" t="str">
        <f>_xlfn.XLOOKUP(B647,[2]customers!$A$2:$A$101,[2]customers!$C$2:$C$101)</f>
        <v>Kolkata</v>
      </c>
      <c r="Q647" s="14" t="s">
        <v>376</v>
      </c>
      <c r="R647" s="14" t="s">
        <v>20</v>
      </c>
      <c r="S647" s="15">
        <f t="shared" si="53"/>
        <v>2810</v>
      </c>
      <c r="T647" s="19">
        <f t="shared" si="54"/>
        <v>10</v>
      </c>
    </row>
    <row r="648" spans="1:20" x14ac:dyDescent="0.3">
      <c r="A648" s="20">
        <v>647</v>
      </c>
      <c r="B648" s="20" t="s">
        <v>41</v>
      </c>
      <c r="C648" s="20">
        <v>21</v>
      </c>
      <c r="D648" s="20" t="s">
        <v>436</v>
      </c>
      <c r="E648" s="20" t="s">
        <v>429</v>
      </c>
      <c r="F648" s="20">
        <v>5</v>
      </c>
      <c r="G648" s="21">
        <f>_xlfn.XLOOKUP(C648,[1]products!$A$2:$A$71,[1]products!$D$2:$D$71)</f>
        <v>1561</v>
      </c>
      <c r="H648" s="22">
        <v>45163</v>
      </c>
      <c r="I648" s="22" t="str">
        <f t="shared" si="50"/>
        <v>August</v>
      </c>
      <c r="J648" s="22" t="str">
        <f t="shared" si="51"/>
        <v>Friday</v>
      </c>
      <c r="K648" s="23">
        <v>0.70862268518518512</v>
      </c>
      <c r="L648" s="22">
        <v>45164</v>
      </c>
      <c r="M648" s="24">
        <f>HOUR(orders!$K648)</f>
        <v>17</v>
      </c>
      <c r="N648" s="22" t="str">
        <f t="shared" si="52"/>
        <v>August</v>
      </c>
      <c r="O648" s="23">
        <v>6.1851851851851852E-2</v>
      </c>
      <c r="P648" s="23" t="str">
        <f>_xlfn.XLOOKUP(B648,[2]customers!$A$2:$A$101,[2]customers!$C$2:$C$101)</f>
        <v>Madhyamgram</v>
      </c>
      <c r="Q648" s="20" t="s">
        <v>391</v>
      </c>
      <c r="R648" s="20" t="s">
        <v>26</v>
      </c>
      <c r="S648" s="21">
        <f t="shared" si="53"/>
        <v>7805</v>
      </c>
      <c r="T648" s="25">
        <f t="shared" si="54"/>
        <v>1</v>
      </c>
    </row>
    <row r="649" spans="1:20" x14ac:dyDescent="0.3">
      <c r="A649" s="14">
        <v>648</v>
      </c>
      <c r="B649" s="14" t="s">
        <v>24</v>
      </c>
      <c r="C649" s="14">
        <v>41</v>
      </c>
      <c r="D649" s="14" t="s">
        <v>426</v>
      </c>
      <c r="E649" s="14" t="s">
        <v>427</v>
      </c>
      <c r="F649" s="14">
        <v>3</v>
      </c>
      <c r="G649" s="15">
        <f>_xlfn.XLOOKUP(C649,[1]products!$A$2:$A$71,[1]products!$D$2:$D$71)</f>
        <v>1977</v>
      </c>
      <c r="H649" s="16">
        <v>45235</v>
      </c>
      <c r="I649" s="16" t="str">
        <f t="shared" si="50"/>
        <v>November</v>
      </c>
      <c r="J649" s="16" t="str">
        <f t="shared" si="51"/>
        <v>Sunday</v>
      </c>
      <c r="K649" s="17">
        <v>0.79601851851851846</v>
      </c>
      <c r="L649" s="16">
        <v>45239</v>
      </c>
      <c r="M649" s="18">
        <f>HOUR(orders!$K649)</f>
        <v>19</v>
      </c>
      <c r="N649" s="16" t="str">
        <f t="shared" si="52"/>
        <v>November</v>
      </c>
      <c r="O649" s="17">
        <v>0.35069444444444442</v>
      </c>
      <c r="P649" s="17" t="str">
        <f>_xlfn.XLOOKUP(B649,[2]customers!$A$2:$A$101,[2]customers!$C$2:$C$101)</f>
        <v>Pallavaram</v>
      </c>
      <c r="Q649" s="14" t="s">
        <v>122</v>
      </c>
      <c r="R649" s="14" t="s">
        <v>15</v>
      </c>
      <c r="S649" s="15">
        <f t="shared" si="53"/>
        <v>5931</v>
      </c>
      <c r="T649" s="19">
        <f t="shared" si="54"/>
        <v>4</v>
      </c>
    </row>
    <row r="650" spans="1:20" x14ac:dyDescent="0.3">
      <c r="A650" s="20">
        <v>649</v>
      </c>
      <c r="B650" s="20" t="s">
        <v>142</v>
      </c>
      <c r="C650" s="20">
        <v>43</v>
      </c>
      <c r="D650" s="20" t="s">
        <v>434</v>
      </c>
      <c r="E650" s="20" t="s">
        <v>26</v>
      </c>
      <c r="F650" s="20">
        <v>3</v>
      </c>
      <c r="G650" s="21">
        <f>_xlfn.XLOOKUP(C650,[1]products!$A$2:$A$71,[1]products!$D$2:$D$71)</f>
        <v>750</v>
      </c>
      <c r="H650" s="22">
        <v>45232</v>
      </c>
      <c r="I650" s="22" t="str">
        <f t="shared" si="50"/>
        <v>November</v>
      </c>
      <c r="J650" s="22" t="str">
        <f t="shared" si="51"/>
        <v>Thursday</v>
      </c>
      <c r="K650" s="23">
        <v>0.12894675925925927</v>
      </c>
      <c r="L650" s="22">
        <v>45241</v>
      </c>
      <c r="M650" s="24">
        <f>HOUR(orders!$K650)</f>
        <v>3</v>
      </c>
      <c r="N650" s="22" t="str">
        <f t="shared" si="52"/>
        <v>November</v>
      </c>
      <c r="O650" s="23">
        <v>0.37170138888888887</v>
      </c>
      <c r="P650" s="23" t="str">
        <f>_xlfn.XLOOKUP(B650,[2]customers!$A$2:$A$101,[2]customers!$C$2:$C$101)</f>
        <v>Bharatpur</v>
      </c>
      <c r="Q650" s="20" t="s">
        <v>269</v>
      </c>
      <c r="R650" s="20" t="s">
        <v>15</v>
      </c>
      <c r="S650" s="21">
        <f t="shared" si="53"/>
        <v>2250</v>
      </c>
      <c r="T650" s="25">
        <f t="shared" si="54"/>
        <v>9</v>
      </c>
    </row>
    <row r="651" spans="1:20" x14ac:dyDescent="0.3">
      <c r="A651" s="14">
        <v>650</v>
      </c>
      <c r="B651" s="14" t="s">
        <v>112</v>
      </c>
      <c r="C651" s="14">
        <v>32</v>
      </c>
      <c r="D651" s="14" t="s">
        <v>444</v>
      </c>
      <c r="E651" s="14" t="s">
        <v>445</v>
      </c>
      <c r="F651" s="14">
        <v>3</v>
      </c>
      <c r="G651" s="15">
        <f>_xlfn.XLOOKUP(C651,[1]products!$A$2:$A$71,[1]products!$D$2:$D$71)</f>
        <v>1792</v>
      </c>
      <c r="H651" s="16">
        <v>44980</v>
      </c>
      <c r="I651" s="16" t="str">
        <f t="shared" si="50"/>
        <v>February</v>
      </c>
      <c r="J651" s="16" t="str">
        <f t="shared" si="51"/>
        <v>Thursday</v>
      </c>
      <c r="K651" s="17">
        <v>7.9664351851851847E-2</v>
      </c>
      <c r="L651" s="16">
        <v>44987</v>
      </c>
      <c r="M651" s="18">
        <f>HOUR(orders!$K651)</f>
        <v>1</v>
      </c>
      <c r="N651" s="16" t="str">
        <f t="shared" si="52"/>
        <v>March</v>
      </c>
      <c r="O651" s="17">
        <v>0.13166666666666668</v>
      </c>
      <c r="P651" s="17" t="str">
        <f>_xlfn.XLOOKUP(B651,[2]customers!$A$2:$A$101,[2]customers!$C$2:$C$101)</f>
        <v>Panchkula</v>
      </c>
      <c r="Q651" s="14" t="s">
        <v>19</v>
      </c>
      <c r="R651" s="14" t="s">
        <v>20</v>
      </c>
      <c r="S651" s="15">
        <f t="shared" si="53"/>
        <v>5376</v>
      </c>
      <c r="T651" s="19">
        <f t="shared" si="54"/>
        <v>7</v>
      </c>
    </row>
    <row r="652" spans="1:20" x14ac:dyDescent="0.3">
      <c r="A652" s="20">
        <v>651</v>
      </c>
      <c r="B652" s="20" t="s">
        <v>125</v>
      </c>
      <c r="C652" s="20">
        <v>11</v>
      </c>
      <c r="D652" s="20" t="s">
        <v>476</v>
      </c>
      <c r="E652" s="20" t="s">
        <v>458</v>
      </c>
      <c r="F652" s="20">
        <v>4</v>
      </c>
      <c r="G652" s="21">
        <f>_xlfn.XLOOKUP(C652,[1]products!$A$2:$A$71,[1]products!$D$2:$D$71)</f>
        <v>1096</v>
      </c>
      <c r="H652" s="22">
        <v>44970</v>
      </c>
      <c r="I652" s="22" t="str">
        <f t="shared" si="50"/>
        <v>February</v>
      </c>
      <c r="J652" s="22" t="str">
        <f t="shared" si="51"/>
        <v>Monday</v>
      </c>
      <c r="K652" s="23">
        <v>9.4768518518518516E-2</v>
      </c>
      <c r="L652" s="22">
        <v>44976</v>
      </c>
      <c r="M652" s="24">
        <f>HOUR(orders!$K652)</f>
        <v>2</v>
      </c>
      <c r="N652" s="22" t="str">
        <f t="shared" si="52"/>
        <v>February</v>
      </c>
      <c r="O652" s="23">
        <v>0.49715277777777778</v>
      </c>
      <c r="P652" s="23" t="str">
        <f>_xlfn.XLOOKUP(B652,[2]customers!$A$2:$A$101,[2]customers!$C$2:$C$101)</f>
        <v>Gangtok</v>
      </c>
      <c r="Q652" s="20" t="s">
        <v>117</v>
      </c>
      <c r="R652" s="20" t="s">
        <v>23</v>
      </c>
      <c r="S652" s="21">
        <f t="shared" si="53"/>
        <v>4384</v>
      </c>
      <c r="T652" s="25">
        <f t="shared" si="54"/>
        <v>6</v>
      </c>
    </row>
    <row r="653" spans="1:20" x14ac:dyDescent="0.3">
      <c r="A653" s="14">
        <v>652</v>
      </c>
      <c r="B653" s="14" t="s">
        <v>146</v>
      </c>
      <c r="C653" s="14">
        <v>21</v>
      </c>
      <c r="D653" s="14" t="s">
        <v>436</v>
      </c>
      <c r="E653" s="14" t="s">
        <v>429</v>
      </c>
      <c r="F653" s="14">
        <v>2</v>
      </c>
      <c r="G653" s="15">
        <f>_xlfn.XLOOKUP(C653,[1]products!$A$2:$A$71,[1]products!$D$2:$D$71)</f>
        <v>1561</v>
      </c>
      <c r="H653" s="16">
        <v>45166</v>
      </c>
      <c r="I653" s="16" t="str">
        <f t="shared" si="50"/>
        <v>August</v>
      </c>
      <c r="J653" s="16" t="str">
        <f t="shared" si="51"/>
        <v>Monday</v>
      </c>
      <c r="K653" s="17">
        <v>0.82024305555555566</v>
      </c>
      <c r="L653" s="16">
        <v>45172</v>
      </c>
      <c r="M653" s="18">
        <f>HOUR(orders!$K653)</f>
        <v>19</v>
      </c>
      <c r="N653" s="16" t="str">
        <f t="shared" si="52"/>
        <v>September</v>
      </c>
      <c r="O653" s="17">
        <v>1.0532407407407407E-3</v>
      </c>
      <c r="P653" s="17" t="str">
        <f>_xlfn.XLOOKUP(B653,[2]customers!$A$2:$A$101,[2]customers!$C$2:$C$101)</f>
        <v>Surat</v>
      </c>
      <c r="Q653" s="14" t="s">
        <v>248</v>
      </c>
      <c r="R653" s="14" t="s">
        <v>26</v>
      </c>
      <c r="S653" s="15">
        <f t="shared" si="53"/>
        <v>3122</v>
      </c>
      <c r="T653" s="19">
        <f t="shared" si="54"/>
        <v>6</v>
      </c>
    </row>
    <row r="654" spans="1:20" x14ac:dyDescent="0.3">
      <c r="A654" s="20">
        <v>653</v>
      </c>
      <c r="B654" s="20" t="s">
        <v>268</v>
      </c>
      <c r="C654" s="20">
        <v>17</v>
      </c>
      <c r="D654" s="20" t="s">
        <v>455</v>
      </c>
      <c r="E654" s="20" t="s">
        <v>445</v>
      </c>
      <c r="F654" s="20">
        <v>4</v>
      </c>
      <c r="G654" s="21">
        <f>_xlfn.XLOOKUP(C654,[1]products!$A$2:$A$71,[1]products!$D$2:$D$71)</f>
        <v>1899</v>
      </c>
      <c r="H654" s="22">
        <v>45259</v>
      </c>
      <c r="I654" s="22" t="str">
        <f t="shared" si="50"/>
        <v>November</v>
      </c>
      <c r="J654" s="22" t="str">
        <f t="shared" si="51"/>
        <v>Wednesday</v>
      </c>
      <c r="K654" s="23">
        <v>0.56813657407407414</v>
      </c>
      <c r="L654" s="22">
        <v>45261</v>
      </c>
      <c r="M654" s="24">
        <f>HOUR(orders!$K654)</f>
        <v>13</v>
      </c>
      <c r="N654" s="22" t="str">
        <f t="shared" si="52"/>
        <v>December</v>
      </c>
      <c r="O654" s="23">
        <v>0.24457175925925925</v>
      </c>
      <c r="P654" s="23" t="str">
        <f>_xlfn.XLOOKUP(B654,[2]customers!$A$2:$A$101,[2]customers!$C$2:$C$101)</f>
        <v>Gaya</v>
      </c>
      <c r="Q654" s="20" t="s">
        <v>189</v>
      </c>
      <c r="R654" s="20" t="s">
        <v>12</v>
      </c>
      <c r="S654" s="21">
        <f t="shared" si="53"/>
        <v>7596</v>
      </c>
      <c r="T654" s="25">
        <f t="shared" si="54"/>
        <v>2</v>
      </c>
    </row>
    <row r="655" spans="1:20" x14ac:dyDescent="0.3">
      <c r="A655" s="14">
        <v>654</v>
      </c>
      <c r="B655" s="14" t="s">
        <v>13</v>
      </c>
      <c r="C655" s="14">
        <v>64</v>
      </c>
      <c r="D655" s="14" t="s">
        <v>492</v>
      </c>
      <c r="E655" s="14" t="s">
        <v>445</v>
      </c>
      <c r="F655" s="14">
        <v>2</v>
      </c>
      <c r="G655" s="15">
        <f>_xlfn.XLOOKUP(C655,[1]products!$A$2:$A$71,[1]products!$D$2:$D$71)</f>
        <v>1878</v>
      </c>
      <c r="H655" s="16">
        <v>45167</v>
      </c>
      <c r="I655" s="16" t="str">
        <f t="shared" si="50"/>
        <v>August</v>
      </c>
      <c r="J655" s="16" t="str">
        <f t="shared" si="51"/>
        <v>Tuesday</v>
      </c>
      <c r="K655" s="17">
        <v>0.20364583333333333</v>
      </c>
      <c r="L655" s="16">
        <v>45171</v>
      </c>
      <c r="M655" s="18">
        <f>HOUR(orders!$K655)</f>
        <v>4</v>
      </c>
      <c r="N655" s="16" t="str">
        <f t="shared" si="52"/>
        <v>September</v>
      </c>
      <c r="O655" s="17">
        <v>2.8622685185185185E-2</v>
      </c>
      <c r="P655" s="17" t="str">
        <f>_xlfn.XLOOKUP(B655,[2]customers!$A$2:$A$101,[2]customers!$C$2:$C$101)</f>
        <v>Danapur</v>
      </c>
      <c r="Q655" s="14" t="s">
        <v>177</v>
      </c>
      <c r="R655" s="14" t="s">
        <v>26</v>
      </c>
      <c r="S655" s="15">
        <f t="shared" si="53"/>
        <v>3756</v>
      </c>
      <c r="T655" s="19">
        <f t="shared" si="54"/>
        <v>4</v>
      </c>
    </row>
    <row r="656" spans="1:20" x14ac:dyDescent="0.3">
      <c r="A656" s="20">
        <v>655</v>
      </c>
      <c r="B656" s="20" t="s">
        <v>121</v>
      </c>
      <c r="C656" s="20">
        <v>17</v>
      </c>
      <c r="D656" s="20" t="s">
        <v>455</v>
      </c>
      <c r="E656" s="20" t="s">
        <v>445</v>
      </c>
      <c r="F656" s="20">
        <v>1</v>
      </c>
      <c r="G656" s="21">
        <f>_xlfn.XLOOKUP(C656,[1]products!$A$2:$A$71,[1]products!$D$2:$D$71)</f>
        <v>1899</v>
      </c>
      <c r="H656" s="22">
        <v>45238</v>
      </c>
      <c r="I656" s="22" t="str">
        <f t="shared" si="50"/>
        <v>November</v>
      </c>
      <c r="J656" s="22" t="str">
        <f t="shared" si="51"/>
        <v>Wednesday</v>
      </c>
      <c r="K656" s="23">
        <v>0.88824074074074078</v>
      </c>
      <c r="L656" s="22">
        <v>45247</v>
      </c>
      <c r="M656" s="24">
        <f>HOUR(orders!$K656)</f>
        <v>21</v>
      </c>
      <c r="N656" s="22" t="str">
        <f t="shared" si="52"/>
        <v>November</v>
      </c>
      <c r="O656" s="23">
        <v>0.79001157407407396</v>
      </c>
      <c r="P656" s="23" t="str">
        <f>_xlfn.XLOOKUP(B656,[2]customers!$A$2:$A$101,[2]customers!$C$2:$C$101)</f>
        <v>Kolkata</v>
      </c>
      <c r="Q656" s="20" t="s">
        <v>214</v>
      </c>
      <c r="R656" s="20" t="s">
        <v>12</v>
      </c>
      <c r="S656" s="21">
        <f t="shared" si="53"/>
        <v>1899</v>
      </c>
      <c r="T656" s="25">
        <f t="shared" si="54"/>
        <v>9</v>
      </c>
    </row>
    <row r="657" spans="1:20" x14ac:dyDescent="0.3">
      <c r="A657" s="14">
        <v>656</v>
      </c>
      <c r="B657" s="14" t="s">
        <v>146</v>
      </c>
      <c r="C657" s="14">
        <v>68</v>
      </c>
      <c r="D657" s="14" t="s">
        <v>494</v>
      </c>
      <c r="E657" s="14" t="s">
        <v>445</v>
      </c>
      <c r="F657" s="14">
        <v>2</v>
      </c>
      <c r="G657" s="15">
        <f>_xlfn.XLOOKUP(C657,[1]products!$A$2:$A$71,[1]products!$D$2:$D$71)</f>
        <v>597</v>
      </c>
      <c r="H657" s="16">
        <v>44962</v>
      </c>
      <c r="I657" s="16" t="str">
        <f t="shared" si="50"/>
        <v>February</v>
      </c>
      <c r="J657" s="16" t="str">
        <f t="shared" si="51"/>
        <v>Sunday</v>
      </c>
      <c r="K657" s="17">
        <v>0.77408564814814806</v>
      </c>
      <c r="L657" s="16">
        <v>44963</v>
      </c>
      <c r="M657" s="18">
        <f>HOUR(orders!$K657)</f>
        <v>18</v>
      </c>
      <c r="N657" s="16" t="str">
        <f t="shared" si="52"/>
        <v>February</v>
      </c>
      <c r="O657" s="17">
        <v>0.1986111111111111</v>
      </c>
      <c r="P657" s="17" t="str">
        <f>_xlfn.XLOOKUP(B657,[2]customers!$A$2:$A$101,[2]customers!$C$2:$C$101)</f>
        <v>Surat</v>
      </c>
      <c r="Q657" s="14" t="s">
        <v>370</v>
      </c>
      <c r="R657" s="14" t="s">
        <v>23</v>
      </c>
      <c r="S657" s="15">
        <f t="shared" si="53"/>
        <v>1194</v>
      </c>
      <c r="T657" s="19">
        <f t="shared" si="54"/>
        <v>1</v>
      </c>
    </row>
    <row r="658" spans="1:20" x14ac:dyDescent="0.3">
      <c r="A658" s="20">
        <v>657</v>
      </c>
      <c r="B658" s="20" t="s">
        <v>75</v>
      </c>
      <c r="C658" s="20">
        <v>13</v>
      </c>
      <c r="D658" s="20" t="s">
        <v>495</v>
      </c>
      <c r="E658" s="20" t="s">
        <v>458</v>
      </c>
      <c r="F658" s="20">
        <v>3</v>
      </c>
      <c r="G658" s="21">
        <f>_xlfn.XLOOKUP(C658,[1]products!$A$2:$A$71,[1]products!$D$2:$D$71)</f>
        <v>1141</v>
      </c>
      <c r="H658" s="22">
        <v>44988</v>
      </c>
      <c r="I658" s="22" t="str">
        <f t="shared" si="50"/>
        <v>March</v>
      </c>
      <c r="J658" s="22" t="str">
        <f t="shared" si="51"/>
        <v>Friday</v>
      </c>
      <c r="K658" s="23">
        <v>0.40130787037037036</v>
      </c>
      <c r="L658" s="22">
        <v>44993</v>
      </c>
      <c r="M658" s="24">
        <f>HOUR(orders!$K658)</f>
        <v>9</v>
      </c>
      <c r="N658" s="22" t="str">
        <f t="shared" si="52"/>
        <v>March</v>
      </c>
      <c r="O658" s="23">
        <v>0.61707175925925928</v>
      </c>
      <c r="P658" s="23" t="str">
        <f>_xlfn.XLOOKUP(B658,[2]customers!$A$2:$A$101,[2]customers!$C$2:$C$101)</f>
        <v>Imphal</v>
      </c>
      <c r="Q658" s="20" t="s">
        <v>175</v>
      </c>
      <c r="R658" s="20" t="s">
        <v>36</v>
      </c>
      <c r="S658" s="21">
        <f t="shared" si="53"/>
        <v>3423</v>
      </c>
      <c r="T658" s="25">
        <f t="shared" si="54"/>
        <v>5</v>
      </c>
    </row>
    <row r="659" spans="1:20" x14ac:dyDescent="0.3">
      <c r="A659" s="14">
        <v>658</v>
      </c>
      <c r="B659" s="14" t="s">
        <v>153</v>
      </c>
      <c r="C659" s="14">
        <v>21</v>
      </c>
      <c r="D659" s="14" t="s">
        <v>436</v>
      </c>
      <c r="E659" s="14" t="s">
        <v>429</v>
      </c>
      <c r="F659" s="14">
        <v>3</v>
      </c>
      <c r="G659" s="15">
        <f>_xlfn.XLOOKUP(C659,[1]products!$A$2:$A$71,[1]products!$D$2:$D$71)</f>
        <v>1561</v>
      </c>
      <c r="H659" s="16">
        <v>45160</v>
      </c>
      <c r="I659" s="16" t="str">
        <f t="shared" si="50"/>
        <v>August</v>
      </c>
      <c r="J659" s="16" t="str">
        <f t="shared" si="51"/>
        <v>Tuesday</v>
      </c>
      <c r="K659" s="17">
        <v>0.87148148148148152</v>
      </c>
      <c r="L659" s="16">
        <v>45169</v>
      </c>
      <c r="M659" s="18">
        <f>HOUR(orders!$K659)</f>
        <v>20</v>
      </c>
      <c r="N659" s="16" t="str">
        <f t="shared" si="52"/>
        <v>August</v>
      </c>
      <c r="O659" s="17">
        <v>0.3709027777777778</v>
      </c>
      <c r="P659" s="17" t="str">
        <f>_xlfn.XLOOKUP(B659,[2]customers!$A$2:$A$101,[2]customers!$C$2:$C$101)</f>
        <v>Kavali</v>
      </c>
      <c r="Q659" s="14" t="s">
        <v>244</v>
      </c>
      <c r="R659" s="14" t="s">
        <v>26</v>
      </c>
      <c r="S659" s="15">
        <f t="shared" si="53"/>
        <v>4683</v>
      </c>
      <c r="T659" s="19">
        <f t="shared" si="54"/>
        <v>9</v>
      </c>
    </row>
    <row r="660" spans="1:20" x14ac:dyDescent="0.3">
      <c r="A660" s="20">
        <v>659</v>
      </c>
      <c r="B660" s="20" t="s">
        <v>182</v>
      </c>
      <c r="C660" s="20">
        <v>19</v>
      </c>
      <c r="D660" s="20" t="s">
        <v>457</v>
      </c>
      <c r="E660" s="20" t="s">
        <v>458</v>
      </c>
      <c r="F660" s="20">
        <v>5</v>
      </c>
      <c r="G660" s="21">
        <f>_xlfn.XLOOKUP(C660,[1]products!$A$2:$A$71,[1]products!$D$2:$D$71)</f>
        <v>1234</v>
      </c>
      <c r="H660" s="22">
        <v>44962</v>
      </c>
      <c r="I660" s="22" t="str">
        <f t="shared" si="50"/>
        <v>February</v>
      </c>
      <c r="J660" s="22" t="str">
        <f t="shared" si="51"/>
        <v>Sunday</v>
      </c>
      <c r="K660" s="23">
        <v>0.73953703703703699</v>
      </c>
      <c r="L660" s="22">
        <v>44969</v>
      </c>
      <c r="M660" s="24">
        <f>HOUR(orders!$K660)</f>
        <v>17</v>
      </c>
      <c r="N660" s="22" t="str">
        <f t="shared" si="52"/>
        <v>February</v>
      </c>
      <c r="O660" s="23">
        <v>0.94285879629629632</v>
      </c>
      <c r="P660" s="23" t="str">
        <f>_xlfn.XLOOKUP(B660,[2]customers!$A$2:$A$101,[2]customers!$C$2:$C$101)</f>
        <v>Guntakal</v>
      </c>
      <c r="Q660" s="20" t="s">
        <v>392</v>
      </c>
      <c r="R660" s="20" t="s">
        <v>23</v>
      </c>
      <c r="S660" s="21">
        <f t="shared" si="53"/>
        <v>6170</v>
      </c>
      <c r="T660" s="25">
        <f t="shared" si="54"/>
        <v>7</v>
      </c>
    </row>
    <row r="661" spans="1:20" x14ac:dyDescent="0.3">
      <c r="A661" s="14">
        <v>660</v>
      </c>
      <c r="B661" s="14" t="s">
        <v>142</v>
      </c>
      <c r="C661" s="14">
        <v>58</v>
      </c>
      <c r="D661" s="14" t="s">
        <v>430</v>
      </c>
      <c r="E661" s="14" t="s">
        <v>431</v>
      </c>
      <c r="F661" s="14">
        <v>3</v>
      </c>
      <c r="G661" s="15">
        <f>_xlfn.XLOOKUP(C661,[1]products!$A$2:$A$71,[1]products!$D$2:$D$71)</f>
        <v>1492</v>
      </c>
      <c r="H661" s="16">
        <v>44968</v>
      </c>
      <c r="I661" s="16" t="str">
        <f t="shared" si="50"/>
        <v>February</v>
      </c>
      <c r="J661" s="16" t="str">
        <f t="shared" si="51"/>
        <v>Saturday</v>
      </c>
      <c r="K661" s="17">
        <v>0.25608796296296293</v>
      </c>
      <c r="L661" s="16">
        <v>44978</v>
      </c>
      <c r="M661" s="18">
        <f>HOUR(orders!$K661)</f>
        <v>6</v>
      </c>
      <c r="N661" s="16" t="str">
        <f t="shared" si="52"/>
        <v>February</v>
      </c>
      <c r="O661" s="17">
        <v>0.86707175925925928</v>
      </c>
      <c r="P661" s="17" t="str">
        <f>_xlfn.XLOOKUP(B661,[2]customers!$A$2:$A$101,[2]customers!$C$2:$C$101)</f>
        <v>Bharatpur</v>
      </c>
      <c r="Q661" s="14" t="s">
        <v>113</v>
      </c>
      <c r="R661" s="14" t="s">
        <v>23</v>
      </c>
      <c r="S661" s="15">
        <f t="shared" si="53"/>
        <v>4476</v>
      </c>
      <c r="T661" s="19">
        <f t="shared" si="54"/>
        <v>10</v>
      </c>
    </row>
    <row r="662" spans="1:20" x14ac:dyDescent="0.3">
      <c r="A662" s="20">
        <v>661</v>
      </c>
      <c r="B662" s="20" t="s">
        <v>58</v>
      </c>
      <c r="C662" s="20">
        <v>22</v>
      </c>
      <c r="D662" s="20" t="s">
        <v>465</v>
      </c>
      <c r="E662" s="20" t="s">
        <v>445</v>
      </c>
      <c r="F662" s="20">
        <v>2</v>
      </c>
      <c r="G662" s="21">
        <f>_xlfn.XLOOKUP(C662,[1]products!$A$2:$A$71,[1]products!$D$2:$D$71)</f>
        <v>1639</v>
      </c>
      <c r="H662" s="22">
        <v>44940</v>
      </c>
      <c r="I662" s="22" t="str">
        <f t="shared" si="50"/>
        <v>January</v>
      </c>
      <c r="J662" s="22" t="str">
        <f t="shared" si="51"/>
        <v>Saturday</v>
      </c>
      <c r="K662" s="23">
        <v>0.99406250000000007</v>
      </c>
      <c r="L662" s="22">
        <v>44945</v>
      </c>
      <c r="M662" s="24">
        <f>HOUR(orders!$K662)</f>
        <v>23</v>
      </c>
      <c r="N662" s="22" t="str">
        <f t="shared" si="52"/>
        <v>January</v>
      </c>
      <c r="O662" s="23">
        <v>0.41025462962962966</v>
      </c>
      <c r="P662" s="23" t="str">
        <f>_xlfn.XLOOKUP(B662,[2]customers!$A$2:$A$101,[2]customers!$C$2:$C$101)</f>
        <v>Nizamabad</v>
      </c>
      <c r="Q662" s="20" t="s">
        <v>19</v>
      </c>
      <c r="R662" s="20" t="s">
        <v>60</v>
      </c>
      <c r="S662" s="21">
        <f t="shared" si="53"/>
        <v>3278</v>
      </c>
      <c r="T662" s="25">
        <f t="shared" si="54"/>
        <v>5</v>
      </c>
    </row>
    <row r="663" spans="1:20" x14ac:dyDescent="0.3">
      <c r="A663" s="14">
        <v>662</v>
      </c>
      <c r="B663" s="14" t="s">
        <v>239</v>
      </c>
      <c r="C663" s="14">
        <v>20</v>
      </c>
      <c r="D663" s="14" t="s">
        <v>439</v>
      </c>
      <c r="E663" s="14" t="s">
        <v>429</v>
      </c>
      <c r="F663" s="14">
        <v>3</v>
      </c>
      <c r="G663" s="15">
        <f>_xlfn.XLOOKUP(C663,[1]products!$A$2:$A$71,[1]products!$D$2:$D$71)</f>
        <v>697</v>
      </c>
      <c r="H663" s="16">
        <v>44966</v>
      </c>
      <c r="I663" s="16" t="str">
        <f t="shared" si="50"/>
        <v>February</v>
      </c>
      <c r="J663" s="16" t="str">
        <f t="shared" si="51"/>
        <v>Thursday</v>
      </c>
      <c r="K663" s="17">
        <v>0.77074074074074073</v>
      </c>
      <c r="L663" s="16">
        <v>44975</v>
      </c>
      <c r="M663" s="18">
        <f>HOUR(orders!$K663)</f>
        <v>18</v>
      </c>
      <c r="N663" s="16" t="str">
        <f t="shared" si="52"/>
        <v>February</v>
      </c>
      <c r="O663" s="17">
        <v>0.35269675925925931</v>
      </c>
      <c r="P663" s="17" t="str">
        <f>_xlfn.XLOOKUP(B663,[2]customers!$A$2:$A$101,[2]customers!$C$2:$C$101)</f>
        <v>Kalyan-Dombivli</v>
      </c>
      <c r="Q663" s="14" t="s">
        <v>357</v>
      </c>
      <c r="R663" s="14" t="s">
        <v>12</v>
      </c>
      <c r="S663" s="15">
        <f t="shared" si="53"/>
        <v>2091</v>
      </c>
      <c r="T663" s="19">
        <f t="shared" si="54"/>
        <v>9</v>
      </c>
    </row>
    <row r="664" spans="1:20" x14ac:dyDescent="0.3">
      <c r="A664" s="20">
        <v>663</v>
      </c>
      <c r="B664" s="20" t="s">
        <v>216</v>
      </c>
      <c r="C664" s="20">
        <v>15</v>
      </c>
      <c r="D664" s="20" t="s">
        <v>482</v>
      </c>
      <c r="E664" s="20" t="s">
        <v>26</v>
      </c>
      <c r="F664" s="20">
        <v>2</v>
      </c>
      <c r="G664" s="21">
        <f>_xlfn.XLOOKUP(C664,[1]products!$A$2:$A$71,[1]products!$D$2:$D$71)</f>
        <v>1488</v>
      </c>
      <c r="H664" s="22">
        <v>45210</v>
      </c>
      <c r="I664" s="22" t="str">
        <f t="shared" si="50"/>
        <v>October</v>
      </c>
      <c r="J664" s="22" t="str">
        <f t="shared" si="51"/>
        <v>Wednesday</v>
      </c>
      <c r="K664" s="23">
        <v>0.61606481481481479</v>
      </c>
      <c r="L664" s="22">
        <v>45211</v>
      </c>
      <c r="M664" s="24">
        <f>HOUR(orders!$K664)</f>
        <v>14</v>
      </c>
      <c r="N664" s="22" t="str">
        <f t="shared" si="52"/>
        <v>October</v>
      </c>
      <c r="O664" s="23">
        <v>0.93894675925925919</v>
      </c>
      <c r="P664" s="23" t="str">
        <f>_xlfn.XLOOKUP(B664,[2]customers!$A$2:$A$101,[2]customers!$C$2:$C$101)</f>
        <v>Deoghar</v>
      </c>
      <c r="Q664" s="20" t="s">
        <v>318</v>
      </c>
      <c r="R664" s="20" t="s">
        <v>12</v>
      </c>
      <c r="S664" s="21">
        <f t="shared" si="53"/>
        <v>2976</v>
      </c>
      <c r="T664" s="25">
        <f t="shared" si="54"/>
        <v>1</v>
      </c>
    </row>
    <row r="665" spans="1:20" x14ac:dyDescent="0.3">
      <c r="A665" s="14">
        <v>664</v>
      </c>
      <c r="B665" s="14" t="s">
        <v>103</v>
      </c>
      <c r="C665" s="14">
        <v>24</v>
      </c>
      <c r="D665" s="14" t="s">
        <v>485</v>
      </c>
      <c r="E665" s="14" t="s">
        <v>458</v>
      </c>
      <c r="F665" s="14">
        <v>2</v>
      </c>
      <c r="G665" s="15">
        <f>_xlfn.XLOOKUP(C665,[1]products!$A$2:$A$71,[1]products!$D$2:$D$71)</f>
        <v>535</v>
      </c>
      <c r="H665" s="16">
        <v>44944</v>
      </c>
      <c r="I665" s="16" t="str">
        <f t="shared" si="50"/>
        <v>January</v>
      </c>
      <c r="J665" s="16" t="str">
        <f t="shared" si="51"/>
        <v>Wednesday</v>
      </c>
      <c r="K665" s="17">
        <v>0.49622685185185184</v>
      </c>
      <c r="L665" s="16">
        <v>44954</v>
      </c>
      <c r="M665" s="18">
        <f>HOUR(orders!$K665)</f>
        <v>11</v>
      </c>
      <c r="N665" s="16" t="str">
        <f t="shared" si="52"/>
        <v>January</v>
      </c>
      <c r="O665" s="17">
        <v>0.84870370370370374</v>
      </c>
      <c r="P665" s="17" t="str">
        <f>_xlfn.XLOOKUP(B665,[2]customers!$A$2:$A$101,[2]customers!$C$2:$C$101)</f>
        <v>Bidhannagar</v>
      </c>
      <c r="Q665" s="14" t="s">
        <v>258</v>
      </c>
      <c r="R665" s="14" t="s">
        <v>20</v>
      </c>
      <c r="S665" s="15">
        <f t="shared" si="53"/>
        <v>1070</v>
      </c>
      <c r="T665" s="19">
        <f t="shared" si="54"/>
        <v>10</v>
      </c>
    </row>
    <row r="666" spans="1:20" x14ac:dyDescent="0.3">
      <c r="A666" s="20">
        <v>665</v>
      </c>
      <c r="B666" s="20" t="s">
        <v>150</v>
      </c>
      <c r="C666" s="20">
        <v>62</v>
      </c>
      <c r="D666" s="20" t="s">
        <v>442</v>
      </c>
      <c r="E666" s="20" t="s">
        <v>429</v>
      </c>
      <c r="F666" s="20">
        <v>5</v>
      </c>
      <c r="G666" s="21">
        <f>_xlfn.XLOOKUP(C666,[1]products!$A$2:$A$71,[1]products!$D$2:$D$71)</f>
        <v>1356</v>
      </c>
      <c r="H666" s="22">
        <v>44990</v>
      </c>
      <c r="I666" s="22" t="str">
        <f t="shared" si="50"/>
        <v>March</v>
      </c>
      <c r="J666" s="22" t="str">
        <f t="shared" si="51"/>
        <v>Sunday</v>
      </c>
      <c r="K666" s="23">
        <v>0.59956018518518517</v>
      </c>
      <c r="L666" s="22">
        <v>45000</v>
      </c>
      <c r="M666" s="24">
        <f>HOUR(orders!$K666)</f>
        <v>14</v>
      </c>
      <c r="N666" s="22" t="str">
        <f t="shared" si="52"/>
        <v>March</v>
      </c>
      <c r="O666" s="23">
        <v>0.66253472222222221</v>
      </c>
      <c r="P666" s="23" t="str">
        <f>_xlfn.XLOOKUP(B666,[2]customers!$A$2:$A$101,[2]customers!$C$2:$C$101)</f>
        <v>Satara</v>
      </c>
      <c r="Q666" s="20" t="s">
        <v>315</v>
      </c>
      <c r="R666" s="20" t="s">
        <v>36</v>
      </c>
      <c r="S666" s="21">
        <f t="shared" si="53"/>
        <v>6780</v>
      </c>
      <c r="T666" s="25">
        <f t="shared" si="54"/>
        <v>10</v>
      </c>
    </row>
    <row r="667" spans="1:20" x14ac:dyDescent="0.3">
      <c r="A667" s="14">
        <v>666</v>
      </c>
      <c r="B667" s="14" t="s">
        <v>146</v>
      </c>
      <c r="C667" s="14">
        <v>26</v>
      </c>
      <c r="D667" s="14" t="s">
        <v>473</v>
      </c>
      <c r="E667" s="14" t="s">
        <v>429</v>
      </c>
      <c r="F667" s="14">
        <v>5</v>
      </c>
      <c r="G667" s="15">
        <f>_xlfn.XLOOKUP(C667,[1]products!$A$2:$A$71,[1]products!$D$2:$D$71)</f>
        <v>289</v>
      </c>
      <c r="H667" s="16">
        <v>44987</v>
      </c>
      <c r="I667" s="16" t="str">
        <f t="shared" si="50"/>
        <v>March</v>
      </c>
      <c r="J667" s="16" t="str">
        <f t="shared" si="51"/>
        <v>Thursday</v>
      </c>
      <c r="K667" s="17">
        <v>0.40354166666666669</v>
      </c>
      <c r="L667" s="16">
        <v>44993</v>
      </c>
      <c r="M667" s="18">
        <f>HOUR(orders!$K667)</f>
        <v>9</v>
      </c>
      <c r="N667" s="16" t="str">
        <f t="shared" si="52"/>
        <v>March</v>
      </c>
      <c r="O667" s="17">
        <v>0.81128472222222225</v>
      </c>
      <c r="P667" s="17" t="str">
        <f>_xlfn.XLOOKUP(B667,[2]customers!$A$2:$A$101,[2]customers!$C$2:$C$101)</f>
        <v>Surat</v>
      </c>
      <c r="Q667" s="14" t="s">
        <v>284</v>
      </c>
      <c r="R667" s="14" t="s">
        <v>36</v>
      </c>
      <c r="S667" s="15">
        <f t="shared" si="53"/>
        <v>1445</v>
      </c>
      <c r="T667" s="19">
        <f t="shared" si="54"/>
        <v>6</v>
      </c>
    </row>
    <row r="668" spans="1:20" x14ac:dyDescent="0.3">
      <c r="A668" s="20">
        <v>667</v>
      </c>
      <c r="B668" s="20" t="s">
        <v>288</v>
      </c>
      <c r="C668" s="20">
        <v>44</v>
      </c>
      <c r="D668" s="20" t="s">
        <v>470</v>
      </c>
      <c r="E668" s="20" t="s">
        <v>447</v>
      </c>
      <c r="F668" s="20">
        <v>3</v>
      </c>
      <c r="G668" s="21">
        <f>_xlfn.XLOOKUP(C668,[1]products!$A$2:$A$71,[1]products!$D$2:$D$71)</f>
        <v>794</v>
      </c>
      <c r="H668" s="22">
        <v>45234</v>
      </c>
      <c r="I668" s="22" t="str">
        <f t="shared" si="50"/>
        <v>November</v>
      </c>
      <c r="J668" s="22" t="str">
        <f t="shared" si="51"/>
        <v>Saturday</v>
      </c>
      <c r="K668" s="23">
        <v>0.35206018518518517</v>
      </c>
      <c r="L668" s="22">
        <v>45237</v>
      </c>
      <c r="M668" s="24">
        <f>HOUR(orders!$K668)</f>
        <v>8</v>
      </c>
      <c r="N668" s="22" t="str">
        <f t="shared" si="52"/>
        <v>November</v>
      </c>
      <c r="O668" s="23">
        <v>0.43818287037037035</v>
      </c>
      <c r="P668" s="23" t="str">
        <f>_xlfn.XLOOKUP(B668,[2]customers!$A$2:$A$101,[2]customers!$C$2:$C$101)</f>
        <v>Dhanbad</v>
      </c>
      <c r="Q668" s="20" t="s">
        <v>290</v>
      </c>
      <c r="R668" s="20" t="s">
        <v>15</v>
      </c>
      <c r="S668" s="21">
        <f t="shared" si="53"/>
        <v>2382</v>
      </c>
      <c r="T668" s="25">
        <f t="shared" si="54"/>
        <v>3</v>
      </c>
    </row>
    <row r="669" spans="1:20" x14ac:dyDescent="0.3">
      <c r="A669" s="14">
        <v>668</v>
      </c>
      <c r="B669" s="14" t="s">
        <v>27</v>
      </c>
      <c r="C669" s="14">
        <v>55</v>
      </c>
      <c r="D669" s="14" t="s">
        <v>491</v>
      </c>
      <c r="E669" s="14" t="s">
        <v>445</v>
      </c>
      <c r="F669" s="14">
        <v>2</v>
      </c>
      <c r="G669" s="15">
        <f>_xlfn.XLOOKUP(C669,[1]products!$A$2:$A$71,[1]products!$D$2:$D$71)</f>
        <v>1904</v>
      </c>
      <c r="H669" s="16">
        <v>45159</v>
      </c>
      <c r="I669" s="16" t="str">
        <f t="shared" si="50"/>
        <v>August</v>
      </c>
      <c r="J669" s="16" t="str">
        <f t="shared" si="51"/>
        <v>Monday</v>
      </c>
      <c r="K669" s="17">
        <v>0.42353009259259261</v>
      </c>
      <c r="L669" s="16">
        <v>45168</v>
      </c>
      <c r="M669" s="18">
        <f>HOUR(orders!$K669)</f>
        <v>10</v>
      </c>
      <c r="N669" s="16" t="str">
        <f t="shared" si="52"/>
        <v>August</v>
      </c>
      <c r="O669" s="17">
        <v>0.68945601851851857</v>
      </c>
      <c r="P669" s="17" t="str">
        <f>_xlfn.XLOOKUP(B669,[2]customers!$A$2:$A$101,[2]customers!$C$2:$C$101)</f>
        <v>Madurai</v>
      </c>
      <c r="Q669" s="14" t="s">
        <v>393</v>
      </c>
      <c r="R669" s="14" t="s">
        <v>26</v>
      </c>
      <c r="S669" s="15">
        <f t="shared" si="53"/>
        <v>3808</v>
      </c>
      <c r="T669" s="19">
        <f t="shared" si="54"/>
        <v>9</v>
      </c>
    </row>
    <row r="670" spans="1:20" x14ac:dyDescent="0.3">
      <c r="A670" s="20">
        <v>669</v>
      </c>
      <c r="B670" s="20" t="s">
        <v>180</v>
      </c>
      <c r="C670" s="20">
        <v>68</v>
      </c>
      <c r="D670" s="20" t="s">
        <v>494</v>
      </c>
      <c r="E670" s="20" t="s">
        <v>445</v>
      </c>
      <c r="F670" s="20">
        <v>5</v>
      </c>
      <c r="G670" s="21">
        <f>_xlfn.XLOOKUP(C670,[1]products!$A$2:$A$71,[1]products!$D$2:$D$71)</f>
        <v>597</v>
      </c>
      <c r="H670" s="22">
        <v>44967</v>
      </c>
      <c r="I670" s="22" t="str">
        <f t="shared" si="50"/>
        <v>February</v>
      </c>
      <c r="J670" s="22" t="str">
        <f t="shared" si="51"/>
        <v>Friday</v>
      </c>
      <c r="K670" s="23">
        <v>0.29988425925925927</v>
      </c>
      <c r="L670" s="22">
        <v>44974</v>
      </c>
      <c r="M670" s="24">
        <f>HOUR(orders!$K670)</f>
        <v>7</v>
      </c>
      <c r="N670" s="22" t="str">
        <f t="shared" si="52"/>
        <v>February</v>
      </c>
      <c r="O670" s="23">
        <v>0.41437499999999999</v>
      </c>
      <c r="P670" s="23" t="str">
        <f>_xlfn.XLOOKUP(B670,[2]customers!$A$2:$A$101,[2]customers!$C$2:$C$101)</f>
        <v>Vellore</v>
      </c>
      <c r="Q670" s="20" t="s">
        <v>57</v>
      </c>
      <c r="R670" s="20" t="s">
        <v>23</v>
      </c>
      <c r="S670" s="21">
        <f t="shared" si="53"/>
        <v>2985</v>
      </c>
      <c r="T670" s="25">
        <f t="shared" si="54"/>
        <v>7</v>
      </c>
    </row>
    <row r="671" spans="1:20" x14ac:dyDescent="0.3">
      <c r="A671" s="14">
        <v>670</v>
      </c>
      <c r="B671" s="14" t="s">
        <v>130</v>
      </c>
      <c r="C671" s="14">
        <v>23</v>
      </c>
      <c r="D671" s="14" t="s">
        <v>441</v>
      </c>
      <c r="E671" s="14" t="s">
        <v>427</v>
      </c>
      <c r="F671" s="14">
        <v>5</v>
      </c>
      <c r="G671" s="15">
        <f>_xlfn.XLOOKUP(C671,[1]products!$A$2:$A$71,[1]products!$D$2:$D$71)</f>
        <v>1098</v>
      </c>
      <c r="H671" s="16">
        <v>45078</v>
      </c>
      <c r="I671" s="16" t="str">
        <f t="shared" si="50"/>
        <v>June</v>
      </c>
      <c r="J671" s="16" t="str">
        <f t="shared" si="51"/>
        <v>Thursday</v>
      </c>
      <c r="K671" s="17">
        <v>0.24165509259259257</v>
      </c>
      <c r="L671" s="16">
        <v>45087</v>
      </c>
      <c r="M671" s="18">
        <f>HOUR(orders!$K671)</f>
        <v>5</v>
      </c>
      <c r="N671" s="16" t="str">
        <f t="shared" si="52"/>
        <v>June</v>
      </c>
      <c r="O671" s="17">
        <v>0.21458333333333335</v>
      </c>
      <c r="P671" s="17" t="str">
        <f>_xlfn.XLOOKUP(B671,[2]customers!$A$2:$A$101,[2]customers!$C$2:$C$101)</f>
        <v>Delhi</v>
      </c>
      <c r="Q671" s="14" t="s">
        <v>394</v>
      </c>
      <c r="R671" s="14" t="s">
        <v>12</v>
      </c>
      <c r="S671" s="15">
        <f t="shared" si="53"/>
        <v>5490</v>
      </c>
      <c r="T671" s="19">
        <f t="shared" si="54"/>
        <v>9</v>
      </c>
    </row>
    <row r="672" spans="1:20" x14ac:dyDescent="0.3">
      <c r="A672" s="20">
        <v>671</v>
      </c>
      <c r="B672" s="20" t="s">
        <v>93</v>
      </c>
      <c r="C672" s="20">
        <v>31</v>
      </c>
      <c r="D672" s="20" t="s">
        <v>474</v>
      </c>
      <c r="E672" s="20" t="s">
        <v>429</v>
      </c>
      <c r="F672" s="20">
        <v>4</v>
      </c>
      <c r="G672" s="21">
        <f>_xlfn.XLOOKUP(C672,[1]products!$A$2:$A$71,[1]products!$D$2:$D$71)</f>
        <v>1804</v>
      </c>
      <c r="H672" s="22">
        <v>45263</v>
      </c>
      <c r="I672" s="22" t="str">
        <f t="shared" si="50"/>
        <v>December</v>
      </c>
      <c r="J672" s="22" t="str">
        <f t="shared" si="51"/>
        <v>Sunday</v>
      </c>
      <c r="K672" s="23">
        <v>0.28770833333333334</v>
      </c>
      <c r="L672" s="22">
        <v>45267</v>
      </c>
      <c r="M672" s="24">
        <f>HOUR(orders!$K672)</f>
        <v>6</v>
      </c>
      <c r="N672" s="22" t="str">
        <f t="shared" si="52"/>
        <v>December</v>
      </c>
      <c r="O672" s="23">
        <v>0.96966435185185185</v>
      </c>
      <c r="P672" s="23" t="str">
        <f>_xlfn.XLOOKUP(B672,[2]customers!$A$2:$A$101,[2]customers!$C$2:$C$101)</f>
        <v>Kalyan-Dombivli</v>
      </c>
      <c r="Q672" s="20" t="s">
        <v>37</v>
      </c>
      <c r="R672" s="20" t="s">
        <v>60</v>
      </c>
      <c r="S672" s="21">
        <f t="shared" si="53"/>
        <v>7216</v>
      </c>
      <c r="T672" s="25">
        <f t="shared" si="54"/>
        <v>4</v>
      </c>
    </row>
    <row r="673" spans="1:20" x14ac:dyDescent="0.3">
      <c r="A673" s="14">
        <v>672</v>
      </c>
      <c r="B673" s="14" t="s">
        <v>218</v>
      </c>
      <c r="C673" s="14">
        <v>44</v>
      </c>
      <c r="D673" s="14" t="s">
        <v>470</v>
      </c>
      <c r="E673" s="14" t="s">
        <v>447</v>
      </c>
      <c r="F673" s="14">
        <v>5</v>
      </c>
      <c r="G673" s="15">
        <f>_xlfn.XLOOKUP(C673,[1]products!$A$2:$A$71,[1]products!$D$2:$D$71)</f>
        <v>794</v>
      </c>
      <c r="H673" s="16">
        <v>45237</v>
      </c>
      <c r="I673" s="16" t="str">
        <f t="shared" si="50"/>
        <v>November</v>
      </c>
      <c r="J673" s="16" t="str">
        <f t="shared" si="51"/>
        <v>Tuesday</v>
      </c>
      <c r="K673" s="17">
        <v>0.58767361111111105</v>
      </c>
      <c r="L673" s="16">
        <v>45239</v>
      </c>
      <c r="M673" s="18">
        <f>HOUR(orders!$K673)</f>
        <v>14</v>
      </c>
      <c r="N673" s="16" t="str">
        <f t="shared" si="52"/>
        <v>November</v>
      </c>
      <c r="O673" s="17">
        <v>0.28237268518518516</v>
      </c>
      <c r="P673" s="17" t="str">
        <f>_xlfn.XLOOKUP(B673,[2]customers!$A$2:$A$101,[2]customers!$C$2:$C$101)</f>
        <v>Imphal</v>
      </c>
      <c r="Q673" s="14" t="s">
        <v>345</v>
      </c>
      <c r="R673" s="14" t="s">
        <v>15</v>
      </c>
      <c r="S673" s="15">
        <f t="shared" si="53"/>
        <v>3970</v>
      </c>
      <c r="T673" s="19">
        <f t="shared" si="54"/>
        <v>2</v>
      </c>
    </row>
    <row r="674" spans="1:20" x14ac:dyDescent="0.3">
      <c r="A674" s="20">
        <v>673</v>
      </c>
      <c r="B674" s="20" t="s">
        <v>140</v>
      </c>
      <c r="C674" s="20">
        <v>33</v>
      </c>
      <c r="D674" s="20" t="s">
        <v>490</v>
      </c>
      <c r="E674" s="20" t="s">
        <v>429</v>
      </c>
      <c r="F674" s="20">
        <v>3</v>
      </c>
      <c r="G674" s="21">
        <f>_xlfn.XLOOKUP(C674,[1]products!$A$2:$A$71,[1]products!$D$2:$D$71)</f>
        <v>314</v>
      </c>
      <c r="H674" s="22">
        <v>44961</v>
      </c>
      <c r="I674" s="22" t="str">
        <f t="shared" si="50"/>
        <v>February</v>
      </c>
      <c r="J674" s="22" t="str">
        <f t="shared" si="51"/>
        <v>Saturday</v>
      </c>
      <c r="K674" s="23">
        <v>0.24640046296296295</v>
      </c>
      <c r="L674" s="22">
        <v>44964</v>
      </c>
      <c r="M674" s="24">
        <f>HOUR(orders!$K674)</f>
        <v>5</v>
      </c>
      <c r="N674" s="22" t="str">
        <f t="shared" si="52"/>
        <v>February</v>
      </c>
      <c r="O674" s="23">
        <v>0.1844675925925926</v>
      </c>
      <c r="P674" s="23" t="str">
        <f>_xlfn.XLOOKUP(B674,[2]customers!$A$2:$A$101,[2]customers!$C$2:$C$101)</f>
        <v>Chinsurah</v>
      </c>
      <c r="Q674" s="20" t="s">
        <v>373</v>
      </c>
      <c r="R674" s="20" t="s">
        <v>23</v>
      </c>
      <c r="S674" s="21">
        <f t="shared" si="53"/>
        <v>942</v>
      </c>
      <c r="T674" s="25">
        <f t="shared" si="54"/>
        <v>3</v>
      </c>
    </row>
    <row r="675" spans="1:20" x14ac:dyDescent="0.3">
      <c r="A675" s="14">
        <v>674</v>
      </c>
      <c r="B675" s="14" t="s">
        <v>34</v>
      </c>
      <c r="C675" s="14">
        <v>68</v>
      </c>
      <c r="D675" s="14" t="s">
        <v>494</v>
      </c>
      <c r="E675" s="14" t="s">
        <v>445</v>
      </c>
      <c r="F675" s="14">
        <v>2</v>
      </c>
      <c r="G675" s="15">
        <f>_xlfn.XLOOKUP(C675,[1]products!$A$2:$A$71,[1]products!$D$2:$D$71)</f>
        <v>597</v>
      </c>
      <c r="H675" s="16">
        <v>44964</v>
      </c>
      <c r="I675" s="16" t="str">
        <f t="shared" si="50"/>
        <v>February</v>
      </c>
      <c r="J675" s="16" t="str">
        <f t="shared" si="51"/>
        <v>Tuesday</v>
      </c>
      <c r="K675" s="17">
        <v>0.40376157407407409</v>
      </c>
      <c r="L675" s="16">
        <v>44973</v>
      </c>
      <c r="M675" s="18">
        <f>HOUR(orders!$K675)</f>
        <v>9</v>
      </c>
      <c r="N675" s="16" t="str">
        <f t="shared" si="52"/>
        <v>February</v>
      </c>
      <c r="O675" s="17">
        <v>0.98640046296296291</v>
      </c>
      <c r="P675" s="17" t="str">
        <f>_xlfn.XLOOKUP(B675,[2]customers!$A$2:$A$101,[2]customers!$C$2:$C$101)</f>
        <v>North Dumdum</v>
      </c>
      <c r="Q675" s="14" t="s">
        <v>236</v>
      </c>
      <c r="R675" s="14" t="s">
        <v>23</v>
      </c>
      <c r="S675" s="15">
        <f t="shared" si="53"/>
        <v>1194</v>
      </c>
      <c r="T675" s="19">
        <f t="shared" si="54"/>
        <v>9</v>
      </c>
    </row>
    <row r="676" spans="1:20" x14ac:dyDescent="0.3">
      <c r="A676" s="20">
        <v>675</v>
      </c>
      <c r="B676" s="20" t="s">
        <v>288</v>
      </c>
      <c r="C676" s="20">
        <v>13</v>
      </c>
      <c r="D676" s="20" t="s">
        <v>495</v>
      </c>
      <c r="E676" s="20" t="s">
        <v>458</v>
      </c>
      <c r="F676" s="20">
        <v>4</v>
      </c>
      <c r="G676" s="21">
        <f>_xlfn.XLOOKUP(C676,[1]products!$A$2:$A$71,[1]products!$D$2:$D$71)</f>
        <v>1141</v>
      </c>
      <c r="H676" s="22">
        <v>44985</v>
      </c>
      <c r="I676" s="22" t="str">
        <f t="shared" si="50"/>
        <v>February</v>
      </c>
      <c r="J676" s="22" t="str">
        <f t="shared" si="51"/>
        <v>Tuesday</v>
      </c>
      <c r="K676" s="23">
        <v>0.33664351851851854</v>
      </c>
      <c r="L676" s="22">
        <v>44994</v>
      </c>
      <c r="M676" s="24">
        <f>HOUR(orders!$K676)</f>
        <v>8</v>
      </c>
      <c r="N676" s="22" t="str">
        <f t="shared" si="52"/>
        <v>March</v>
      </c>
      <c r="O676" s="23">
        <v>0.99458333333333337</v>
      </c>
      <c r="P676" s="23" t="str">
        <f>_xlfn.XLOOKUP(B676,[2]customers!$A$2:$A$101,[2]customers!$C$2:$C$101)</f>
        <v>Dhanbad</v>
      </c>
      <c r="Q676" s="20" t="s">
        <v>395</v>
      </c>
      <c r="R676" s="20" t="s">
        <v>36</v>
      </c>
      <c r="S676" s="21">
        <f t="shared" si="53"/>
        <v>4564</v>
      </c>
      <c r="T676" s="25">
        <f t="shared" si="54"/>
        <v>9</v>
      </c>
    </row>
    <row r="677" spans="1:20" x14ac:dyDescent="0.3">
      <c r="A677" s="14">
        <v>676</v>
      </c>
      <c r="B677" s="14" t="s">
        <v>144</v>
      </c>
      <c r="C677" s="14">
        <v>46</v>
      </c>
      <c r="D677" s="14" t="s">
        <v>493</v>
      </c>
      <c r="E677" s="14" t="s">
        <v>431</v>
      </c>
      <c r="F677" s="14">
        <v>4</v>
      </c>
      <c r="G677" s="15">
        <f>_xlfn.XLOOKUP(C677,[1]products!$A$2:$A$71,[1]products!$D$2:$D$71)</f>
        <v>758</v>
      </c>
      <c r="H677" s="16">
        <v>44975</v>
      </c>
      <c r="I677" s="16" t="str">
        <f t="shared" si="50"/>
        <v>February</v>
      </c>
      <c r="J677" s="16" t="str">
        <f t="shared" si="51"/>
        <v>Saturday</v>
      </c>
      <c r="K677" s="17">
        <v>0.5294444444444445</v>
      </c>
      <c r="L677" s="16">
        <v>44977</v>
      </c>
      <c r="M677" s="18">
        <f>HOUR(orders!$K677)</f>
        <v>12</v>
      </c>
      <c r="N677" s="16" t="str">
        <f t="shared" si="52"/>
        <v>February</v>
      </c>
      <c r="O677" s="17">
        <v>0.86981481481481471</v>
      </c>
      <c r="P677" s="17" t="str">
        <f>_xlfn.XLOOKUP(B677,[2]customers!$A$2:$A$101,[2]customers!$C$2:$C$101)</f>
        <v>Aizawl</v>
      </c>
      <c r="Q677" s="14" t="s">
        <v>135</v>
      </c>
      <c r="R677" s="14" t="s">
        <v>12</v>
      </c>
      <c r="S677" s="15">
        <f t="shared" si="53"/>
        <v>3032</v>
      </c>
      <c r="T677" s="19">
        <f t="shared" si="54"/>
        <v>2</v>
      </c>
    </row>
    <row r="678" spans="1:20" x14ac:dyDescent="0.3">
      <c r="A678" s="20">
        <v>677</v>
      </c>
      <c r="B678" s="20" t="s">
        <v>105</v>
      </c>
      <c r="C678" s="20">
        <v>37</v>
      </c>
      <c r="D678" s="20" t="s">
        <v>459</v>
      </c>
      <c r="E678" s="20" t="s">
        <v>429</v>
      </c>
      <c r="F678" s="20">
        <v>5</v>
      </c>
      <c r="G678" s="21">
        <f>_xlfn.XLOOKUP(C678,[1]products!$A$2:$A$71,[1]products!$D$2:$D$71)</f>
        <v>1428</v>
      </c>
      <c r="H678" s="22">
        <v>45234</v>
      </c>
      <c r="I678" s="22" t="str">
        <f t="shared" si="50"/>
        <v>November</v>
      </c>
      <c r="J678" s="22" t="str">
        <f t="shared" si="51"/>
        <v>Saturday</v>
      </c>
      <c r="K678" s="23">
        <v>0.3291782407407407</v>
      </c>
      <c r="L678" s="22">
        <v>45244</v>
      </c>
      <c r="M678" s="24">
        <f>HOUR(orders!$K678)</f>
        <v>7</v>
      </c>
      <c r="N678" s="22" t="str">
        <f t="shared" si="52"/>
        <v>November</v>
      </c>
      <c r="O678" s="23">
        <v>0.23096064814814818</v>
      </c>
      <c r="P678" s="23" t="str">
        <f>_xlfn.XLOOKUP(B678,[2]customers!$A$2:$A$101,[2]customers!$C$2:$C$101)</f>
        <v>Maheshtala</v>
      </c>
      <c r="Q678" s="20" t="s">
        <v>117</v>
      </c>
      <c r="R678" s="20" t="s">
        <v>15</v>
      </c>
      <c r="S678" s="21">
        <f t="shared" si="53"/>
        <v>7140</v>
      </c>
      <c r="T678" s="25">
        <f t="shared" si="54"/>
        <v>10</v>
      </c>
    </row>
    <row r="679" spans="1:20" x14ac:dyDescent="0.3">
      <c r="A679" s="14">
        <v>678</v>
      </c>
      <c r="B679" s="14" t="s">
        <v>97</v>
      </c>
      <c r="C679" s="14">
        <v>31</v>
      </c>
      <c r="D679" s="14" t="s">
        <v>474</v>
      </c>
      <c r="E679" s="14" t="s">
        <v>429</v>
      </c>
      <c r="F679" s="14">
        <v>5</v>
      </c>
      <c r="G679" s="15">
        <f>_xlfn.XLOOKUP(C679,[1]products!$A$2:$A$71,[1]products!$D$2:$D$71)</f>
        <v>1804</v>
      </c>
      <c r="H679" s="16">
        <v>45179</v>
      </c>
      <c r="I679" s="16" t="str">
        <f t="shared" si="50"/>
        <v>September</v>
      </c>
      <c r="J679" s="16" t="str">
        <f t="shared" si="51"/>
        <v>Sunday</v>
      </c>
      <c r="K679" s="17">
        <v>0.59998842592592594</v>
      </c>
      <c r="L679" s="16">
        <v>45189</v>
      </c>
      <c r="M679" s="18">
        <f>HOUR(orders!$K679)</f>
        <v>14</v>
      </c>
      <c r="N679" s="16" t="str">
        <f t="shared" si="52"/>
        <v>September</v>
      </c>
      <c r="O679" s="17">
        <v>0.42577546296296293</v>
      </c>
      <c r="P679" s="17" t="str">
        <f>_xlfn.XLOOKUP(B679,[2]customers!$A$2:$A$101,[2]customers!$C$2:$C$101)</f>
        <v>Machilipatnam</v>
      </c>
      <c r="Q679" s="14" t="s">
        <v>214</v>
      </c>
      <c r="R679" s="14" t="s">
        <v>60</v>
      </c>
      <c r="S679" s="15">
        <f t="shared" si="53"/>
        <v>9020</v>
      </c>
      <c r="T679" s="19">
        <f t="shared" si="54"/>
        <v>10</v>
      </c>
    </row>
    <row r="680" spans="1:20" x14ac:dyDescent="0.3">
      <c r="A680" s="20">
        <v>679</v>
      </c>
      <c r="B680" s="20" t="s">
        <v>13</v>
      </c>
      <c r="C680" s="20">
        <v>56</v>
      </c>
      <c r="D680" s="20" t="s">
        <v>436</v>
      </c>
      <c r="E680" s="20" t="s">
        <v>26</v>
      </c>
      <c r="F680" s="20">
        <v>2</v>
      </c>
      <c r="G680" s="21">
        <f>_xlfn.XLOOKUP(C680,[1]products!$A$2:$A$71,[1]products!$D$2:$D$71)</f>
        <v>1272</v>
      </c>
      <c r="H680" s="22">
        <v>45204</v>
      </c>
      <c r="I680" s="22" t="str">
        <f t="shared" si="50"/>
        <v>October</v>
      </c>
      <c r="J680" s="22" t="str">
        <f t="shared" si="51"/>
        <v>Thursday</v>
      </c>
      <c r="K680" s="23">
        <v>0.7286921296296297</v>
      </c>
      <c r="L680" s="22">
        <v>45213</v>
      </c>
      <c r="M680" s="24">
        <f>HOUR(orders!$K680)</f>
        <v>17</v>
      </c>
      <c r="N680" s="22" t="str">
        <f t="shared" si="52"/>
        <v>October</v>
      </c>
      <c r="O680" s="23">
        <v>0.5403472222222222</v>
      </c>
      <c r="P680" s="23" t="str">
        <f>_xlfn.XLOOKUP(B680,[2]customers!$A$2:$A$101,[2]customers!$C$2:$C$101)</f>
        <v>Danapur</v>
      </c>
      <c r="Q680" s="20" t="s">
        <v>59</v>
      </c>
      <c r="R680" s="20" t="s">
        <v>12</v>
      </c>
      <c r="S680" s="21">
        <f t="shared" si="53"/>
        <v>2544</v>
      </c>
      <c r="T680" s="25">
        <f t="shared" si="54"/>
        <v>9</v>
      </c>
    </row>
    <row r="681" spans="1:20" x14ac:dyDescent="0.3">
      <c r="A681" s="14">
        <v>680</v>
      </c>
      <c r="B681" s="14" t="s">
        <v>58</v>
      </c>
      <c r="C681" s="14">
        <v>56</v>
      </c>
      <c r="D681" s="14" t="s">
        <v>436</v>
      </c>
      <c r="E681" s="14" t="s">
        <v>26</v>
      </c>
      <c r="F681" s="14">
        <v>1</v>
      </c>
      <c r="G681" s="15">
        <f>_xlfn.XLOOKUP(C681,[1]products!$A$2:$A$71,[1]products!$D$2:$D$71)</f>
        <v>1272</v>
      </c>
      <c r="H681" s="16">
        <v>45262</v>
      </c>
      <c r="I681" s="16" t="str">
        <f t="shared" si="50"/>
        <v>December</v>
      </c>
      <c r="J681" s="16" t="str">
        <f t="shared" si="51"/>
        <v>Saturday</v>
      </c>
      <c r="K681" s="17">
        <v>0.93091435185185178</v>
      </c>
      <c r="L681" s="16">
        <v>45268</v>
      </c>
      <c r="M681" s="18">
        <f>HOUR(orders!$K681)</f>
        <v>22</v>
      </c>
      <c r="N681" s="16" t="str">
        <f t="shared" si="52"/>
        <v>December</v>
      </c>
      <c r="O681" s="17">
        <v>0.10636574074074073</v>
      </c>
      <c r="P681" s="17" t="str">
        <f>_xlfn.XLOOKUP(B681,[2]customers!$A$2:$A$101,[2]customers!$C$2:$C$101)</f>
        <v>Nizamabad</v>
      </c>
      <c r="Q681" s="14" t="s">
        <v>149</v>
      </c>
      <c r="R681" s="14" t="s">
        <v>12</v>
      </c>
      <c r="S681" s="15">
        <f t="shared" si="53"/>
        <v>1272</v>
      </c>
      <c r="T681" s="19">
        <f t="shared" si="54"/>
        <v>6</v>
      </c>
    </row>
    <row r="682" spans="1:20" x14ac:dyDescent="0.3">
      <c r="A682" s="20">
        <v>681</v>
      </c>
      <c r="B682" s="20" t="s">
        <v>264</v>
      </c>
      <c r="C682" s="20">
        <v>23</v>
      </c>
      <c r="D682" s="20" t="s">
        <v>441</v>
      </c>
      <c r="E682" s="20" t="s">
        <v>427</v>
      </c>
      <c r="F682" s="20">
        <v>5</v>
      </c>
      <c r="G682" s="21">
        <f>_xlfn.XLOOKUP(C682,[1]products!$A$2:$A$71,[1]products!$D$2:$D$71)</f>
        <v>1098</v>
      </c>
      <c r="H682" s="22">
        <v>44955</v>
      </c>
      <c r="I682" s="22" t="str">
        <f t="shared" si="50"/>
        <v>January</v>
      </c>
      <c r="J682" s="22" t="str">
        <f t="shared" si="51"/>
        <v>Sunday</v>
      </c>
      <c r="K682" s="23">
        <v>0.42229166666666668</v>
      </c>
      <c r="L682" s="22">
        <v>44962</v>
      </c>
      <c r="M682" s="24">
        <f>HOUR(orders!$K682)</f>
        <v>10</v>
      </c>
      <c r="N682" s="22" t="str">
        <f t="shared" si="52"/>
        <v>February</v>
      </c>
      <c r="O682" s="23">
        <v>0.50101851851851853</v>
      </c>
      <c r="P682" s="23" t="str">
        <f>_xlfn.XLOOKUP(B682,[2]customers!$A$2:$A$101,[2]customers!$C$2:$C$101)</f>
        <v>Cuttack</v>
      </c>
      <c r="Q682" s="20" t="s">
        <v>326</v>
      </c>
      <c r="R682" s="20" t="s">
        <v>12</v>
      </c>
      <c r="S682" s="21">
        <f t="shared" si="53"/>
        <v>5490</v>
      </c>
      <c r="T682" s="25">
        <f t="shared" si="54"/>
        <v>7</v>
      </c>
    </row>
    <row r="683" spans="1:20" x14ac:dyDescent="0.3">
      <c r="A683" s="14">
        <v>682</v>
      </c>
      <c r="B683" s="14" t="s">
        <v>54</v>
      </c>
      <c r="C683" s="14">
        <v>50</v>
      </c>
      <c r="D683" s="14" t="s">
        <v>487</v>
      </c>
      <c r="E683" s="14" t="s">
        <v>447</v>
      </c>
      <c r="F683" s="14">
        <v>5</v>
      </c>
      <c r="G683" s="15">
        <f>_xlfn.XLOOKUP(C683,[1]products!$A$2:$A$71,[1]products!$D$2:$D$71)</f>
        <v>422</v>
      </c>
      <c r="H683" s="16">
        <v>44983</v>
      </c>
      <c r="I683" s="16" t="str">
        <f t="shared" si="50"/>
        <v>February</v>
      </c>
      <c r="J683" s="16" t="str">
        <f t="shared" si="51"/>
        <v>Sunday</v>
      </c>
      <c r="K683" s="17">
        <v>0.31337962962962962</v>
      </c>
      <c r="L683" s="16">
        <v>44990</v>
      </c>
      <c r="M683" s="18">
        <f>HOUR(orders!$K683)</f>
        <v>7</v>
      </c>
      <c r="N683" s="16" t="str">
        <f t="shared" si="52"/>
        <v>March</v>
      </c>
      <c r="O683" s="17">
        <v>0.48093750000000002</v>
      </c>
      <c r="P683" s="17" t="str">
        <f>_xlfn.XLOOKUP(B683,[2]customers!$A$2:$A$101,[2]customers!$C$2:$C$101)</f>
        <v>Bidhannagar</v>
      </c>
      <c r="Q683" s="14" t="s">
        <v>128</v>
      </c>
      <c r="R683" s="14" t="s">
        <v>36</v>
      </c>
      <c r="S683" s="15">
        <f t="shared" si="53"/>
        <v>2110</v>
      </c>
      <c r="T683" s="19">
        <f t="shared" si="54"/>
        <v>7</v>
      </c>
    </row>
    <row r="684" spans="1:20" x14ac:dyDescent="0.3">
      <c r="A684" s="20">
        <v>683</v>
      </c>
      <c r="B684" s="20" t="s">
        <v>38</v>
      </c>
      <c r="C684" s="20">
        <v>27</v>
      </c>
      <c r="D684" s="20" t="s">
        <v>435</v>
      </c>
      <c r="E684" s="20" t="s">
        <v>431</v>
      </c>
      <c r="F684" s="20">
        <v>3</v>
      </c>
      <c r="G684" s="21">
        <f>_xlfn.XLOOKUP(C684,[1]products!$A$2:$A$71,[1]products!$D$2:$D$71)</f>
        <v>548</v>
      </c>
      <c r="H684" s="22">
        <v>45161</v>
      </c>
      <c r="I684" s="22" t="str">
        <f t="shared" si="50"/>
        <v>August</v>
      </c>
      <c r="J684" s="22" t="str">
        <f t="shared" si="51"/>
        <v>Wednesday</v>
      </c>
      <c r="K684" s="23">
        <v>0.89372685185185186</v>
      </c>
      <c r="L684" s="22">
        <v>45168</v>
      </c>
      <c r="M684" s="24">
        <f>HOUR(orders!$K684)</f>
        <v>21</v>
      </c>
      <c r="N684" s="22" t="str">
        <f t="shared" si="52"/>
        <v>August</v>
      </c>
      <c r="O684" s="23">
        <v>0.80912037037037043</v>
      </c>
      <c r="P684" s="23" t="str">
        <f>_xlfn.XLOOKUP(B684,[2]customers!$A$2:$A$101,[2]customers!$C$2:$C$101)</f>
        <v>Kavali</v>
      </c>
      <c r="Q684" s="20" t="s">
        <v>344</v>
      </c>
      <c r="R684" s="20" t="s">
        <v>26</v>
      </c>
      <c r="S684" s="21">
        <f t="shared" si="53"/>
        <v>1644</v>
      </c>
      <c r="T684" s="25">
        <f t="shared" si="54"/>
        <v>7</v>
      </c>
    </row>
    <row r="685" spans="1:20" x14ac:dyDescent="0.3">
      <c r="A685" s="14">
        <v>684</v>
      </c>
      <c r="B685" s="14" t="s">
        <v>16</v>
      </c>
      <c r="C685" s="14">
        <v>70</v>
      </c>
      <c r="D685" s="14" t="s">
        <v>466</v>
      </c>
      <c r="E685" s="14" t="s">
        <v>427</v>
      </c>
      <c r="F685" s="14">
        <v>3</v>
      </c>
      <c r="G685" s="15">
        <f>_xlfn.XLOOKUP(C685,[1]products!$A$2:$A$71,[1]products!$D$2:$D$71)</f>
        <v>866</v>
      </c>
      <c r="H685" s="16">
        <v>45186</v>
      </c>
      <c r="I685" s="16" t="str">
        <f t="shared" si="50"/>
        <v>September</v>
      </c>
      <c r="J685" s="16" t="str">
        <f t="shared" si="51"/>
        <v>Sunday</v>
      </c>
      <c r="K685" s="17">
        <v>6.5162037037037032E-2</v>
      </c>
      <c r="L685" s="16">
        <v>45194</v>
      </c>
      <c r="M685" s="18">
        <f>HOUR(orders!$K685)</f>
        <v>1</v>
      </c>
      <c r="N685" s="16" t="str">
        <f t="shared" si="52"/>
        <v>September</v>
      </c>
      <c r="O685" s="17">
        <v>0.11434027777777778</v>
      </c>
      <c r="P685" s="17" t="str">
        <f>_xlfn.XLOOKUP(B685,[2]customers!$A$2:$A$101,[2]customers!$C$2:$C$101)</f>
        <v>Haridwar</v>
      </c>
      <c r="Q685" s="14" t="s">
        <v>396</v>
      </c>
      <c r="R685" s="14" t="s">
        <v>20</v>
      </c>
      <c r="S685" s="15">
        <f t="shared" si="53"/>
        <v>2598</v>
      </c>
      <c r="T685" s="19">
        <f t="shared" si="54"/>
        <v>8</v>
      </c>
    </row>
    <row r="686" spans="1:20" x14ac:dyDescent="0.3">
      <c r="A686" s="20">
        <v>685</v>
      </c>
      <c r="B686" s="20" t="s">
        <v>54</v>
      </c>
      <c r="C686" s="20">
        <v>22</v>
      </c>
      <c r="D686" s="20" t="s">
        <v>465</v>
      </c>
      <c r="E686" s="20" t="s">
        <v>445</v>
      </c>
      <c r="F686" s="20">
        <v>1</v>
      </c>
      <c r="G686" s="21">
        <f>_xlfn.XLOOKUP(C686,[1]products!$A$2:$A$71,[1]products!$D$2:$D$71)</f>
        <v>1639</v>
      </c>
      <c r="H686" s="22">
        <v>45170</v>
      </c>
      <c r="I686" s="22" t="str">
        <f t="shared" si="50"/>
        <v>September</v>
      </c>
      <c r="J686" s="22" t="str">
        <f t="shared" si="51"/>
        <v>Friday</v>
      </c>
      <c r="K686" s="23">
        <v>0.87824074074074077</v>
      </c>
      <c r="L686" s="22">
        <v>45180</v>
      </c>
      <c r="M686" s="24">
        <f>HOUR(orders!$K686)</f>
        <v>21</v>
      </c>
      <c r="N686" s="22" t="str">
        <f t="shared" si="52"/>
        <v>September</v>
      </c>
      <c r="O686" s="23">
        <v>0.35468749999999999</v>
      </c>
      <c r="P686" s="23" t="str">
        <f>_xlfn.XLOOKUP(B686,[2]customers!$A$2:$A$101,[2]customers!$C$2:$C$101)</f>
        <v>Bidhannagar</v>
      </c>
      <c r="Q686" s="20" t="s">
        <v>397</v>
      </c>
      <c r="R686" s="20" t="s">
        <v>60</v>
      </c>
      <c r="S686" s="21">
        <f t="shared" si="53"/>
        <v>1639</v>
      </c>
      <c r="T686" s="25">
        <f t="shared" si="54"/>
        <v>10</v>
      </c>
    </row>
    <row r="687" spans="1:20" x14ac:dyDescent="0.3">
      <c r="A687" s="14">
        <v>686</v>
      </c>
      <c r="B687" s="14" t="s">
        <v>186</v>
      </c>
      <c r="C687" s="14">
        <v>50</v>
      </c>
      <c r="D687" s="14" t="s">
        <v>487</v>
      </c>
      <c r="E687" s="14" t="s">
        <v>447</v>
      </c>
      <c r="F687" s="14">
        <v>1</v>
      </c>
      <c r="G687" s="15">
        <f>_xlfn.XLOOKUP(C687,[1]products!$A$2:$A$71,[1]products!$D$2:$D$71)</f>
        <v>422</v>
      </c>
      <c r="H687" s="16">
        <v>44986</v>
      </c>
      <c r="I687" s="16" t="str">
        <f t="shared" si="50"/>
        <v>March</v>
      </c>
      <c r="J687" s="16" t="str">
        <f t="shared" si="51"/>
        <v>Wednesday</v>
      </c>
      <c r="K687" s="17">
        <v>0.68724537037037037</v>
      </c>
      <c r="L687" s="16">
        <v>44996</v>
      </c>
      <c r="M687" s="18">
        <f>HOUR(orders!$K687)</f>
        <v>16</v>
      </c>
      <c r="N687" s="16" t="str">
        <f t="shared" si="52"/>
        <v>March</v>
      </c>
      <c r="O687" s="17">
        <v>0.90137731481481476</v>
      </c>
      <c r="P687" s="17" t="str">
        <f>_xlfn.XLOOKUP(B687,[2]customers!$A$2:$A$101,[2]customers!$C$2:$C$101)</f>
        <v>Farrukhabad</v>
      </c>
      <c r="Q687" s="14" t="s">
        <v>11</v>
      </c>
      <c r="R687" s="14" t="s">
        <v>36</v>
      </c>
      <c r="S687" s="15">
        <f t="shared" si="53"/>
        <v>422</v>
      </c>
      <c r="T687" s="19">
        <f t="shared" si="54"/>
        <v>10</v>
      </c>
    </row>
    <row r="688" spans="1:20" x14ac:dyDescent="0.3">
      <c r="A688" s="20">
        <v>687</v>
      </c>
      <c r="B688" s="20" t="s">
        <v>264</v>
      </c>
      <c r="C688" s="20">
        <v>8</v>
      </c>
      <c r="D688" s="20" t="s">
        <v>454</v>
      </c>
      <c r="E688" s="20" t="s">
        <v>427</v>
      </c>
      <c r="F688" s="20">
        <v>5</v>
      </c>
      <c r="G688" s="21">
        <f>_xlfn.XLOOKUP(C688,[1]products!$A$2:$A$71,[1]products!$D$2:$D$71)</f>
        <v>252</v>
      </c>
      <c r="H688" s="22">
        <v>45000</v>
      </c>
      <c r="I688" s="22" t="str">
        <f t="shared" si="50"/>
        <v>March</v>
      </c>
      <c r="J688" s="22" t="str">
        <f t="shared" si="51"/>
        <v>Wednesday</v>
      </c>
      <c r="K688" s="23">
        <v>0.7480902777777777</v>
      </c>
      <c r="L688" s="22">
        <v>45004</v>
      </c>
      <c r="M688" s="24">
        <f>HOUR(orders!$K688)</f>
        <v>17</v>
      </c>
      <c r="N688" s="22" t="str">
        <f t="shared" si="52"/>
        <v>March</v>
      </c>
      <c r="O688" s="23">
        <v>0.20201388888888891</v>
      </c>
      <c r="P688" s="23" t="str">
        <f>_xlfn.XLOOKUP(B688,[2]customers!$A$2:$A$101,[2]customers!$C$2:$C$101)</f>
        <v>Cuttack</v>
      </c>
      <c r="Q688" s="20" t="s">
        <v>398</v>
      </c>
      <c r="R688" s="20" t="s">
        <v>12</v>
      </c>
      <c r="S688" s="21">
        <f t="shared" si="53"/>
        <v>1260</v>
      </c>
      <c r="T688" s="25">
        <f t="shared" si="54"/>
        <v>4</v>
      </c>
    </row>
    <row r="689" spans="1:20" x14ac:dyDescent="0.3">
      <c r="A689" s="14">
        <v>688</v>
      </c>
      <c r="B689" s="14" t="s">
        <v>121</v>
      </c>
      <c r="C689" s="14">
        <v>54</v>
      </c>
      <c r="D689" s="14" t="s">
        <v>461</v>
      </c>
      <c r="E689" s="14" t="s">
        <v>431</v>
      </c>
      <c r="F689" s="14">
        <v>2</v>
      </c>
      <c r="G689" s="15">
        <f>_xlfn.XLOOKUP(C689,[1]products!$A$2:$A$71,[1]products!$D$2:$D$71)</f>
        <v>1236</v>
      </c>
      <c r="H689" s="16">
        <v>44954</v>
      </c>
      <c r="I689" s="16" t="str">
        <f t="shared" si="50"/>
        <v>January</v>
      </c>
      <c r="J689" s="16" t="str">
        <f t="shared" si="51"/>
        <v>Saturday</v>
      </c>
      <c r="K689" s="17">
        <v>0.79313657407407412</v>
      </c>
      <c r="L689" s="16">
        <v>44956</v>
      </c>
      <c r="M689" s="18">
        <f>HOUR(orders!$K689)</f>
        <v>19</v>
      </c>
      <c r="N689" s="16" t="str">
        <f t="shared" si="52"/>
        <v>January</v>
      </c>
      <c r="O689" s="17">
        <v>0.57733796296296302</v>
      </c>
      <c r="P689" s="17" t="str">
        <f>_xlfn.XLOOKUP(B689,[2]customers!$A$2:$A$101,[2]customers!$C$2:$C$101)</f>
        <v>Kolkata</v>
      </c>
      <c r="Q689" s="14" t="s">
        <v>226</v>
      </c>
      <c r="R689" s="14" t="s">
        <v>12</v>
      </c>
      <c r="S689" s="15">
        <f t="shared" si="53"/>
        <v>2472</v>
      </c>
      <c r="T689" s="19">
        <f t="shared" si="54"/>
        <v>2</v>
      </c>
    </row>
    <row r="690" spans="1:20" x14ac:dyDescent="0.3">
      <c r="A690" s="20">
        <v>689</v>
      </c>
      <c r="B690" s="20" t="s">
        <v>88</v>
      </c>
      <c r="C690" s="20">
        <v>66</v>
      </c>
      <c r="D690" s="20" t="s">
        <v>456</v>
      </c>
      <c r="E690" s="20" t="s">
        <v>429</v>
      </c>
      <c r="F690" s="20">
        <v>4</v>
      </c>
      <c r="G690" s="21">
        <f>_xlfn.XLOOKUP(C690,[1]products!$A$2:$A$71,[1]products!$D$2:$D$71)</f>
        <v>610</v>
      </c>
      <c r="H690" s="22">
        <v>44987</v>
      </c>
      <c r="I690" s="22" t="str">
        <f t="shared" si="50"/>
        <v>March</v>
      </c>
      <c r="J690" s="22" t="str">
        <f t="shared" si="51"/>
        <v>Thursday</v>
      </c>
      <c r="K690" s="23">
        <v>0.24493055555555557</v>
      </c>
      <c r="L690" s="22">
        <v>44992</v>
      </c>
      <c r="M690" s="24">
        <f>HOUR(orders!$K690)</f>
        <v>5</v>
      </c>
      <c r="N690" s="22" t="str">
        <f t="shared" si="52"/>
        <v>March</v>
      </c>
      <c r="O690" s="23">
        <v>0.45864583333333336</v>
      </c>
      <c r="P690" s="23" t="str">
        <f>_xlfn.XLOOKUP(B690,[2]customers!$A$2:$A$101,[2]customers!$C$2:$C$101)</f>
        <v>Guna</v>
      </c>
      <c r="Q690" s="20" t="s">
        <v>392</v>
      </c>
      <c r="R690" s="20" t="s">
        <v>36</v>
      </c>
      <c r="S690" s="21">
        <f t="shared" si="53"/>
        <v>2440</v>
      </c>
      <c r="T690" s="25">
        <f t="shared" si="54"/>
        <v>5</v>
      </c>
    </row>
    <row r="691" spans="1:20" x14ac:dyDescent="0.3">
      <c r="A691" s="14">
        <v>690</v>
      </c>
      <c r="B691" s="14" t="s">
        <v>184</v>
      </c>
      <c r="C691" s="14">
        <v>48</v>
      </c>
      <c r="D691" s="14" t="s">
        <v>460</v>
      </c>
      <c r="E691" s="14" t="s">
        <v>429</v>
      </c>
      <c r="F691" s="14">
        <v>2</v>
      </c>
      <c r="G691" s="15">
        <f>_xlfn.XLOOKUP(C691,[1]products!$A$2:$A$71,[1]products!$D$2:$D$71)</f>
        <v>433</v>
      </c>
      <c r="H691" s="16">
        <v>45232</v>
      </c>
      <c r="I691" s="16" t="str">
        <f t="shared" si="50"/>
        <v>November</v>
      </c>
      <c r="J691" s="16" t="str">
        <f t="shared" si="51"/>
        <v>Thursday</v>
      </c>
      <c r="K691" s="17">
        <v>0.88431712962962961</v>
      </c>
      <c r="L691" s="16">
        <v>45235</v>
      </c>
      <c r="M691" s="18">
        <f>HOUR(orders!$K691)</f>
        <v>21</v>
      </c>
      <c r="N691" s="16" t="str">
        <f t="shared" si="52"/>
        <v>November</v>
      </c>
      <c r="O691" s="17">
        <v>0.89777777777777779</v>
      </c>
      <c r="P691" s="17" t="str">
        <f>_xlfn.XLOOKUP(B691,[2]customers!$A$2:$A$101,[2]customers!$C$2:$C$101)</f>
        <v>Raurkela Industrial Township</v>
      </c>
      <c r="Q691" s="14" t="s">
        <v>399</v>
      </c>
      <c r="R691" s="14" t="s">
        <v>15</v>
      </c>
      <c r="S691" s="15">
        <f t="shared" si="53"/>
        <v>866</v>
      </c>
      <c r="T691" s="19">
        <f t="shared" si="54"/>
        <v>3</v>
      </c>
    </row>
    <row r="692" spans="1:20" x14ac:dyDescent="0.3">
      <c r="A692" s="20">
        <v>691</v>
      </c>
      <c r="B692" s="20" t="s">
        <v>339</v>
      </c>
      <c r="C692" s="20">
        <v>48</v>
      </c>
      <c r="D692" s="20" t="s">
        <v>460</v>
      </c>
      <c r="E692" s="20" t="s">
        <v>429</v>
      </c>
      <c r="F692" s="20">
        <v>5</v>
      </c>
      <c r="G692" s="21">
        <f>_xlfn.XLOOKUP(C692,[1]products!$A$2:$A$71,[1]products!$D$2:$D$71)</f>
        <v>433</v>
      </c>
      <c r="H692" s="22">
        <v>45236</v>
      </c>
      <c r="I692" s="22" t="str">
        <f t="shared" si="50"/>
        <v>November</v>
      </c>
      <c r="J692" s="22" t="str">
        <f t="shared" si="51"/>
        <v>Monday</v>
      </c>
      <c r="K692" s="23">
        <v>0.22410879629629629</v>
      </c>
      <c r="L692" s="22">
        <v>45240</v>
      </c>
      <c r="M692" s="24">
        <f>HOUR(orders!$K692)</f>
        <v>5</v>
      </c>
      <c r="N692" s="22" t="str">
        <f t="shared" si="52"/>
        <v>November</v>
      </c>
      <c r="O692" s="23">
        <v>0.46418981481481486</v>
      </c>
      <c r="P692" s="23" t="str">
        <f>_xlfn.XLOOKUP(B692,[2]customers!$A$2:$A$101,[2]customers!$C$2:$C$101)</f>
        <v>Bulandshahr</v>
      </c>
      <c r="Q692" s="20" t="s">
        <v>269</v>
      </c>
      <c r="R692" s="20" t="s">
        <v>15</v>
      </c>
      <c r="S692" s="21">
        <f t="shared" si="53"/>
        <v>2165</v>
      </c>
      <c r="T692" s="25">
        <f t="shared" si="54"/>
        <v>4</v>
      </c>
    </row>
    <row r="693" spans="1:20" x14ac:dyDescent="0.3">
      <c r="A693" s="14">
        <v>692</v>
      </c>
      <c r="B693" s="14" t="s">
        <v>180</v>
      </c>
      <c r="C693" s="14">
        <v>15</v>
      </c>
      <c r="D693" s="14" t="s">
        <v>482</v>
      </c>
      <c r="E693" s="14" t="s">
        <v>26</v>
      </c>
      <c r="F693" s="14">
        <v>2</v>
      </c>
      <c r="G693" s="15">
        <f>_xlfn.XLOOKUP(C693,[1]products!$A$2:$A$71,[1]products!$D$2:$D$71)</f>
        <v>1488</v>
      </c>
      <c r="H693" s="16">
        <v>45149</v>
      </c>
      <c r="I693" s="16" t="str">
        <f t="shared" si="50"/>
        <v>August</v>
      </c>
      <c r="J693" s="16" t="str">
        <f t="shared" si="51"/>
        <v>Friday</v>
      </c>
      <c r="K693" s="17">
        <v>0.29508101851851853</v>
      </c>
      <c r="L693" s="16">
        <v>45156</v>
      </c>
      <c r="M693" s="18">
        <f>HOUR(orders!$K693)</f>
        <v>7</v>
      </c>
      <c r="N693" s="16" t="str">
        <f t="shared" si="52"/>
        <v>August</v>
      </c>
      <c r="O693" s="17">
        <v>0.28098379629629627</v>
      </c>
      <c r="P693" s="17" t="str">
        <f>_xlfn.XLOOKUP(B693,[2]customers!$A$2:$A$101,[2]customers!$C$2:$C$101)</f>
        <v>Vellore</v>
      </c>
      <c r="Q693" s="14" t="s">
        <v>197</v>
      </c>
      <c r="R693" s="14" t="s">
        <v>12</v>
      </c>
      <c r="S693" s="15">
        <f t="shared" si="53"/>
        <v>2976</v>
      </c>
      <c r="T693" s="19">
        <f t="shared" si="54"/>
        <v>7</v>
      </c>
    </row>
    <row r="694" spans="1:20" x14ac:dyDescent="0.3">
      <c r="A694" s="20">
        <v>693</v>
      </c>
      <c r="B694" s="20" t="s">
        <v>56</v>
      </c>
      <c r="C694" s="20">
        <v>4</v>
      </c>
      <c r="D694" s="20" t="s">
        <v>475</v>
      </c>
      <c r="E694" s="20" t="s">
        <v>427</v>
      </c>
      <c r="F694" s="20">
        <v>5</v>
      </c>
      <c r="G694" s="21">
        <f>_xlfn.XLOOKUP(C694,[1]products!$A$2:$A$71,[1]products!$D$2:$D$71)</f>
        <v>1199</v>
      </c>
      <c r="H694" s="22">
        <v>45234</v>
      </c>
      <c r="I694" s="22" t="str">
        <f t="shared" si="50"/>
        <v>November</v>
      </c>
      <c r="J694" s="22" t="str">
        <f t="shared" si="51"/>
        <v>Saturday</v>
      </c>
      <c r="K694" s="23">
        <v>0.99230324074074072</v>
      </c>
      <c r="L694" s="22">
        <v>45237</v>
      </c>
      <c r="M694" s="24">
        <f>HOUR(orders!$K694)</f>
        <v>23</v>
      </c>
      <c r="N694" s="22" t="str">
        <f t="shared" si="52"/>
        <v>November</v>
      </c>
      <c r="O694" s="23">
        <v>0.23017361111111112</v>
      </c>
      <c r="P694" s="23" t="str">
        <f>_xlfn.XLOOKUP(B694,[2]customers!$A$2:$A$101,[2]customers!$C$2:$C$101)</f>
        <v>Karaikudi</v>
      </c>
      <c r="Q694" s="20" t="s">
        <v>336</v>
      </c>
      <c r="R694" s="20" t="s">
        <v>15</v>
      </c>
      <c r="S694" s="21">
        <f t="shared" si="53"/>
        <v>5995</v>
      </c>
      <c r="T694" s="25">
        <f t="shared" si="54"/>
        <v>3</v>
      </c>
    </row>
    <row r="695" spans="1:20" x14ac:dyDescent="0.3">
      <c r="A695" s="14">
        <v>694</v>
      </c>
      <c r="B695" s="14" t="s">
        <v>58</v>
      </c>
      <c r="C695" s="14">
        <v>23</v>
      </c>
      <c r="D695" s="14" t="s">
        <v>441</v>
      </c>
      <c r="E695" s="14" t="s">
        <v>427</v>
      </c>
      <c r="F695" s="14">
        <v>2</v>
      </c>
      <c r="G695" s="15">
        <f>_xlfn.XLOOKUP(C695,[1]products!$A$2:$A$71,[1]products!$D$2:$D$71)</f>
        <v>1098</v>
      </c>
      <c r="H695" s="16">
        <v>45031</v>
      </c>
      <c r="I695" s="16" t="str">
        <f t="shared" si="50"/>
        <v>April</v>
      </c>
      <c r="J695" s="16" t="str">
        <f t="shared" si="51"/>
        <v>Saturday</v>
      </c>
      <c r="K695" s="17">
        <v>0.81003472222222228</v>
      </c>
      <c r="L695" s="16">
        <v>45037</v>
      </c>
      <c r="M695" s="18">
        <f>HOUR(orders!$K695)</f>
        <v>19</v>
      </c>
      <c r="N695" s="16" t="str">
        <f t="shared" si="52"/>
        <v>April</v>
      </c>
      <c r="O695" s="17">
        <v>0.70753472222222225</v>
      </c>
      <c r="P695" s="17" t="str">
        <f>_xlfn.XLOOKUP(B695,[2]customers!$A$2:$A$101,[2]customers!$C$2:$C$101)</f>
        <v>Nizamabad</v>
      </c>
      <c r="Q695" s="14" t="s">
        <v>106</v>
      </c>
      <c r="R695" s="14" t="s">
        <v>12</v>
      </c>
      <c r="S695" s="15">
        <f t="shared" si="53"/>
        <v>2196</v>
      </c>
      <c r="T695" s="19">
        <f t="shared" si="54"/>
        <v>6</v>
      </c>
    </row>
    <row r="696" spans="1:20" x14ac:dyDescent="0.3">
      <c r="A696" s="20">
        <v>695</v>
      </c>
      <c r="B696" s="20" t="s">
        <v>88</v>
      </c>
      <c r="C696" s="20">
        <v>23</v>
      </c>
      <c r="D696" s="20" t="s">
        <v>441</v>
      </c>
      <c r="E696" s="20" t="s">
        <v>427</v>
      </c>
      <c r="F696" s="20">
        <v>4</v>
      </c>
      <c r="G696" s="21">
        <f>_xlfn.XLOOKUP(C696,[1]products!$A$2:$A$71,[1]products!$D$2:$D$71)</f>
        <v>1098</v>
      </c>
      <c r="H696" s="22">
        <v>44990</v>
      </c>
      <c r="I696" s="22" t="str">
        <f t="shared" si="50"/>
        <v>March</v>
      </c>
      <c r="J696" s="22" t="str">
        <f t="shared" si="51"/>
        <v>Sunday</v>
      </c>
      <c r="K696" s="23">
        <v>0.69226851851851856</v>
      </c>
      <c r="L696" s="22">
        <v>44999</v>
      </c>
      <c r="M696" s="24">
        <f>HOUR(orders!$K696)</f>
        <v>16</v>
      </c>
      <c r="N696" s="22" t="str">
        <f t="shared" si="52"/>
        <v>March</v>
      </c>
      <c r="O696" s="23">
        <v>0.70953703703703708</v>
      </c>
      <c r="P696" s="23" t="str">
        <f>_xlfn.XLOOKUP(B696,[2]customers!$A$2:$A$101,[2]customers!$C$2:$C$101)</f>
        <v>Guna</v>
      </c>
      <c r="Q696" s="20" t="s">
        <v>307</v>
      </c>
      <c r="R696" s="20" t="s">
        <v>12</v>
      </c>
      <c r="S696" s="21">
        <f t="shared" si="53"/>
        <v>4392</v>
      </c>
      <c r="T696" s="25">
        <f t="shared" si="54"/>
        <v>9</v>
      </c>
    </row>
    <row r="697" spans="1:20" x14ac:dyDescent="0.3">
      <c r="A697" s="14">
        <v>696</v>
      </c>
      <c r="B697" s="14" t="s">
        <v>88</v>
      </c>
      <c r="C697" s="14">
        <v>13</v>
      </c>
      <c r="D697" s="14" t="s">
        <v>495</v>
      </c>
      <c r="E697" s="14" t="s">
        <v>458</v>
      </c>
      <c r="F697" s="14">
        <v>3</v>
      </c>
      <c r="G697" s="15">
        <f>_xlfn.XLOOKUP(C697,[1]products!$A$2:$A$71,[1]products!$D$2:$D$71)</f>
        <v>1141</v>
      </c>
      <c r="H697" s="16">
        <v>44992</v>
      </c>
      <c r="I697" s="16" t="str">
        <f t="shared" si="50"/>
        <v>March</v>
      </c>
      <c r="J697" s="16" t="str">
        <f t="shared" si="51"/>
        <v>Tuesday</v>
      </c>
      <c r="K697" s="17">
        <v>0.11274305555555557</v>
      </c>
      <c r="L697" s="16">
        <v>44999</v>
      </c>
      <c r="M697" s="18">
        <f>HOUR(orders!$K697)</f>
        <v>2</v>
      </c>
      <c r="N697" s="16" t="str">
        <f t="shared" si="52"/>
        <v>March</v>
      </c>
      <c r="O697" s="17">
        <v>0.63107638888888895</v>
      </c>
      <c r="P697" s="17" t="str">
        <f>_xlfn.XLOOKUP(B697,[2]customers!$A$2:$A$101,[2]customers!$C$2:$C$101)</f>
        <v>Guna</v>
      </c>
      <c r="Q697" s="14" t="s">
        <v>400</v>
      </c>
      <c r="R697" s="14" t="s">
        <v>36</v>
      </c>
      <c r="S697" s="15">
        <f t="shared" si="53"/>
        <v>3423</v>
      </c>
      <c r="T697" s="19">
        <f t="shared" si="54"/>
        <v>7</v>
      </c>
    </row>
    <row r="698" spans="1:20" x14ac:dyDescent="0.3">
      <c r="A698" s="20">
        <v>697</v>
      </c>
      <c r="B698" s="20" t="s">
        <v>186</v>
      </c>
      <c r="C698" s="20">
        <v>66</v>
      </c>
      <c r="D698" s="20" t="s">
        <v>456</v>
      </c>
      <c r="E698" s="20" t="s">
        <v>429</v>
      </c>
      <c r="F698" s="20">
        <v>1</v>
      </c>
      <c r="G698" s="21">
        <f>_xlfn.XLOOKUP(C698,[1]products!$A$2:$A$71,[1]products!$D$2:$D$71)</f>
        <v>610</v>
      </c>
      <c r="H698" s="22">
        <v>44988</v>
      </c>
      <c r="I698" s="22" t="str">
        <f t="shared" si="50"/>
        <v>March</v>
      </c>
      <c r="J698" s="22" t="str">
        <f t="shared" si="51"/>
        <v>Friday</v>
      </c>
      <c r="K698" s="23">
        <v>0.59751157407407407</v>
      </c>
      <c r="L698" s="22">
        <v>44992</v>
      </c>
      <c r="M698" s="24">
        <f>HOUR(orders!$K698)</f>
        <v>14</v>
      </c>
      <c r="N698" s="22" t="str">
        <f t="shared" si="52"/>
        <v>March</v>
      </c>
      <c r="O698" s="23">
        <v>0.63495370370370374</v>
      </c>
      <c r="P698" s="23" t="str">
        <f>_xlfn.XLOOKUP(B698,[2]customers!$A$2:$A$101,[2]customers!$C$2:$C$101)</f>
        <v>Farrukhabad</v>
      </c>
      <c r="Q698" s="20" t="s">
        <v>166</v>
      </c>
      <c r="R698" s="20" t="s">
        <v>36</v>
      </c>
      <c r="S698" s="21">
        <f t="shared" si="53"/>
        <v>610</v>
      </c>
      <c r="T698" s="25">
        <f t="shared" si="54"/>
        <v>4</v>
      </c>
    </row>
    <row r="699" spans="1:20" x14ac:dyDescent="0.3">
      <c r="A699" s="14">
        <v>698</v>
      </c>
      <c r="B699" s="14" t="s">
        <v>150</v>
      </c>
      <c r="C699" s="14">
        <v>64</v>
      </c>
      <c r="D699" s="14" t="s">
        <v>492</v>
      </c>
      <c r="E699" s="14" t="s">
        <v>445</v>
      </c>
      <c r="F699" s="14">
        <v>3</v>
      </c>
      <c r="G699" s="15">
        <f>_xlfn.XLOOKUP(C699,[1]products!$A$2:$A$71,[1]products!$D$2:$D$71)</f>
        <v>1878</v>
      </c>
      <c r="H699" s="16">
        <v>45167</v>
      </c>
      <c r="I699" s="16" t="str">
        <f t="shared" si="50"/>
        <v>August</v>
      </c>
      <c r="J699" s="16" t="str">
        <f t="shared" si="51"/>
        <v>Tuesday</v>
      </c>
      <c r="K699" s="17">
        <v>0.86401620370370369</v>
      </c>
      <c r="L699" s="16">
        <v>45175</v>
      </c>
      <c r="M699" s="18">
        <f>HOUR(orders!$K699)</f>
        <v>20</v>
      </c>
      <c r="N699" s="16" t="str">
        <f t="shared" si="52"/>
        <v>September</v>
      </c>
      <c r="O699" s="17">
        <v>0.62515046296296295</v>
      </c>
      <c r="P699" s="17" t="str">
        <f>_xlfn.XLOOKUP(B699,[2]customers!$A$2:$A$101,[2]customers!$C$2:$C$101)</f>
        <v>Satara</v>
      </c>
      <c r="Q699" s="14" t="s">
        <v>165</v>
      </c>
      <c r="R699" s="14" t="s">
        <v>26</v>
      </c>
      <c r="S699" s="15">
        <f t="shared" si="53"/>
        <v>5634</v>
      </c>
      <c r="T699" s="19">
        <f t="shared" si="54"/>
        <v>8</v>
      </c>
    </row>
    <row r="700" spans="1:20" x14ac:dyDescent="0.3">
      <c r="A700" s="20">
        <v>699</v>
      </c>
      <c r="B700" s="20" t="s">
        <v>50</v>
      </c>
      <c r="C700" s="20">
        <v>1</v>
      </c>
      <c r="D700" s="20" t="s">
        <v>479</v>
      </c>
      <c r="E700" s="20" t="s">
        <v>445</v>
      </c>
      <c r="F700" s="20">
        <v>4</v>
      </c>
      <c r="G700" s="21">
        <f>_xlfn.XLOOKUP(C700,[1]products!$A$2:$A$71,[1]products!$D$2:$D$71)</f>
        <v>1935</v>
      </c>
      <c r="H700" s="22">
        <v>45079</v>
      </c>
      <c r="I700" s="22" t="str">
        <f t="shared" si="50"/>
        <v>June</v>
      </c>
      <c r="J700" s="22" t="str">
        <f t="shared" si="51"/>
        <v>Friday</v>
      </c>
      <c r="K700" s="23">
        <v>0.51023148148148145</v>
      </c>
      <c r="L700" s="22">
        <v>45086</v>
      </c>
      <c r="M700" s="24">
        <f>HOUR(orders!$K700)</f>
        <v>12</v>
      </c>
      <c r="N700" s="22" t="str">
        <f t="shared" si="52"/>
        <v>June</v>
      </c>
      <c r="O700" s="23">
        <v>0.96461805555555558</v>
      </c>
      <c r="P700" s="23" t="str">
        <f>_xlfn.XLOOKUP(B700,[2]customers!$A$2:$A$101,[2]customers!$C$2:$C$101)</f>
        <v>Orai</v>
      </c>
      <c r="Q700" s="20" t="s">
        <v>122</v>
      </c>
      <c r="R700" s="20" t="s">
        <v>60</v>
      </c>
      <c r="S700" s="21">
        <f t="shared" si="53"/>
        <v>7740</v>
      </c>
      <c r="T700" s="25">
        <f t="shared" si="54"/>
        <v>7</v>
      </c>
    </row>
    <row r="701" spans="1:20" x14ac:dyDescent="0.3">
      <c r="A701" s="14">
        <v>700</v>
      </c>
      <c r="B701" s="14" t="s">
        <v>90</v>
      </c>
      <c r="C701" s="14">
        <v>6</v>
      </c>
      <c r="D701" s="14" t="s">
        <v>450</v>
      </c>
      <c r="E701" s="14" t="s">
        <v>431</v>
      </c>
      <c r="F701" s="14">
        <v>1</v>
      </c>
      <c r="G701" s="15">
        <f>_xlfn.XLOOKUP(C701,[1]products!$A$2:$A$71,[1]products!$D$2:$D$71)</f>
        <v>1112</v>
      </c>
      <c r="H701" s="16">
        <v>44989</v>
      </c>
      <c r="I701" s="16" t="str">
        <f t="shared" si="50"/>
        <v>March</v>
      </c>
      <c r="J701" s="16" t="str">
        <f t="shared" si="51"/>
        <v>Saturday</v>
      </c>
      <c r="K701" s="17">
        <v>0.76246527777777784</v>
      </c>
      <c r="L701" s="16">
        <v>44994</v>
      </c>
      <c r="M701" s="18">
        <f>HOUR(orders!$K701)</f>
        <v>18</v>
      </c>
      <c r="N701" s="16" t="str">
        <f t="shared" si="52"/>
        <v>March</v>
      </c>
      <c r="O701" s="17">
        <v>0.57160879629629624</v>
      </c>
      <c r="P701" s="17" t="str">
        <f>_xlfn.XLOOKUP(B701,[2]customers!$A$2:$A$101,[2]customers!$C$2:$C$101)</f>
        <v>Karimnagar</v>
      </c>
      <c r="Q701" s="14" t="s">
        <v>145</v>
      </c>
      <c r="R701" s="14" t="s">
        <v>36</v>
      </c>
      <c r="S701" s="15">
        <f t="shared" si="53"/>
        <v>1112</v>
      </c>
      <c r="T701" s="19">
        <f t="shared" si="54"/>
        <v>5</v>
      </c>
    </row>
    <row r="702" spans="1:20" x14ac:dyDescent="0.3">
      <c r="A702" s="20">
        <v>701</v>
      </c>
      <c r="B702" s="20" t="s">
        <v>86</v>
      </c>
      <c r="C702" s="20">
        <v>41</v>
      </c>
      <c r="D702" s="20" t="s">
        <v>426</v>
      </c>
      <c r="E702" s="20" t="s">
        <v>427</v>
      </c>
      <c r="F702" s="20">
        <v>5</v>
      </c>
      <c r="G702" s="21">
        <f>_xlfn.XLOOKUP(C702,[1]products!$A$2:$A$71,[1]products!$D$2:$D$71)</f>
        <v>1977</v>
      </c>
      <c r="H702" s="22">
        <v>45237</v>
      </c>
      <c r="I702" s="22" t="str">
        <f t="shared" si="50"/>
        <v>November</v>
      </c>
      <c r="J702" s="22" t="str">
        <f t="shared" si="51"/>
        <v>Tuesday</v>
      </c>
      <c r="K702" s="23">
        <v>0.45664351851851853</v>
      </c>
      <c r="L702" s="22">
        <v>45241</v>
      </c>
      <c r="M702" s="24">
        <f>HOUR(orders!$K702)</f>
        <v>10</v>
      </c>
      <c r="N702" s="22" t="str">
        <f t="shared" si="52"/>
        <v>November</v>
      </c>
      <c r="O702" s="23">
        <v>0.20585648148148147</v>
      </c>
      <c r="P702" s="23" t="str">
        <f>_xlfn.XLOOKUP(B702,[2]customers!$A$2:$A$101,[2]customers!$C$2:$C$101)</f>
        <v>Bhopal</v>
      </c>
      <c r="Q702" s="20" t="s">
        <v>308</v>
      </c>
      <c r="R702" s="20" t="s">
        <v>15</v>
      </c>
      <c r="S702" s="21">
        <f t="shared" si="53"/>
        <v>9885</v>
      </c>
      <c r="T702" s="25">
        <f t="shared" si="54"/>
        <v>4</v>
      </c>
    </row>
    <row r="703" spans="1:20" x14ac:dyDescent="0.3">
      <c r="A703" s="14">
        <v>702</v>
      </c>
      <c r="B703" s="14" t="s">
        <v>80</v>
      </c>
      <c r="C703" s="14">
        <v>60</v>
      </c>
      <c r="D703" s="14" t="s">
        <v>440</v>
      </c>
      <c r="E703" s="14" t="s">
        <v>427</v>
      </c>
      <c r="F703" s="14">
        <v>1</v>
      </c>
      <c r="G703" s="15">
        <f>_xlfn.XLOOKUP(C703,[1]products!$A$2:$A$71,[1]products!$D$2:$D$71)</f>
        <v>827</v>
      </c>
      <c r="H703" s="16">
        <v>45240</v>
      </c>
      <c r="I703" s="16" t="str">
        <f t="shared" si="50"/>
        <v>November</v>
      </c>
      <c r="J703" s="16" t="str">
        <f t="shared" si="51"/>
        <v>Friday</v>
      </c>
      <c r="K703" s="17">
        <v>0.36416666666666669</v>
      </c>
      <c r="L703" s="16">
        <v>45248</v>
      </c>
      <c r="M703" s="18">
        <f>HOUR(orders!$K703)</f>
        <v>8</v>
      </c>
      <c r="N703" s="16" t="str">
        <f t="shared" si="52"/>
        <v>November</v>
      </c>
      <c r="O703" s="17">
        <v>0.26817129629629627</v>
      </c>
      <c r="P703" s="17" t="str">
        <f>_xlfn.XLOOKUP(B703,[2]customers!$A$2:$A$101,[2]customers!$C$2:$C$101)</f>
        <v>Anand</v>
      </c>
      <c r="Q703" s="14" t="s">
        <v>360</v>
      </c>
      <c r="R703" s="14" t="s">
        <v>15</v>
      </c>
      <c r="S703" s="15">
        <f t="shared" si="53"/>
        <v>827</v>
      </c>
      <c r="T703" s="19">
        <f t="shared" si="54"/>
        <v>8</v>
      </c>
    </row>
    <row r="704" spans="1:20" x14ac:dyDescent="0.3">
      <c r="A704" s="20">
        <v>703</v>
      </c>
      <c r="B704" s="20" t="s">
        <v>194</v>
      </c>
      <c r="C704" s="20">
        <v>53</v>
      </c>
      <c r="D704" s="20" t="s">
        <v>496</v>
      </c>
      <c r="E704" s="20" t="s">
        <v>427</v>
      </c>
      <c r="F704" s="20">
        <v>4</v>
      </c>
      <c r="G704" s="21">
        <f>_xlfn.XLOOKUP(C704,[1]products!$A$2:$A$71,[1]products!$D$2:$D$71)</f>
        <v>1672</v>
      </c>
      <c r="H704" s="22">
        <v>45161</v>
      </c>
      <c r="I704" s="22" t="str">
        <f t="shared" si="50"/>
        <v>August</v>
      </c>
      <c r="J704" s="22" t="str">
        <f t="shared" si="51"/>
        <v>Wednesday</v>
      </c>
      <c r="K704" s="23">
        <v>0.68031249999999999</v>
      </c>
      <c r="L704" s="22">
        <v>45170</v>
      </c>
      <c r="M704" s="24">
        <f>HOUR(orders!$K704)</f>
        <v>16</v>
      </c>
      <c r="N704" s="22" t="str">
        <f t="shared" si="52"/>
        <v>September</v>
      </c>
      <c r="O704" s="23">
        <v>0.25839120370370372</v>
      </c>
      <c r="P704" s="23" t="str">
        <f>_xlfn.XLOOKUP(B704,[2]customers!$A$2:$A$101,[2]customers!$C$2:$C$101)</f>
        <v>Bhatpara</v>
      </c>
      <c r="Q704" s="20" t="s">
        <v>44</v>
      </c>
      <c r="R704" s="20" t="s">
        <v>26</v>
      </c>
      <c r="S704" s="21">
        <f t="shared" si="53"/>
        <v>6688</v>
      </c>
      <c r="T704" s="25">
        <f t="shared" si="54"/>
        <v>9</v>
      </c>
    </row>
    <row r="705" spans="1:20" x14ac:dyDescent="0.3">
      <c r="A705" s="14">
        <v>704</v>
      </c>
      <c r="B705" s="14" t="s">
        <v>153</v>
      </c>
      <c r="C705" s="14">
        <v>55</v>
      </c>
      <c r="D705" s="14" t="s">
        <v>491</v>
      </c>
      <c r="E705" s="14" t="s">
        <v>445</v>
      </c>
      <c r="F705" s="14">
        <v>4</v>
      </c>
      <c r="G705" s="15">
        <f>_xlfn.XLOOKUP(C705,[1]products!$A$2:$A$71,[1]products!$D$2:$D$71)</f>
        <v>1904</v>
      </c>
      <c r="H705" s="16">
        <v>45167</v>
      </c>
      <c r="I705" s="16" t="str">
        <f t="shared" si="50"/>
        <v>August</v>
      </c>
      <c r="J705" s="16" t="str">
        <f t="shared" si="51"/>
        <v>Tuesday</v>
      </c>
      <c r="K705" s="17">
        <v>0.10219907407407408</v>
      </c>
      <c r="L705" s="16">
        <v>45168</v>
      </c>
      <c r="M705" s="18">
        <f>HOUR(orders!$K705)</f>
        <v>2</v>
      </c>
      <c r="N705" s="16" t="str">
        <f t="shared" si="52"/>
        <v>August</v>
      </c>
      <c r="O705" s="17">
        <v>0.56706018518518519</v>
      </c>
      <c r="P705" s="17" t="str">
        <f>_xlfn.XLOOKUP(B705,[2]customers!$A$2:$A$101,[2]customers!$C$2:$C$101)</f>
        <v>Kavali</v>
      </c>
      <c r="Q705" s="14" t="s">
        <v>362</v>
      </c>
      <c r="R705" s="14" t="s">
        <v>26</v>
      </c>
      <c r="S705" s="15">
        <f t="shared" si="53"/>
        <v>7616</v>
      </c>
      <c r="T705" s="19">
        <f t="shared" si="54"/>
        <v>1</v>
      </c>
    </row>
    <row r="706" spans="1:20" x14ac:dyDescent="0.3">
      <c r="A706" s="20">
        <v>705</v>
      </c>
      <c r="B706" s="20" t="s">
        <v>251</v>
      </c>
      <c r="C706" s="20">
        <v>7</v>
      </c>
      <c r="D706" s="20" t="s">
        <v>453</v>
      </c>
      <c r="E706" s="20" t="s">
        <v>445</v>
      </c>
      <c r="F706" s="20">
        <v>1</v>
      </c>
      <c r="G706" s="21">
        <f>_xlfn.XLOOKUP(C706,[1]products!$A$2:$A$71,[1]products!$D$2:$D$71)</f>
        <v>409</v>
      </c>
      <c r="H706" s="22">
        <v>44990</v>
      </c>
      <c r="I706" s="22" t="str">
        <f t="shared" si="50"/>
        <v>March</v>
      </c>
      <c r="J706" s="22" t="str">
        <f t="shared" si="51"/>
        <v>Sunday</v>
      </c>
      <c r="K706" s="23">
        <v>0.76251157407407411</v>
      </c>
      <c r="L706" s="22">
        <v>44999</v>
      </c>
      <c r="M706" s="24">
        <f>HOUR(orders!$K706)</f>
        <v>18</v>
      </c>
      <c r="N706" s="22" t="str">
        <f t="shared" si="52"/>
        <v>March</v>
      </c>
      <c r="O706" s="23">
        <v>0.74802083333333336</v>
      </c>
      <c r="P706" s="23" t="str">
        <f>_xlfn.XLOOKUP(B706,[2]customers!$A$2:$A$101,[2]customers!$C$2:$C$101)</f>
        <v>Miryalaguda</v>
      </c>
      <c r="Q706" s="20" t="s">
        <v>367</v>
      </c>
      <c r="R706" s="20" t="s">
        <v>36</v>
      </c>
      <c r="S706" s="21">
        <f t="shared" si="53"/>
        <v>409</v>
      </c>
      <c r="T706" s="25">
        <f t="shared" si="54"/>
        <v>9</v>
      </c>
    </row>
    <row r="707" spans="1:20" x14ac:dyDescent="0.3">
      <c r="A707" s="14">
        <v>706</v>
      </c>
      <c r="B707" s="14" t="s">
        <v>61</v>
      </c>
      <c r="C707" s="14">
        <v>67</v>
      </c>
      <c r="D707" s="14" t="s">
        <v>425</v>
      </c>
      <c r="E707" s="14" t="s">
        <v>26</v>
      </c>
      <c r="F707" s="14">
        <v>2</v>
      </c>
      <c r="G707" s="15">
        <f>_xlfn.XLOOKUP(C707,[1]products!$A$2:$A$71,[1]products!$D$2:$D$71)</f>
        <v>1374</v>
      </c>
      <c r="H707" s="16">
        <v>45042</v>
      </c>
      <c r="I707" s="16" t="str">
        <f t="shared" ref="I707:I770" si="55">TEXT(H707,"mmmm")</f>
        <v>April</v>
      </c>
      <c r="J707" s="16" t="str">
        <f t="shared" ref="J707:J770" si="56">TEXT(H707,"dddd")</f>
        <v>Wednesday</v>
      </c>
      <c r="K707" s="17">
        <v>0.23276620370370371</v>
      </c>
      <c r="L707" s="16">
        <v>45050</v>
      </c>
      <c r="M707" s="18">
        <f>HOUR(orders!$K707)</f>
        <v>5</v>
      </c>
      <c r="N707" s="16" t="str">
        <f t="shared" ref="N707:N770" si="57">TEXT(L707,"mmmm")</f>
        <v>May</v>
      </c>
      <c r="O707" s="17">
        <v>0.55081018518518521</v>
      </c>
      <c r="P707" s="17" t="str">
        <f>_xlfn.XLOOKUP(B707,[2]customers!$A$2:$A$101,[2]customers!$C$2:$C$101)</f>
        <v>New Delhi</v>
      </c>
      <c r="Q707" s="14" t="s">
        <v>51</v>
      </c>
      <c r="R707" s="14" t="s">
        <v>12</v>
      </c>
      <c r="S707" s="15">
        <f t="shared" ref="S707:S770" si="58">G707*F707</f>
        <v>2748</v>
      </c>
      <c r="T707" s="19">
        <f t="shared" ref="T707:T770" si="59">L707-H707</f>
        <v>8</v>
      </c>
    </row>
    <row r="708" spans="1:20" x14ac:dyDescent="0.3">
      <c r="A708" s="20">
        <v>707</v>
      </c>
      <c r="B708" s="20" t="s">
        <v>101</v>
      </c>
      <c r="C708" s="20">
        <v>70</v>
      </c>
      <c r="D708" s="20" t="s">
        <v>466</v>
      </c>
      <c r="E708" s="20" t="s">
        <v>427</v>
      </c>
      <c r="F708" s="20">
        <v>4</v>
      </c>
      <c r="G708" s="21">
        <f>_xlfn.XLOOKUP(C708,[1]products!$A$2:$A$71,[1]products!$D$2:$D$71)</f>
        <v>866</v>
      </c>
      <c r="H708" s="22">
        <v>44960</v>
      </c>
      <c r="I708" s="22" t="str">
        <f t="shared" si="55"/>
        <v>February</v>
      </c>
      <c r="J708" s="22" t="str">
        <f t="shared" si="56"/>
        <v>Friday</v>
      </c>
      <c r="K708" s="23">
        <v>0.26210648148148147</v>
      </c>
      <c r="L708" s="22">
        <v>44969</v>
      </c>
      <c r="M708" s="24">
        <f>HOUR(orders!$K708)</f>
        <v>6</v>
      </c>
      <c r="N708" s="22" t="str">
        <f t="shared" si="57"/>
        <v>February</v>
      </c>
      <c r="O708" s="23">
        <v>4.4664351851851851E-2</v>
      </c>
      <c r="P708" s="23" t="str">
        <f>_xlfn.XLOOKUP(B708,[2]customers!$A$2:$A$101,[2]customers!$C$2:$C$101)</f>
        <v>Dibrugarh</v>
      </c>
      <c r="Q708" s="20" t="s">
        <v>296</v>
      </c>
      <c r="R708" s="20" t="s">
        <v>20</v>
      </c>
      <c r="S708" s="21">
        <f t="shared" si="58"/>
        <v>3464</v>
      </c>
      <c r="T708" s="25">
        <f t="shared" si="59"/>
        <v>9</v>
      </c>
    </row>
    <row r="709" spans="1:20" x14ac:dyDescent="0.3">
      <c r="A709" s="14">
        <v>708</v>
      </c>
      <c r="B709" s="14" t="s">
        <v>339</v>
      </c>
      <c r="C709" s="14">
        <v>62</v>
      </c>
      <c r="D709" s="14" t="s">
        <v>442</v>
      </c>
      <c r="E709" s="14" t="s">
        <v>429</v>
      </c>
      <c r="F709" s="14">
        <v>3</v>
      </c>
      <c r="G709" s="15">
        <f>_xlfn.XLOOKUP(C709,[1]products!$A$2:$A$71,[1]products!$D$2:$D$71)</f>
        <v>1356</v>
      </c>
      <c r="H709" s="16">
        <v>44988</v>
      </c>
      <c r="I709" s="16" t="str">
        <f t="shared" si="55"/>
        <v>March</v>
      </c>
      <c r="J709" s="16" t="str">
        <f t="shared" si="56"/>
        <v>Friday</v>
      </c>
      <c r="K709" s="17">
        <v>0.45781250000000001</v>
      </c>
      <c r="L709" s="16">
        <v>44997</v>
      </c>
      <c r="M709" s="18">
        <f>HOUR(orders!$K709)</f>
        <v>10</v>
      </c>
      <c r="N709" s="16" t="str">
        <f t="shared" si="57"/>
        <v>March</v>
      </c>
      <c r="O709" s="17">
        <v>0.21221064814814816</v>
      </c>
      <c r="P709" s="17" t="str">
        <f>_xlfn.XLOOKUP(B709,[2]customers!$A$2:$A$101,[2]customers!$C$2:$C$101)</f>
        <v>Bulandshahr</v>
      </c>
      <c r="Q709" s="14" t="s">
        <v>165</v>
      </c>
      <c r="R709" s="14" t="s">
        <v>36</v>
      </c>
      <c r="S709" s="15">
        <f t="shared" si="58"/>
        <v>4068</v>
      </c>
      <c r="T709" s="19">
        <f t="shared" si="59"/>
        <v>9</v>
      </c>
    </row>
    <row r="710" spans="1:20" x14ac:dyDescent="0.3">
      <c r="A710" s="20">
        <v>709</v>
      </c>
      <c r="B710" s="20" t="s">
        <v>243</v>
      </c>
      <c r="C710" s="20">
        <v>53</v>
      </c>
      <c r="D710" s="20" t="s">
        <v>496</v>
      </c>
      <c r="E710" s="20" t="s">
        <v>427</v>
      </c>
      <c r="F710" s="20">
        <v>5</v>
      </c>
      <c r="G710" s="21">
        <f>_xlfn.XLOOKUP(C710,[1]products!$A$2:$A$71,[1]products!$D$2:$D$71)</f>
        <v>1672</v>
      </c>
      <c r="H710" s="22">
        <v>45167</v>
      </c>
      <c r="I710" s="22" t="str">
        <f t="shared" si="55"/>
        <v>August</v>
      </c>
      <c r="J710" s="22" t="str">
        <f t="shared" si="56"/>
        <v>Tuesday</v>
      </c>
      <c r="K710" s="23">
        <v>0.19311342592592592</v>
      </c>
      <c r="L710" s="22">
        <v>45176</v>
      </c>
      <c r="M710" s="24">
        <f>HOUR(orders!$K710)</f>
        <v>4</v>
      </c>
      <c r="N710" s="22" t="str">
        <f t="shared" si="57"/>
        <v>September</v>
      </c>
      <c r="O710" s="23">
        <v>0.72864583333333333</v>
      </c>
      <c r="P710" s="23" t="str">
        <f>_xlfn.XLOOKUP(B710,[2]customers!$A$2:$A$101,[2]customers!$C$2:$C$101)</f>
        <v>Tenali</v>
      </c>
      <c r="Q710" s="20" t="s">
        <v>190</v>
      </c>
      <c r="R710" s="20" t="s">
        <v>26</v>
      </c>
      <c r="S710" s="21">
        <f t="shared" si="58"/>
        <v>8360</v>
      </c>
      <c r="T710" s="25">
        <f t="shared" si="59"/>
        <v>9</v>
      </c>
    </row>
    <row r="711" spans="1:20" x14ac:dyDescent="0.3">
      <c r="A711" s="14">
        <v>710</v>
      </c>
      <c r="B711" s="14" t="s">
        <v>198</v>
      </c>
      <c r="C711" s="14">
        <v>54</v>
      </c>
      <c r="D711" s="14" t="s">
        <v>461</v>
      </c>
      <c r="E711" s="14" t="s">
        <v>431</v>
      </c>
      <c r="F711" s="14">
        <v>5</v>
      </c>
      <c r="G711" s="15">
        <f>_xlfn.XLOOKUP(C711,[1]products!$A$2:$A$71,[1]products!$D$2:$D$71)</f>
        <v>1236</v>
      </c>
      <c r="H711" s="16">
        <v>45068</v>
      </c>
      <c r="I711" s="16" t="str">
        <f t="shared" si="55"/>
        <v>May</v>
      </c>
      <c r="J711" s="16" t="str">
        <f t="shared" si="56"/>
        <v>Monday</v>
      </c>
      <c r="K711" s="17">
        <v>6.4618055555555554E-2</v>
      </c>
      <c r="L711" s="16">
        <v>45075</v>
      </c>
      <c r="M711" s="18">
        <f>HOUR(orders!$K711)</f>
        <v>1</v>
      </c>
      <c r="N711" s="16" t="str">
        <f t="shared" si="57"/>
        <v>May</v>
      </c>
      <c r="O711" s="17">
        <v>7.2129629629629641E-2</v>
      </c>
      <c r="P711" s="17" t="str">
        <f>_xlfn.XLOOKUP(B711,[2]customers!$A$2:$A$101,[2]customers!$C$2:$C$101)</f>
        <v>North Dumdum</v>
      </c>
      <c r="Q711" s="14" t="s">
        <v>214</v>
      </c>
      <c r="R711" s="14" t="s">
        <v>12</v>
      </c>
      <c r="S711" s="15">
        <f t="shared" si="58"/>
        <v>6180</v>
      </c>
      <c r="T711" s="19">
        <f t="shared" si="59"/>
        <v>7</v>
      </c>
    </row>
    <row r="712" spans="1:20" x14ac:dyDescent="0.3">
      <c r="A712" s="20">
        <v>711</v>
      </c>
      <c r="B712" s="20" t="s">
        <v>249</v>
      </c>
      <c r="C712" s="20">
        <v>68</v>
      </c>
      <c r="D712" s="20" t="s">
        <v>494</v>
      </c>
      <c r="E712" s="20" t="s">
        <v>445</v>
      </c>
      <c r="F712" s="20">
        <v>3</v>
      </c>
      <c r="G712" s="21">
        <f>_xlfn.XLOOKUP(C712,[1]products!$A$2:$A$71,[1]products!$D$2:$D$71)</f>
        <v>597</v>
      </c>
      <c r="H712" s="22">
        <v>44961</v>
      </c>
      <c r="I712" s="22" t="str">
        <f t="shared" si="55"/>
        <v>February</v>
      </c>
      <c r="J712" s="22" t="str">
        <f t="shared" si="56"/>
        <v>Saturday</v>
      </c>
      <c r="K712" s="23">
        <v>0.71907407407407409</v>
      </c>
      <c r="L712" s="22">
        <v>44963</v>
      </c>
      <c r="M712" s="24">
        <f>HOUR(orders!$K712)</f>
        <v>17</v>
      </c>
      <c r="N712" s="22" t="str">
        <f t="shared" si="57"/>
        <v>February</v>
      </c>
      <c r="O712" s="23">
        <v>0.61866898148148153</v>
      </c>
      <c r="P712" s="23" t="str">
        <f>_xlfn.XLOOKUP(B712,[2]customers!$A$2:$A$101,[2]customers!$C$2:$C$101)</f>
        <v>Tumkur</v>
      </c>
      <c r="Q712" s="20" t="s">
        <v>197</v>
      </c>
      <c r="R712" s="20" t="s">
        <v>23</v>
      </c>
      <c r="S712" s="21">
        <f t="shared" si="58"/>
        <v>1791</v>
      </c>
      <c r="T712" s="25">
        <f t="shared" si="59"/>
        <v>2</v>
      </c>
    </row>
    <row r="713" spans="1:20" x14ac:dyDescent="0.3">
      <c r="A713" s="14">
        <v>712</v>
      </c>
      <c r="B713" s="14" t="s">
        <v>130</v>
      </c>
      <c r="C713" s="14">
        <v>65</v>
      </c>
      <c r="D713" s="14" t="s">
        <v>466</v>
      </c>
      <c r="E713" s="14" t="s">
        <v>26</v>
      </c>
      <c r="F713" s="14">
        <v>5</v>
      </c>
      <c r="G713" s="15">
        <f>_xlfn.XLOOKUP(C713,[1]products!$A$2:$A$71,[1]products!$D$2:$D$71)</f>
        <v>1895</v>
      </c>
      <c r="H713" s="16">
        <v>45118</v>
      </c>
      <c r="I713" s="16" t="str">
        <f t="shared" si="55"/>
        <v>July</v>
      </c>
      <c r="J713" s="16" t="str">
        <f t="shared" si="56"/>
        <v>Tuesday</v>
      </c>
      <c r="K713" s="17">
        <v>0.54180555555555554</v>
      </c>
      <c r="L713" s="16">
        <v>45120</v>
      </c>
      <c r="M713" s="18">
        <f>HOUR(orders!$K713)</f>
        <v>13</v>
      </c>
      <c r="N713" s="16" t="str">
        <f t="shared" si="57"/>
        <v>July</v>
      </c>
      <c r="O713" s="17">
        <v>0.2742708333333333</v>
      </c>
      <c r="P713" s="17" t="str">
        <f>_xlfn.XLOOKUP(B713,[2]customers!$A$2:$A$101,[2]customers!$C$2:$C$101)</f>
        <v>Delhi</v>
      </c>
      <c r="Q713" s="14" t="s">
        <v>357</v>
      </c>
      <c r="R713" s="14" t="s">
        <v>60</v>
      </c>
      <c r="S713" s="15">
        <f t="shared" si="58"/>
        <v>9475</v>
      </c>
      <c r="T713" s="19">
        <f t="shared" si="59"/>
        <v>2</v>
      </c>
    </row>
    <row r="714" spans="1:20" x14ac:dyDescent="0.3">
      <c r="A714" s="20">
        <v>713</v>
      </c>
      <c r="B714" s="20" t="s">
        <v>164</v>
      </c>
      <c r="C714" s="20">
        <v>37</v>
      </c>
      <c r="D714" s="20" t="s">
        <v>459</v>
      </c>
      <c r="E714" s="20" t="s">
        <v>429</v>
      </c>
      <c r="F714" s="20">
        <v>3</v>
      </c>
      <c r="G714" s="21">
        <f>_xlfn.XLOOKUP(C714,[1]products!$A$2:$A$71,[1]products!$D$2:$D$71)</f>
        <v>1428</v>
      </c>
      <c r="H714" s="22">
        <v>45238</v>
      </c>
      <c r="I714" s="22" t="str">
        <f t="shared" si="55"/>
        <v>November</v>
      </c>
      <c r="J714" s="22" t="str">
        <f t="shared" si="56"/>
        <v>Wednesday</v>
      </c>
      <c r="K714" s="23">
        <v>0.97525462962962972</v>
      </c>
      <c r="L714" s="22">
        <v>45245</v>
      </c>
      <c r="M714" s="24">
        <f>HOUR(orders!$K714)</f>
        <v>23</v>
      </c>
      <c r="N714" s="22" t="str">
        <f t="shared" si="57"/>
        <v>November</v>
      </c>
      <c r="O714" s="23">
        <v>0.95232638888888888</v>
      </c>
      <c r="P714" s="23" t="str">
        <f>_xlfn.XLOOKUP(B714,[2]customers!$A$2:$A$101,[2]customers!$C$2:$C$101)</f>
        <v>Ratlam</v>
      </c>
      <c r="Q714" s="20" t="s">
        <v>197</v>
      </c>
      <c r="R714" s="20" t="s">
        <v>15</v>
      </c>
      <c r="S714" s="21">
        <f t="shared" si="58"/>
        <v>4284</v>
      </c>
      <c r="T714" s="25">
        <f t="shared" si="59"/>
        <v>7</v>
      </c>
    </row>
    <row r="715" spans="1:20" x14ac:dyDescent="0.3">
      <c r="A715" s="14">
        <v>714</v>
      </c>
      <c r="B715" s="14" t="s">
        <v>142</v>
      </c>
      <c r="C715" s="14">
        <v>63</v>
      </c>
      <c r="D715" s="14" t="s">
        <v>498</v>
      </c>
      <c r="E715" s="14" t="s">
        <v>427</v>
      </c>
      <c r="F715" s="14">
        <v>2</v>
      </c>
      <c r="G715" s="15">
        <f>_xlfn.XLOOKUP(C715,[1]products!$A$2:$A$71,[1]products!$D$2:$D$71)</f>
        <v>1348</v>
      </c>
      <c r="H715" s="16">
        <v>45078</v>
      </c>
      <c r="I715" s="16" t="str">
        <f t="shared" si="55"/>
        <v>June</v>
      </c>
      <c r="J715" s="16" t="str">
        <f t="shared" si="56"/>
        <v>Thursday</v>
      </c>
      <c r="K715" s="17">
        <v>0.8112152777777778</v>
      </c>
      <c r="L715" s="16">
        <v>45080</v>
      </c>
      <c r="M715" s="18">
        <f>HOUR(orders!$K715)</f>
        <v>19</v>
      </c>
      <c r="N715" s="16" t="str">
        <f t="shared" si="57"/>
        <v>June</v>
      </c>
      <c r="O715" s="17">
        <v>0.3291782407407407</v>
      </c>
      <c r="P715" s="17" t="str">
        <f>_xlfn.XLOOKUP(B715,[2]customers!$A$2:$A$101,[2]customers!$C$2:$C$101)</f>
        <v>Bharatpur</v>
      </c>
      <c r="Q715" s="14" t="s">
        <v>401</v>
      </c>
      <c r="R715" s="14" t="s">
        <v>60</v>
      </c>
      <c r="S715" s="15">
        <f t="shared" si="58"/>
        <v>2696</v>
      </c>
      <c r="T715" s="19">
        <f t="shared" si="59"/>
        <v>2</v>
      </c>
    </row>
    <row r="716" spans="1:20" x14ac:dyDescent="0.3">
      <c r="A716" s="20">
        <v>715</v>
      </c>
      <c r="B716" s="20" t="s">
        <v>41</v>
      </c>
      <c r="C716" s="20">
        <v>38</v>
      </c>
      <c r="D716" s="20" t="s">
        <v>438</v>
      </c>
      <c r="E716" s="20" t="s">
        <v>431</v>
      </c>
      <c r="F716" s="20">
        <v>4</v>
      </c>
      <c r="G716" s="21">
        <f>_xlfn.XLOOKUP(C716,[1]products!$A$2:$A$71,[1]products!$D$2:$D$71)</f>
        <v>562</v>
      </c>
      <c r="H716" s="22">
        <v>45030</v>
      </c>
      <c r="I716" s="22" t="str">
        <f t="shared" si="55"/>
        <v>April</v>
      </c>
      <c r="J716" s="22" t="str">
        <f t="shared" si="56"/>
        <v>Friday</v>
      </c>
      <c r="K716" s="23">
        <v>0.21994212962962964</v>
      </c>
      <c r="L716" s="22">
        <v>45037</v>
      </c>
      <c r="M716" s="24">
        <f>HOUR(orders!$K716)</f>
        <v>5</v>
      </c>
      <c r="N716" s="22" t="str">
        <f t="shared" si="57"/>
        <v>April</v>
      </c>
      <c r="O716" s="23">
        <v>0.69410879629629629</v>
      </c>
      <c r="P716" s="23" t="str">
        <f>_xlfn.XLOOKUP(B716,[2]customers!$A$2:$A$101,[2]customers!$C$2:$C$101)</f>
        <v>Madhyamgram</v>
      </c>
      <c r="Q716" s="20" t="s">
        <v>55</v>
      </c>
      <c r="R716" s="20" t="s">
        <v>20</v>
      </c>
      <c r="S716" s="21">
        <f t="shared" si="58"/>
        <v>2248</v>
      </c>
      <c r="T716" s="25">
        <f t="shared" si="59"/>
        <v>7</v>
      </c>
    </row>
    <row r="717" spans="1:20" x14ac:dyDescent="0.3">
      <c r="A717" s="14">
        <v>716</v>
      </c>
      <c r="B717" s="14" t="s">
        <v>268</v>
      </c>
      <c r="C717" s="14">
        <v>40</v>
      </c>
      <c r="D717" s="14" t="s">
        <v>477</v>
      </c>
      <c r="E717" s="14" t="s">
        <v>427</v>
      </c>
      <c r="F717" s="14">
        <v>3</v>
      </c>
      <c r="G717" s="15">
        <f>_xlfn.XLOOKUP(C717,[1]products!$A$2:$A$71,[1]products!$D$2:$D$71)</f>
        <v>1923</v>
      </c>
      <c r="H717" s="16">
        <v>45157</v>
      </c>
      <c r="I717" s="16" t="str">
        <f t="shared" si="55"/>
        <v>August</v>
      </c>
      <c r="J717" s="16" t="str">
        <f t="shared" si="56"/>
        <v>Saturday</v>
      </c>
      <c r="K717" s="17">
        <v>0.97097222222222224</v>
      </c>
      <c r="L717" s="16">
        <v>45164</v>
      </c>
      <c r="M717" s="18">
        <f>HOUR(orders!$K717)</f>
        <v>23</v>
      </c>
      <c r="N717" s="16" t="str">
        <f t="shared" si="57"/>
        <v>August</v>
      </c>
      <c r="O717" s="17">
        <v>6.94212962962963E-2</v>
      </c>
      <c r="P717" s="17" t="str">
        <f>_xlfn.XLOOKUP(B717,[2]customers!$A$2:$A$101,[2]customers!$C$2:$C$101)</f>
        <v>Gaya</v>
      </c>
      <c r="Q717" s="14" t="s">
        <v>171</v>
      </c>
      <c r="R717" s="14" t="s">
        <v>12</v>
      </c>
      <c r="S717" s="15">
        <f t="shared" si="58"/>
        <v>5769</v>
      </c>
      <c r="T717" s="19">
        <f t="shared" si="59"/>
        <v>7</v>
      </c>
    </row>
    <row r="718" spans="1:20" x14ac:dyDescent="0.3">
      <c r="A718" s="20">
        <v>717</v>
      </c>
      <c r="B718" s="20" t="s">
        <v>93</v>
      </c>
      <c r="C718" s="20">
        <v>67</v>
      </c>
      <c r="D718" s="20" t="s">
        <v>425</v>
      </c>
      <c r="E718" s="20" t="s">
        <v>26</v>
      </c>
      <c r="F718" s="20">
        <v>5</v>
      </c>
      <c r="G718" s="21">
        <f>_xlfn.XLOOKUP(C718,[1]products!$A$2:$A$71,[1]products!$D$2:$D$71)</f>
        <v>1374</v>
      </c>
      <c r="H718" s="22">
        <v>45102</v>
      </c>
      <c r="I718" s="22" t="str">
        <f t="shared" si="55"/>
        <v>June</v>
      </c>
      <c r="J718" s="22" t="str">
        <f t="shared" si="56"/>
        <v>Sunday</v>
      </c>
      <c r="K718" s="23">
        <v>0.26287037037037037</v>
      </c>
      <c r="L718" s="22">
        <v>45103</v>
      </c>
      <c r="M718" s="24">
        <f>HOUR(orders!$K718)</f>
        <v>6</v>
      </c>
      <c r="N718" s="22" t="str">
        <f t="shared" si="57"/>
        <v>June</v>
      </c>
      <c r="O718" s="23">
        <v>0.97277777777777785</v>
      </c>
      <c r="P718" s="23" t="str">
        <f>_xlfn.XLOOKUP(B718,[2]customers!$A$2:$A$101,[2]customers!$C$2:$C$101)</f>
        <v>Kalyan-Dombivli</v>
      </c>
      <c r="Q718" s="20" t="s">
        <v>402</v>
      </c>
      <c r="R718" s="20" t="s">
        <v>12</v>
      </c>
      <c r="S718" s="21">
        <f t="shared" si="58"/>
        <v>6870</v>
      </c>
      <c r="T718" s="25">
        <f t="shared" si="59"/>
        <v>1</v>
      </c>
    </row>
    <row r="719" spans="1:20" x14ac:dyDescent="0.3">
      <c r="A719" s="14">
        <v>718</v>
      </c>
      <c r="B719" s="14" t="s">
        <v>134</v>
      </c>
      <c r="C719" s="14">
        <v>49</v>
      </c>
      <c r="D719" s="14" t="s">
        <v>463</v>
      </c>
      <c r="E719" s="14" t="s">
        <v>429</v>
      </c>
      <c r="F719" s="14">
        <v>1</v>
      </c>
      <c r="G719" s="15">
        <f>_xlfn.XLOOKUP(C719,[1]products!$A$2:$A$71,[1]products!$D$2:$D$71)</f>
        <v>903</v>
      </c>
      <c r="H719" s="16">
        <v>44966</v>
      </c>
      <c r="I719" s="16" t="str">
        <f t="shared" si="55"/>
        <v>February</v>
      </c>
      <c r="J719" s="16" t="str">
        <f t="shared" si="56"/>
        <v>Thursday</v>
      </c>
      <c r="K719" s="17">
        <v>0.2177662037037037</v>
      </c>
      <c r="L719" s="16">
        <v>44970</v>
      </c>
      <c r="M719" s="18">
        <f>HOUR(orders!$K719)</f>
        <v>5</v>
      </c>
      <c r="N719" s="16" t="str">
        <f t="shared" si="57"/>
        <v>February</v>
      </c>
      <c r="O719" s="17">
        <v>0.26533564814814814</v>
      </c>
      <c r="P719" s="17" t="str">
        <f>_xlfn.XLOOKUP(B719,[2]customers!$A$2:$A$101,[2]customers!$C$2:$C$101)</f>
        <v>Noida</v>
      </c>
      <c r="Q719" s="14" t="s">
        <v>403</v>
      </c>
      <c r="R719" s="14" t="s">
        <v>23</v>
      </c>
      <c r="S719" s="15">
        <f t="shared" si="58"/>
        <v>903</v>
      </c>
      <c r="T719" s="19">
        <f t="shared" si="59"/>
        <v>4</v>
      </c>
    </row>
    <row r="720" spans="1:20" x14ac:dyDescent="0.3">
      <c r="A720" s="20">
        <v>719</v>
      </c>
      <c r="B720" s="20" t="s">
        <v>212</v>
      </c>
      <c r="C720" s="20">
        <v>57</v>
      </c>
      <c r="D720" s="20" t="s">
        <v>488</v>
      </c>
      <c r="E720" s="20" t="s">
        <v>429</v>
      </c>
      <c r="F720" s="20">
        <v>3</v>
      </c>
      <c r="G720" s="21">
        <f>_xlfn.XLOOKUP(C720,[1]products!$A$2:$A$71,[1]products!$D$2:$D$71)</f>
        <v>1582</v>
      </c>
      <c r="H720" s="22">
        <v>45119</v>
      </c>
      <c r="I720" s="22" t="str">
        <f t="shared" si="55"/>
        <v>July</v>
      </c>
      <c r="J720" s="22" t="str">
        <f t="shared" si="56"/>
        <v>Wednesday</v>
      </c>
      <c r="K720" s="23">
        <v>0.3228125</v>
      </c>
      <c r="L720" s="22">
        <v>45126</v>
      </c>
      <c r="M720" s="24">
        <f>HOUR(orders!$K720)</f>
        <v>7</v>
      </c>
      <c r="N720" s="22" t="str">
        <f t="shared" si="57"/>
        <v>July</v>
      </c>
      <c r="O720" s="23">
        <v>7.7361111111111117E-2</v>
      </c>
      <c r="P720" s="23" t="str">
        <f>_xlfn.XLOOKUP(B720,[2]customers!$A$2:$A$101,[2]customers!$C$2:$C$101)</f>
        <v>Dibrugarh</v>
      </c>
      <c r="Q720" s="20" t="s">
        <v>248</v>
      </c>
      <c r="R720" s="20" t="s">
        <v>20</v>
      </c>
      <c r="S720" s="21">
        <f t="shared" si="58"/>
        <v>4746</v>
      </c>
      <c r="T720" s="25">
        <f t="shared" si="59"/>
        <v>7</v>
      </c>
    </row>
    <row r="721" spans="1:20" x14ac:dyDescent="0.3">
      <c r="A721" s="14">
        <v>720</v>
      </c>
      <c r="B721" s="14" t="s">
        <v>105</v>
      </c>
      <c r="C721" s="14">
        <v>22</v>
      </c>
      <c r="D721" s="14" t="s">
        <v>465</v>
      </c>
      <c r="E721" s="14" t="s">
        <v>445</v>
      </c>
      <c r="F721" s="14">
        <v>5</v>
      </c>
      <c r="G721" s="15">
        <f>_xlfn.XLOOKUP(C721,[1]products!$A$2:$A$71,[1]products!$D$2:$D$71)</f>
        <v>1639</v>
      </c>
      <c r="H721" s="16">
        <v>45275</v>
      </c>
      <c r="I721" s="16" t="str">
        <f t="shared" si="55"/>
        <v>December</v>
      </c>
      <c r="J721" s="16" t="str">
        <f t="shared" si="56"/>
        <v>Friday</v>
      </c>
      <c r="K721" s="17">
        <v>0.61297453703703708</v>
      </c>
      <c r="L721" s="16">
        <v>45280</v>
      </c>
      <c r="M721" s="18">
        <f>HOUR(orders!$K721)</f>
        <v>14</v>
      </c>
      <c r="N721" s="16" t="str">
        <f t="shared" si="57"/>
        <v>December</v>
      </c>
      <c r="O721" s="17">
        <v>0.25495370370370368</v>
      </c>
      <c r="P721" s="17" t="str">
        <f>_xlfn.XLOOKUP(B721,[2]customers!$A$2:$A$101,[2]customers!$C$2:$C$101)</f>
        <v>Maheshtala</v>
      </c>
      <c r="Q721" s="14" t="s">
        <v>82</v>
      </c>
      <c r="R721" s="14" t="s">
        <v>60</v>
      </c>
      <c r="S721" s="15">
        <f t="shared" si="58"/>
        <v>8195</v>
      </c>
      <c r="T721" s="19">
        <f t="shared" si="59"/>
        <v>5</v>
      </c>
    </row>
    <row r="722" spans="1:20" x14ac:dyDescent="0.3">
      <c r="A722" s="20">
        <v>721</v>
      </c>
      <c r="B722" s="20" t="s">
        <v>200</v>
      </c>
      <c r="C722" s="20">
        <v>3</v>
      </c>
      <c r="D722" s="20" t="s">
        <v>483</v>
      </c>
      <c r="E722" s="20" t="s">
        <v>429</v>
      </c>
      <c r="F722" s="20">
        <v>5</v>
      </c>
      <c r="G722" s="21">
        <f>_xlfn.XLOOKUP(C722,[1]products!$A$2:$A$71,[1]products!$D$2:$D$71)</f>
        <v>1534</v>
      </c>
      <c r="H722" s="22">
        <v>44964</v>
      </c>
      <c r="I722" s="22" t="str">
        <f t="shared" si="55"/>
        <v>February</v>
      </c>
      <c r="J722" s="22" t="str">
        <f t="shared" si="56"/>
        <v>Tuesday</v>
      </c>
      <c r="K722" s="23">
        <v>0.1446875</v>
      </c>
      <c r="L722" s="22">
        <v>44974</v>
      </c>
      <c r="M722" s="24">
        <f>HOUR(orders!$K722)</f>
        <v>3</v>
      </c>
      <c r="N722" s="22" t="str">
        <f t="shared" si="57"/>
        <v>February</v>
      </c>
      <c r="O722" s="23">
        <v>0.76946759259259256</v>
      </c>
      <c r="P722" s="23" t="str">
        <f>_xlfn.XLOOKUP(B722,[2]customers!$A$2:$A$101,[2]customers!$C$2:$C$101)</f>
        <v>Khandwa</v>
      </c>
      <c r="Q722" s="20" t="s">
        <v>404</v>
      </c>
      <c r="R722" s="20" t="s">
        <v>23</v>
      </c>
      <c r="S722" s="21">
        <f t="shared" si="58"/>
        <v>7670</v>
      </c>
      <c r="T722" s="25">
        <f t="shared" si="59"/>
        <v>10</v>
      </c>
    </row>
    <row r="723" spans="1:20" x14ac:dyDescent="0.3">
      <c r="A723" s="14">
        <v>722</v>
      </c>
      <c r="B723" s="14" t="s">
        <v>31</v>
      </c>
      <c r="C723" s="14">
        <v>13</v>
      </c>
      <c r="D723" s="14" t="s">
        <v>495</v>
      </c>
      <c r="E723" s="14" t="s">
        <v>458</v>
      </c>
      <c r="F723" s="14">
        <v>5</v>
      </c>
      <c r="G723" s="15">
        <f>_xlfn.XLOOKUP(C723,[1]products!$A$2:$A$71,[1]products!$D$2:$D$71)</f>
        <v>1141</v>
      </c>
      <c r="H723" s="16">
        <v>44987</v>
      </c>
      <c r="I723" s="16" t="str">
        <f t="shared" si="55"/>
        <v>March</v>
      </c>
      <c r="J723" s="16" t="str">
        <f t="shared" si="56"/>
        <v>Thursday</v>
      </c>
      <c r="K723" s="17">
        <v>0.72945601851851849</v>
      </c>
      <c r="L723" s="16">
        <v>44993</v>
      </c>
      <c r="M723" s="18">
        <f>HOUR(orders!$K723)</f>
        <v>17</v>
      </c>
      <c r="N723" s="16" t="str">
        <f t="shared" si="57"/>
        <v>March</v>
      </c>
      <c r="O723" s="17">
        <v>0.33817129629629633</v>
      </c>
      <c r="P723" s="17" t="str">
        <f>_xlfn.XLOOKUP(B723,[2]customers!$A$2:$A$101,[2]customers!$C$2:$C$101)</f>
        <v>Agra</v>
      </c>
      <c r="Q723" s="14" t="s">
        <v>405</v>
      </c>
      <c r="R723" s="14" t="s">
        <v>36</v>
      </c>
      <c r="S723" s="15">
        <f t="shared" si="58"/>
        <v>5705</v>
      </c>
      <c r="T723" s="19">
        <f t="shared" si="59"/>
        <v>6</v>
      </c>
    </row>
    <row r="724" spans="1:20" x14ac:dyDescent="0.3">
      <c r="A724" s="20">
        <v>723</v>
      </c>
      <c r="B724" s="20" t="s">
        <v>105</v>
      </c>
      <c r="C724" s="20">
        <v>14</v>
      </c>
      <c r="D724" s="20" t="s">
        <v>428</v>
      </c>
      <c r="E724" s="20" t="s">
        <v>429</v>
      </c>
      <c r="F724" s="20">
        <v>3</v>
      </c>
      <c r="G724" s="21">
        <f>_xlfn.XLOOKUP(C724,[1]products!$A$2:$A$71,[1]products!$D$2:$D$71)</f>
        <v>1915</v>
      </c>
      <c r="H724" s="22">
        <v>44961</v>
      </c>
      <c r="I724" s="22" t="str">
        <f t="shared" si="55"/>
        <v>February</v>
      </c>
      <c r="J724" s="22" t="str">
        <f t="shared" si="56"/>
        <v>Saturday</v>
      </c>
      <c r="K724" s="23">
        <v>0.75065972222222221</v>
      </c>
      <c r="L724" s="22">
        <v>44962</v>
      </c>
      <c r="M724" s="24">
        <f>HOUR(orders!$K724)</f>
        <v>18</v>
      </c>
      <c r="N724" s="22" t="str">
        <f t="shared" si="57"/>
        <v>February</v>
      </c>
      <c r="O724" s="23">
        <v>3.9907407407407412E-2</v>
      </c>
      <c r="P724" s="23" t="str">
        <f>_xlfn.XLOOKUP(B724,[2]customers!$A$2:$A$101,[2]customers!$C$2:$C$101)</f>
        <v>Maheshtala</v>
      </c>
      <c r="Q724" s="20" t="s">
        <v>381</v>
      </c>
      <c r="R724" s="20" t="s">
        <v>20</v>
      </c>
      <c r="S724" s="21">
        <f t="shared" si="58"/>
        <v>5745</v>
      </c>
      <c r="T724" s="25">
        <f t="shared" si="59"/>
        <v>1</v>
      </c>
    </row>
    <row r="725" spans="1:20" x14ac:dyDescent="0.3">
      <c r="A725" s="14">
        <v>724</v>
      </c>
      <c r="B725" s="14" t="s">
        <v>93</v>
      </c>
      <c r="C725" s="14">
        <v>51</v>
      </c>
      <c r="D725" s="14" t="s">
        <v>469</v>
      </c>
      <c r="E725" s="14" t="s">
        <v>445</v>
      </c>
      <c r="F725" s="14">
        <v>1</v>
      </c>
      <c r="G725" s="15">
        <f>_xlfn.XLOOKUP(C725,[1]products!$A$2:$A$71,[1]products!$D$2:$D$71)</f>
        <v>1084</v>
      </c>
      <c r="H725" s="16">
        <v>45024</v>
      </c>
      <c r="I725" s="16" t="str">
        <f t="shared" si="55"/>
        <v>April</v>
      </c>
      <c r="J725" s="16" t="str">
        <f t="shared" si="56"/>
        <v>Saturday</v>
      </c>
      <c r="K725" s="17">
        <v>0.95993055555555562</v>
      </c>
      <c r="L725" s="16">
        <v>45032</v>
      </c>
      <c r="M725" s="18">
        <f>HOUR(orders!$K725)</f>
        <v>23</v>
      </c>
      <c r="N725" s="16" t="str">
        <f t="shared" si="57"/>
        <v>April</v>
      </c>
      <c r="O725" s="17">
        <v>0.33355324074074072</v>
      </c>
      <c r="P725" s="17" t="str">
        <f>_xlfn.XLOOKUP(B725,[2]customers!$A$2:$A$101,[2]customers!$C$2:$C$101)</f>
        <v>Kalyan-Dombivli</v>
      </c>
      <c r="Q725" s="14" t="s">
        <v>137</v>
      </c>
      <c r="R725" s="14" t="s">
        <v>60</v>
      </c>
      <c r="S725" s="15">
        <f t="shared" si="58"/>
        <v>1084</v>
      </c>
      <c r="T725" s="19">
        <f t="shared" si="59"/>
        <v>8</v>
      </c>
    </row>
    <row r="726" spans="1:20" x14ac:dyDescent="0.3">
      <c r="A726" s="20">
        <v>725</v>
      </c>
      <c r="B726" s="20" t="s">
        <v>180</v>
      </c>
      <c r="C726" s="20">
        <v>35</v>
      </c>
      <c r="D726" s="20" t="s">
        <v>462</v>
      </c>
      <c r="E726" s="20" t="s">
        <v>429</v>
      </c>
      <c r="F726" s="20">
        <v>3</v>
      </c>
      <c r="G726" s="21">
        <f>_xlfn.XLOOKUP(C726,[1]products!$A$2:$A$71,[1]products!$D$2:$D$71)</f>
        <v>1865</v>
      </c>
      <c r="H726" s="22">
        <v>44991</v>
      </c>
      <c r="I726" s="22" t="str">
        <f t="shared" si="55"/>
        <v>March</v>
      </c>
      <c r="J726" s="22" t="str">
        <f t="shared" si="56"/>
        <v>Monday</v>
      </c>
      <c r="K726" s="23">
        <v>0.97451388888888879</v>
      </c>
      <c r="L726" s="22">
        <v>44996</v>
      </c>
      <c r="M726" s="24">
        <f>HOUR(orders!$K726)</f>
        <v>23</v>
      </c>
      <c r="N726" s="22" t="str">
        <f t="shared" si="57"/>
        <v>March</v>
      </c>
      <c r="O726" s="23">
        <v>0.83596064814814808</v>
      </c>
      <c r="P726" s="23" t="str">
        <f>_xlfn.XLOOKUP(B726,[2]customers!$A$2:$A$101,[2]customers!$C$2:$C$101)</f>
        <v>Vellore</v>
      </c>
      <c r="Q726" s="20" t="s">
        <v>173</v>
      </c>
      <c r="R726" s="20" t="s">
        <v>36</v>
      </c>
      <c r="S726" s="21">
        <f t="shared" si="58"/>
        <v>5595</v>
      </c>
      <c r="T726" s="25">
        <f t="shared" si="59"/>
        <v>5</v>
      </c>
    </row>
    <row r="727" spans="1:20" x14ac:dyDescent="0.3">
      <c r="A727" s="14">
        <v>726</v>
      </c>
      <c r="B727" s="14" t="s">
        <v>31</v>
      </c>
      <c r="C727" s="14">
        <v>34</v>
      </c>
      <c r="D727" s="14" t="s">
        <v>472</v>
      </c>
      <c r="E727" s="14" t="s">
        <v>445</v>
      </c>
      <c r="F727" s="14">
        <v>2</v>
      </c>
      <c r="G727" s="15">
        <f>_xlfn.XLOOKUP(C727,[1]products!$A$2:$A$71,[1]products!$D$2:$D$71)</f>
        <v>1335</v>
      </c>
      <c r="H727" s="16">
        <v>45159</v>
      </c>
      <c r="I727" s="16" t="str">
        <f t="shared" si="55"/>
        <v>August</v>
      </c>
      <c r="J727" s="16" t="str">
        <f t="shared" si="56"/>
        <v>Monday</v>
      </c>
      <c r="K727" s="17">
        <v>0.79896990740740748</v>
      </c>
      <c r="L727" s="16">
        <v>45169</v>
      </c>
      <c r="M727" s="18">
        <f>HOUR(orders!$K727)</f>
        <v>19</v>
      </c>
      <c r="N727" s="16" t="str">
        <f t="shared" si="57"/>
        <v>August</v>
      </c>
      <c r="O727" s="17">
        <v>0.78782407407407407</v>
      </c>
      <c r="P727" s="17" t="str">
        <f>_xlfn.XLOOKUP(B727,[2]customers!$A$2:$A$101,[2]customers!$C$2:$C$101)</f>
        <v>Agra</v>
      </c>
      <c r="Q727" s="14" t="s">
        <v>337</v>
      </c>
      <c r="R727" s="14" t="s">
        <v>26</v>
      </c>
      <c r="S727" s="15">
        <f t="shared" si="58"/>
        <v>2670</v>
      </c>
      <c r="T727" s="19">
        <f t="shared" si="59"/>
        <v>10</v>
      </c>
    </row>
    <row r="728" spans="1:20" x14ac:dyDescent="0.3">
      <c r="A728" s="20">
        <v>727</v>
      </c>
      <c r="B728" s="20" t="s">
        <v>153</v>
      </c>
      <c r="C728" s="20">
        <v>12</v>
      </c>
      <c r="D728" s="20" t="s">
        <v>446</v>
      </c>
      <c r="E728" s="20" t="s">
        <v>447</v>
      </c>
      <c r="F728" s="20">
        <v>5</v>
      </c>
      <c r="G728" s="21">
        <f>_xlfn.XLOOKUP(C728,[1]products!$A$2:$A$71,[1]products!$D$2:$D$71)</f>
        <v>672</v>
      </c>
      <c r="H728" s="22">
        <v>45248</v>
      </c>
      <c r="I728" s="22" t="str">
        <f t="shared" si="55"/>
        <v>November</v>
      </c>
      <c r="J728" s="22" t="str">
        <f t="shared" si="56"/>
        <v>Saturday</v>
      </c>
      <c r="K728" s="23">
        <v>6.7395833333333335E-2</v>
      </c>
      <c r="L728" s="22">
        <v>45252</v>
      </c>
      <c r="M728" s="24">
        <f>HOUR(orders!$K728)</f>
        <v>1</v>
      </c>
      <c r="N728" s="22" t="str">
        <f t="shared" si="57"/>
        <v>November</v>
      </c>
      <c r="O728" s="23">
        <v>0.68231481481481471</v>
      </c>
      <c r="P728" s="23" t="str">
        <f>_xlfn.XLOOKUP(B728,[2]customers!$A$2:$A$101,[2]customers!$C$2:$C$101)</f>
        <v>Kavali</v>
      </c>
      <c r="Q728" s="20" t="s">
        <v>133</v>
      </c>
      <c r="R728" s="20" t="s">
        <v>12</v>
      </c>
      <c r="S728" s="21">
        <f t="shared" si="58"/>
        <v>3360</v>
      </c>
      <c r="T728" s="25">
        <f t="shared" si="59"/>
        <v>4</v>
      </c>
    </row>
    <row r="729" spans="1:20" x14ac:dyDescent="0.3">
      <c r="A729" s="14">
        <v>728</v>
      </c>
      <c r="B729" s="14" t="s">
        <v>322</v>
      </c>
      <c r="C729" s="14">
        <v>52</v>
      </c>
      <c r="D729" s="14" t="s">
        <v>443</v>
      </c>
      <c r="E729" s="14" t="s">
        <v>26</v>
      </c>
      <c r="F729" s="14">
        <v>2</v>
      </c>
      <c r="G729" s="15">
        <f>_xlfn.XLOOKUP(C729,[1]products!$A$2:$A$71,[1]products!$D$2:$D$71)</f>
        <v>236</v>
      </c>
      <c r="H729" s="16">
        <v>44965</v>
      </c>
      <c r="I729" s="16" t="str">
        <f t="shared" si="55"/>
        <v>February</v>
      </c>
      <c r="J729" s="16" t="str">
        <f t="shared" si="56"/>
        <v>Wednesday</v>
      </c>
      <c r="K729" s="17">
        <v>0.57344907407407408</v>
      </c>
      <c r="L729" s="16">
        <v>44968</v>
      </c>
      <c r="M729" s="18">
        <f>HOUR(orders!$K729)</f>
        <v>13</v>
      </c>
      <c r="N729" s="16" t="str">
        <f t="shared" si="57"/>
        <v>February</v>
      </c>
      <c r="O729" s="17">
        <v>0.67171296296296301</v>
      </c>
      <c r="P729" s="17" t="str">
        <f>_xlfn.XLOOKUP(B729,[2]customers!$A$2:$A$101,[2]customers!$C$2:$C$101)</f>
        <v>Parbhani</v>
      </c>
      <c r="Q729" s="14" t="s">
        <v>324</v>
      </c>
      <c r="R729" s="14" t="s">
        <v>23</v>
      </c>
      <c r="S729" s="15">
        <f t="shared" si="58"/>
        <v>472</v>
      </c>
      <c r="T729" s="19">
        <f t="shared" si="59"/>
        <v>3</v>
      </c>
    </row>
    <row r="730" spans="1:20" x14ac:dyDescent="0.3">
      <c r="A730" s="20">
        <v>729</v>
      </c>
      <c r="B730" s="20" t="s">
        <v>188</v>
      </c>
      <c r="C730" s="20">
        <v>17</v>
      </c>
      <c r="D730" s="20" t="s">
        <v>455</v>
      </c>
      <c r="E730" s="20" t="s">
        <v>445</v>
      </c>
      <c r="F730" s="20">
        <v>1</v>
      </c>
      <c r="G730" s="21">
        <f>_xlfn.XLOOKUP(C730,[1]products!$A$2:$A$71,[1]products!$D$2:$D$71)</f>
        <v>1899</v>
      </c>
      <c r="H730" s="22">
        <v>44980</v>
      </c>
      <c r="I730" s="22" t="str">
        <f t="shared" si="55"/>
        <v>February</v>
      </c>
      <c r="J730" s="22" t="str">
        <f t="shared" si="56"/>
        <v>Thursday</v>
      </c>
      <c r="K730" s="23">
        <v>0.76380787037037035</v>
      </c>
      <c r="L730" s="22">
        <v>44982</v>
      </c>
      <c r="M730" s="24">
        <f>HOUR(orders!$K730)</f>
        <v>18</v>
      </c>
      <c r="N730" s="22" t="str">
        <f t="shared" si="57"/>
        <v>February</v>
      </c>
      <c r="O730" s="23">
        <v>0.49396990740740737</v>
      </c>
      <c r="P730" s="23" t="str">
        <f>_xlfn.XLOOKUP(B730,[2]customers!$A$2:$A$101,[2]customers!$C$2:$C$101)</f>
        <v>Sambhal</v>
      </c>
      <c r="Q730" s="20" t="s">
        <v>68</v>
      </c>
      <c r="R730" s="20" t="s">
        <v>12</v>
      </c>
      <c r="S730" s="21">
        <f t="shared" si="58"/>
        <v>1899</v>
      </c>
      <c r="T730" s="25">
        <f t="shared" si="59"/>
        <v>2</v>
      </c>
    </row>
    <row r="731" spans="1:20" x14ac:dyDescent="0.3">
      <c r="A731" s="14">
        <v>730</v>
      </c>
      <c r="B731" s="14" t="s">
        <v>29</v>
      </c>
      <c r="C731" s="14">
        <v>59</v>
      </c>
      <c r="D731" s="14" t="s">
        <v>489</v>
      </c>
      <c r="E731" s="14" t="s">
        <v>431</v>
      </c>
      <c r="F731" s="14">
        <v>1</v>
      </c>
      <c r="G731" s="15">
        <f>_xlfn.XLOOKUP(C731,[1]products!$A$2:$A$71,[1]products!$D$2:$D$71)</f>
        <v>811</v>
      </c>
      <c r="H731" s="16">
        <v>45160</v>
      </c>
      <c r="I731" s="16" t="str">
        <f t="shared" si="55"/>
        <v>August</v>
      </c>
      <c r="J731" s="16" t="str">
        <f t="shared" si="56"/>
        <v>Tuesday</v>
      </c>
      <c r="K731" s="17">
        <v>8.6145833333333324E-2</v>
      </c>
      <c r="L731" s="16">
        <v>45163</v>
      </c>
      <c r="M731" s="18">
        <f>HOUR(orders!$K731)</f>
        <v>2</v>
      </c>
      <c r="N731" s="16" t="str">
        <f t="shared" si="57"/>
        <v>August</v>
      </c>
      <c r="O731" s="17">
        <v>0.94409722222222225</v>
      </c>
      <c r="P731" s="17" t="str">
        <f>_xlfn.XLOOKUP(B731,[2]customers!$A$2:$A$101,[2]customers!$C$2:$C$101)</f>
        <v>Sri Ganganagar</v>
      </c>
      <c r="Q731" s="14" t="s">
        <v>379</v>
      </c>
      <c r="R731" s="14" t="s">
        <v>26</v>
      </c>
      <c r="S731" s="15">
        <f t="shared" si="58"/>
        <v>811</v>
      </c>
      <c r="T731" s="19">
        <f t="shared" si="59"/>
        <v>3</v>
      </c>
    </row>
    <row r="732" spans="1:20" x14ac:dyDescent="0.3">
      <c r="A732" s="20">
        <v>731</v>
      </c>
      <c r="B732" s="20" t="s">
        <v>184</v>
      </c>
      <c r="C732" s="20">
        <v>59</v>
      </c>
      <c r="D732" s="20" t="s">
        <v>489</v>
      </c>
      <c r="E732" s="20" t="s">
        <v>431</v>
      </c>
      <c r="F732" s="20">
        <v>5</v>
      </c>
      <c r="G732" s="21">
        <f>_xlfn.XLOOKUP(C732,[1]products!$A$2:$A$71,[1]products!$D$2:$D$71)</f>
        <v>811</v>
      </c>
      <c r="H732" s="22">
        <v>45163</v>
      </c>
      <c r="I732" s="22" t="str">
        <f t="shared" si="55"/>
        <v>August</v>
      </c>
      <c r="J732" s="22" t="str">
        <f t="shared" si="56"/>
        <v>Friday</v>
      </c>
      <c r="K732" s="23">
        <v>0.50092592592592589</v>
      </c>
      <c r="L732" s="22">
        <v>45171</v>
      </c>
      <c r="M732" s="24">
        <f>HOUR(orders!$K732)</f>
        <v>12</v>
      </c>
      <c r="N732" s="22" t="str">
        <f t="shared" si="57"/>
        <v>September</v>
      </c>
      <c r="O732" s="23">
        <v>0.46008101851851851</v>
      </c>
      <c r="P732" s="23" t="str">
        <f>_xlfn.XLOOKUP(B732,[2]customers!$A$2:$A$101,[2]customers!$C$2:$C$101)</f>
        <v>Raurkela Industrial Township</v>
      </c>
      <c r="Q732" s="20" t="s">
        <v>69</v>
      </c>
      <c r="R732" s="20" t="s">
        <v>26</v>
      </c>
      <c r="S732" s="21">
        <f t="shared" si="58"/>
        <v>4055</v>
      </c>
      <c r="T732" s="25">
        <f t="shared" si="59"/>
        <v>8</v>
      </c>
    </row>
    <row r="733" spans="1:20" x14ac:dyDescent="0.3">
      <c r="A733" s="14">
        <v>732</v>
      </c>
      <c r="B733" s="14" t="s">
        <v>198</v>
      </c>
      <c r="C733" s="14">
        <v>1</v>
      </c>
      <c r="D733" s="14" t="s">
        <v>479</v>
      </c>
      <c r="E733" s="14" t="s">
        <v>445</v>
      </c>
      <c r="F733" s="14">
        <v>2</v>
      </c>
      <c r="G733" s="15">
        <f>_xlfn.XLOOKUP(C733,[1]products!$A$2:$A$71,[1]products!$D$2:$D$71)</f>
        <v>1935</v>
      </c>
      <c r="H733" s="16">
        <v>45215</v>
      </c>
      <c r="I733" s="16" t="str">
        <f t="shared" si="55"/>
        <v>October</v>
      </c>
      <c r="J733" s="16" t="str">
        <f t="shared" si="56"/>
        <v>Monday</v>
      </c>
      <c r="K733" s="17">
        <v>0.69944444444444442</v>
      </c>
      <c r="L733" s="16">
        <v>45220</v>
      </c>
      <c r="M733" s="18">
        <f>HOUR(orders!$K733)</f>
        <v>16</v>
      </c>
      <c r="N733" s="16" t="str">
        <f t="shared" si="57"/>
        <v>October</v>
      </c>
      <c r="O733" s="17">
        <v>0.7890625</v>
      </c>
      <c r="P733" s="17" t="str">
        <f>_xlfn.XLOOKUP(B733,[2]customers!$A$2:$A$101,[2]customers!$C$2:$C$101)</f>
        <v>North Dumdum</v>
      </c>
      <c r="Q733" s="14" t="s">
        <v>369</v>
      </c>
      <c r="R733" s="14" t="s">
        <v>60</v>
      </c>
      <c r="S733" s="15">
        <f t="shared" si="58"/>
        <v>3870</v>
      </c>
      <c r="T733" s="19">
        <f t="shared" si="59"/>
        <v>5</v>
      </c>
    </row>
    <row r="734" spans="1:20" x14ac:dyDescent="0.3">
      <c r="A734" s="20">
        <v>733</v>
      </c>
      <c r="B734" s="20" t="s">
        <v>150</v>
      </c>
      <c r="C734" s="20">
        <v>32</v>
      </c>
      <c r="D734" s="20" t="s">
        <v>444</v>
      </c>
      <c r="E734" s="20" t="s">
        <v>445</v>
      </c>
      <c r="F734" s="20">
        <v>3</v>
      </c>
      <c r="G734" s="21">
        <f>_xlfn.XLOOKUP(C734,[1]products!$A$2:$A$71,[1]products!$D$2:$D$71)</f>
        <v>1792</v>
      </c>
      <c r="H734" s="22">
        <v>45017</v>
      </c>
      <c r="I734" s="22" t="str">
        <f t="shared" si="55"/>
        <v>April</v>
      </c>
      <c r="J734" s="22" t="str">
        <f t="shared" si="56"/>
        <v>Saturday</v>
      </c>
      <c r="K734" s="23">
        <v>3.5844907407407409E-2</v>
      </c>
      <c r="L734" s="22">
        <v>45019</v>
      </c>
      <c r="M734" s="24">
        <f>HOUR(orders!$K734)</f>
        <v>0</v>
      </c>
      <c r="N734" s="22" t="str">
        <f t="shared" si="57"/>
        <v>April</v>
      </c>
      <c r="O734" s="23">
        <v>0.10188657407407407</v>
      </c>
      <c r="P734" s="23" t="str">
        <f>_xlfn.XLOOKUP(B734,[2]customers!$A$2:$A$101,[2]customers!$C$2:$C$101)</f>
        <v>Satara</v>
      </c>
      <c r="Q734" s="20" t="s">
        <v>57</v>
      </c>
      <c r="R734" s="20" t="s">
        <v>20</v>
      </c>
      <c r="S734" s="21">
        <f t="shared" si="58"/>
        <v>5376</v>
      </c>
      <c r="T734" s="25">
        <f t="shared" si="59"/>
        <v>2</v>
      </c>
    </row>
    <row r="735" spans="1:20" x14ac:dyDescent="0.3">
      <c r="A735" s="14">
        <v>734</v>
      </c>
      <c r="B735" s="14" t="s">
        <v>140</v>
      </c>
      <c r="C735" s="14">
        <v>49</v>
      </c>
      <c r="D735" s="14" t="s">
        <v>463</v>
      </c>
      <c r="E735" s="14" t="s">
        <v>429</v>
      </c>
      <c r="F735" s="14">
        <v>3</v>
      </c>
      <c r="G735" s="15">
        <f>_xlfn.XLOOKUP(C735,[1]products!$A$2:$A$71,[1]products!$D$2:$D$71)</f>
        <v>903</v>
      </c>
      <c r="H735" s="16">
        <v>44968</v>
      </c>
      <c r="I735" s="16" t="str">
        <f t="shared" si="55"/>
        <v>February</v>
      </c>
      <c r="J735" s="16" t="str">
        <f t="shared" si="56"/>
        <v>Saturday</v>
      </c>
      <c r="K735" s="17">
        <v>0.48931712962962964</v>
      </c>
      <c r="L735" s="16">
        <v>44971</v>
      </c>
      <c r="M735" s="18">
        <f>HOUR(orders!$K735)</f>
        <v>11</v>
      </c>
      <c r="N735" s="16" t="str">
        <f t="shared" si="57"/>
        <v>February</v>
      </c>
      <c r="O735" s="17">
        <v>0.37923611111111111</v>
      </c>
      <c r="P735" s="17" t="str">
        <f>_xlfn.XLOOKUP(B735,[2]customers!$A$2:$A$101,[2]customers!$C$2:$C$101)</f>
        <v>Chinsurah</v>
      </c>
      <c r="Q735" s="14" t="s">
        <v>30</v>
      </c>
      <c r="R735" s="14" t="s">
        <v>23</v>
      </c>
      <c r="S735" s="15">
        <f t="shared" si="58"/>
        <v>2709</v>
      </c>
      <c r="T735" s="19">
        <f t="shared" si="59"/>
        <v>3</v>
      </c>
    </row>
    <row r="736" spans="1:20" x14ac:dyDescent="0.3">
      <c r="A736" s="20">
        <v>735</v>
      </c>
      <c r="B736" s="20" t="s">
        <v>10</v>
      </c>
      <c r="C736" s="20">
        <v>56</v>
      </c>
      <c r="D736" s="20" t="s">
        <v>436</v>
      </c>
      <c r="E736" s="20" t="s">
        <v>26</v>
      </c>
      <c r="F736" s="20">
        <v>1</v>
      </c>
      <c r="G736" s="21">
        <f>_xlfn.XLOOKUP(C736,[1]products!$A$2:$A$71,[1]products!$D$2:$D$71)</f>
        <v>1272</v>
      </c>
      <c r="H736" s="22">
        <v>44959</v>
      </c>
      <c r="I736" s="22" t="str">
        <f t="shared" si="55"/>
        <v>February</v>
      </c>
      <c r="J736" s="22" t="str">
        <f t="shared" si="56"/>
        <v>Thursday</v>
      </c>
      <c r="K736" s="23">
        <v>0.30724537037037036</v>
      </c>
      <c r="L736" s="22">
        <v>44961</v>
      </c>
      <c r="M736" s="24">
        <f>HOUR(orders!$K736)</f>
        <v>7</v>
      </c>
      <c r="N736" s="22" t="str">
        <f t="shared" si="57"/>
        <v>February</v>
      </c>
      <c r="O736" s="23">
        <v>0.24858796296296296</v>
      </c>
      <c r="P736" s="23" t="str">
        <f>_xlfn.XLOOKUP(B736,[2]customers!$A$2:$A$101,[2]customers!$C$2:$C$101)</f>
        <v>Davanagere</v>
      </c>
      <c r="Q736" s="20" t="s">
        <v>70</v>
      </c>
      <c r="R736" s="20" t="s">
        <v>12</v>
      </c>
      <c r="S736" s="21">
        <f t="shared" si="58"/>
        <v>1272</v>
      </c>
      <c r="T736" s="25">
        <f t="shared" si="59"/>
        <v>2</v>
      </c>
    </row>
    <row r="737" spans="1:20" x14ac:dyDescent="0.3">
      <c r="A737" s="14">
        <v>736</v>
      </c>
      <c r="B737" s="14" t="s">
        <v>140</v>
      </c>
      <c r="C737" s="14">
        <v>70</v>
      </c>
      <c r="D737" s="14" t="s">
        <v>466</v>
      </c>
      <c r="E737" s="14" t="s">
        <v>427</v>
      </c>
      <c r="F737" s="14">
        <v>5</v>
      </c>
      <c r="G737" s="15">
        <f>_xlfn.XLOOKUP(C737,[1]products!$A$2:$A$71,[1]products!$D$2:$D$71)</f>
        <v>866</v>
      </c>
      <c r="H737" s="16">
        <v>45048</v>
      </c>
      <c r="I737" s="16" t="str">
        <f t="shared" si="55"/>
        <v>May</v>
      </c>
      <c r="J737" s="16" t="str">
        <f t="shared" si="56"/>
        <v>Tuesday</v>
      </c>
      <c r="K737" s="17">
        <v>0.15768518518518518</v>
      </c>
      <c r="L737" s="16">
        <v>45057</v>
      </c>
      <c r="M737" s="18">
        <f>HOUR(orders!$K737)</f>
        <v>3</v>
      </c>
      <c r="N737" s="16" t="str">
        <f t="shared" si="57"/>
        <v>May</v>
      </c>
      <c r="O737" s="17">
        <v>0.1935648148148148</v>
      </c>
      <c r="P737" s="17" t="str">
        <f>_xlfn.XLOOKUP(B737,[2]customers!$A$2:$A$101,[2]customers!$C$2:$C$101)</f>
        <v>Chinsurah</v>
      </c>
      <c r="Q737" s="14" t="s">
        <v>336</v>
      </c>
      <c r="R737" s="14" t="s">
        <v>20</v>
      </c>
      <c r="S737" s="15">
        <f t="shared" si="58"/>
        <v>4330</v>
      </c>
      <c r="T737" s="19">
        <f t="shared" si="59"/>
        <v>9</v>
      </c>
    </row>
    <row r="738" spans="1:20" x14ac:dyDescent="0.3">
      <c r="A738" s="20">
        <v>737</v>
      </c>
      <c r="B738" s="20" t="s">
        <v>239</v>
      </c>
      <c r="C738" s="20">
        <v>46</v>
      </c>
      <c r="D738" s="20" t="s">
        <v>493</v>
      </c>
      <c r="E738" s="20" t="s">
        <v>431</v>
      </c>
      <c r="F738" s="20">
        <v>5</v>
      </c>
      <c r="G738" s="21">
        <f>_xlfn.XLOOKUP(C738,[1]products!$A$2:$A$71,[1]products!$D$2:$D$71)</f>
        <v>758</v>
      </c>
      <c r="H738" s="22">
        <v>45183</v>
      </c>
      <c r="I738" s="22" t="str">
        <f t="shared" si="55"/>
        <v>September</v>
      </c>
      <c r="J738" s="22" t="str">
        <f t="shared" si="56"/>
        <v>Thursday</v>
      </c>
      <c r="K738" s="23">
        <v>0.31655092592592593</v>
      </c>
      <c r="L738" s="22">
        <v>45186</v>
      </c>
      <c r="M738" s="24">
        <f>HOUR(orders!$K738)</f>
        <v>7</v>
      </c>
      <c r="N738" s="22" t="str">
        <f t="shared" si="57"/>
        <v>September</v>
      </c>
      <c r="O738" s="23">
        <v>0.56741898148148151</v>
      </c>
      <c r="P738" s="23" t="str">
        <f>_xlfn.XLOOKUP(B738,[2]customers!$A$2:$A$101,[2]customers!$C$2:$C$101)</f>
        <v>Kalyan-Dombivli</v>
      </c>
      <c r="Q738" s="20" t="s">
        <v>189</v>
      </c>
      <c r="R738" s="20" t="s">
        <v>12</v>
      </c>
      <c r="S738" s="21">
        <f t="shared" si="58"/>
        <v>3790</v>
      </c>
      <c r="T738" s="25">
        <f t="shared" si="59"/>
        <v>3</v>
      </c>
    </row>
    <row r="739" spans="1:20" x14ac:dyDescent="0.3">
      <c r="A739" s="14">
        <v>738</v>
      </c>
      <c r="B739" s="14" t="s">
        <v>264</v>
      </c>
      <c r="C739" s="14">
        <v>16</v>
      </c>
      <c r="D739" s="14" t="s">
        <v>437</v>
      </c>
      <c r="E739" s="14" t="s">
        <v>427</v>
      </c>
      <c r="F739" s="14">
        <v>5</v>
      </c>
      <c r="G739" s="15">
        <f>_xlfn.XLOOKUP(C739,[1]products!$A$2:$A$71,[1]products!$D$2:$D$71)</f>
        <v>1721</v>
      </c>
      <c r="H739" s="16">
        <v>44988</v>
      </c>
      <c r="I739" s="16" t="str">
        <f t="shared" si="55"/>
        <v>March</v>
      </c>
      <c r="J739" s="16" t="str">
        <f t="shared" si="56"/>
        <v>Friday</v>
      </c>
      <c r="K739" s="17">
        <v>0.68307870370370372</v>
      </c>
      <c r="L739" s="16">
        <v>44994</v>
      </c>
      <c r="M739" s="18">
        <f>HOUR(orders!$K739)</f>
        <v>16</v>
      </c>
      <c r="N739" s="16" t="str">
        <f t="shared" si="57"/>
        <v>March</v>
      </c>
      <c r="O739" s="17">
        <v>6.7037037037037034E-2</v>
      </c>
      <c r="P739" s="17" t="str">
        <f>_xlfn.XLOOKUP(B739,[2]customers!$A$2:$A$101,[2]customers!$C$2:$C$101)</f>
        <v>Cuttack</v>
      </c>
      <c r="Q739" s="14" t="s">
        <v>325</v>
      </c>
      <c r="R739" s="14" t="s">
        <v>36</v>
      </c>
      <c r="S739" s="15">
        <f t="shared" si="58"/>
        <v>8605</v>
      </c>
      <c r="T739" s="19">
        <f t="shared" si="59"/>
        <v>6</v>
      </c>
    </row>
    <row r="740" spans="1:20" x14ac:dyDescent="0.3">
      <c r="A740" s="20">
        <v>739</v>
      </c>
      <c r="B740" s="20" t="s">
        <v>216</v>
      </c>
      <c r="C740" s="20">
        <v>24</v>
      </c>
      <c r="D740" s="20" t="s">
        <v>485</v>
      </c>
      <c r="E740" s="20" t="s">
        <v>458</v>
      </c>
      <c r="F740" s="20">
        <v>5</v>
      </c>
      <c r="G740" s="21">
        <f>_xlfn.XLOOKUP(C740,[1]products!$A$2:$A$71,[1]products!$D$2:$D$71)</f>
        <v>535</v>
      </c>
      <c r="H740" s="22">
        <v>44956</v>
      </c>
      <c r="I740" s="22" t="str">
        <f t="shared" si="55"/>
        <v>January</v>
      </c>
      <c r="J740" s="22" t="str">
        <f t="shared" si="56"/>
        <v>Monday</v>
      </c>
      <c r="K740" s="23">
        <v>0.40543981481481484</v>
      </c>
      <c r="L740" s="22">
        <v>44960</v>
      </c>
      <c r="M740" s="24">
        <f>HOUR(orders!$K740)</f>
        <v>9</v>
      </c>
      <c r="N740" s="22" t="str">
        <f t="shared" si="57"/>
        <v>February</v>
      </c>
      <c r="O740" s="23">
        <v>0.43996527777777777</v>
      </c>
      <c r="P740" s="23" t="str">
        <f>_xlfn.XLOOKUP(B740,[2]customers!$A$2:$A$101,[2]customers!$C$2:$C$101)</f>
        <v>Deoghar</v>
      </c>
      <c r="Q740" s="20" t="s">
        <v>124</v>
      </c>
      <c r="R740" s="20" t="s">
        <v>20</v>
      </c>
      <c r="S740" s="21">
        <f t="shared" si="58"/>
        <v>2675</v>
      </c>
      <c r="T740" s="25">
        <f t="shared" si="59"/>
        <v>4</v>
      </c>
    </row>
    <row r="741" spans="1:20" x14ac:dyDescent="0.3">
      <c r="A741" s="14">
        <v>740</v>
      </c>
      <c r="B741" s="14" t="s">
        <v>251</v>
      </c>
      <c r="C741" s="14">
        <v>56</v>
      </c>
      <c r="D741" s="14" t="s">
        <v>436</v>
      </c>
      <c r="E741" s="14" t="s">
        <v>26</v>
      </c>
      <c r="F741" s="14">
        <v>4</v>
      </c>
      <c r="G741" s="15">
        <f>_xlfn.XLOOKUP(C741,[1]products!$A$2:$A$71,[1]products!$D$2:$D$71)</f>
        <v>1272</v>
      </c>
      <c r="H741" s="16">
        <v>45237</v>
      </c>
      <c r="I741" s="16" t="str">
        <f t="shared" si="55"/>
        <v>November</v>
      </c>
      <c r="J741" s="16" t="str">
        <f t="shared" si="56"/>
        <v>Tuesday</v>
      </c>
      <c r="K741" s="17">
        <v>0.67497685185185186</v>
      </c>
      <c r="L741" s="16">
        <v>45242</v>
      </c>
      <c r="M741" s="18">
        <f>HOUR(orders!$K741)</f>
        <v>16</v>
      </c>
      <c r="N741" s="16" t="str">
        <f t="shared" si="57"/>
        <v>November</v>
      </c>
      <c r="O741" s="17">
        <v>0.42211805555555554</v>
      </c>
      <c r="P741" s="17" t="str">
        <f>_xlfn.XLOOKUP(B741,[2]customers!$A$2:$A$101,[2]customers!$C$2:$C$101)</f>
        <v>Miryalaguda</v>
      </c>
      <c r="Q741" s="14" t="s">
        <v>392</v>
      </c>
      <c r="R741" s="14" t="s">
        <v>12</v>
      </c>
      <c r="S741" s="15">
        <f t="shared" si="58"/>
        <v>5088</v>
      </c>
      <c r="T741" s="19">
        <f t="shared" si="59"/>
        <v>5</v>
      </c>
    </row>
    <row r="742" spans="1:20" x14ac:dyDescent="0.3">
      <c r="A742" s="20">
        <v>741</v>
      </c>
      <c r="B742" s="20" t="s">
        <v>47</v>
      </c>
      <c r="C742" s="20">
        <v>53</v>
      </c>
      <c r="D742" s="20" t="s">
        <v>496</v>
      </c>
      <c r="E742" s="20" t="s">
        <v>427</v>
      </c>
      <c r="F742" s="20">
        <v>5</v>
      </c>
      <c r="G742" s="21">
        <f>_xlfn.XLOOKUP(C742,[1]products!$A$2:$A$71,[1]products!$D$2:$D$71)</f>
        <v>1672</v>
      </c>
      <c r="H742" s="22">
        <v>45161</v>
      </c>
      <c r="I742" s="22" t="str">
        <f t="shared" si="55"/>
        <v>August</v>
      </c>
      <c r="J742" s="22" t="str">
        <f t="shared" si="56"/>
        <v>Wednesday</v>
      </c>
      <c r="K742" s="23">
        <v>0.53274305555555557</v>
      </c>
      <c r="L742" s="22">
        <v>45170</v>
      </c>
      <c r="M742" s="24">
        <f>HOUR(orders!$K742)</f>
        <v>12</v>
      </c>
      <c r="N742" s="22" t="str">
        <f t="shared" si="57"/>
        <v>September</v>
      </c>
      <c r="O742" s="23">
        <v>0.90091435185185187</v>
      </c>
      <c r="P742" s="23" t="str">
        <f>_xlfn.XLOOKUP(B742,[2]customers!$A$2:$A$101,[2]customers!$C$2:$C$101)</f>
        <v>Hyderabad</v>
      </c>
      <c r="Q742" s="20" t="s">
        <v>285</v>
      </c>
      <c r="R742" s="20" t="s">
        <v>26</v>
      </c>
      <c r="S742" s="21">
        <f t="shared" si="58"/>
        <v>8360</v>
      </c>
      <c r="T742" s="25">
        <f t="shared" si="59"/>
        <v>9</v>
      </c>
    </row>
    <row r="743" spans="1:20" x14ac:dyDescent="0.3">
      <c r="A743" s="14">
        <v>742</v>
      </c>
      <c r="B743" s="14" t="s">
        <v>253</v>
      </c>
      <c r="C743" s="14">
        <v>53</v>
      </c>
      <c r="D743" s="14" t="s">
        <v>496</v>
      </c>
      <c r="E743" s="14" t="s">
        <v>427</v>
      </c>
      <c r="F743" s="14">
        <v>5</v>
      </c>
      <c r="G743" s="15">
        <f>_xlfn.XLOOKUP(C743,[1]products!$A$2:$A$71,[1]products!$D$2:$D$71)</f>
        <v>1672</v>
      </c>
      <c r="H743" s="16">
        <v>45162</v>
      </c>
      <c r="I743" s="16" t="str">
        <f t="shared" si="55"/>
        <v>August</v>
      </c>
      <c r="J743" s="16" t="str">
        <f t="shared" si="56"/>
        <v>Thursday</v>
      </c>
      <c r="K743" s="17">
        <v>0.82646990740740733</v>
      </c>
      <c r="L743" s="16">
        <v>45164</v>
      </c>
      <c r="M743" s="18">
        <f>HOUR(orders!$K743)</f>
        <v>19</v>
      </c>
      <c r="N743" s="16" t="str">
        <f t="shared" si="57"/>
        <v>August</v>
      </c>
      <c r="O743" s="17">
        <v>0.6653472222222222</v>
      </c>
      <c r="P743" s="17" t="str">
        <f>_xlfn.XLOOKUP(B743,[2]customers!$A$2:$A$101,[2]customers!$C$2:$C$101)</f>
        <v>Nellore</v>
      </c>
      <c r="Q743" s="14" t="s">
        <v>324</v>
      </c>
      <c r="R743" s="14" t="s">
        <v>26</v>
      </c>
      <c r="S743" s="15">
        <f t="shared" si="58"/>
        <v>8360</v>
      </c>
      <c r="T743" s="19">
        <f t="shared" si="59"/>
        <v>2</v>
      </c>
    </row>
    <row r="744" spans="1:20" x14ac:dyDescent="0.3">
      <c r="A744" s="20">
        <v>743</v>
      </c>
      <c r="B744" s="20" t="s">
        <v>105</v>
      </c>
      <c r="C744" s="20">
        <v>4</v>
      </c>
      <c r="D744" s="20" t="s">
        <v>475</v>
      </c>
      <c r="E744" s="20" t="s">
        <v>427</v>
      </c>
      <c r="F744" s="20">
        <v>2</v>
      </c>
      <c r="G744" s="21">
        <f>_xlfn.XLOOKUP(C744,[1]products!$A$2:$A$71,[1]products!$D$2:$D$71)</f>
        <v>1199</v>
      </c>
      <c r="H744" s="22">
        <v>45239</v>
      </c>
      <c r="I744" s="22" t="str">
        <f t="shared" si="55"/>
        <v>November</v>
      </c>
      <c r="J744" s="22" t="str">
        <f t="shared" si="56"/>
        <v>Thursday</v>
      </c>
      <c r="K744" s="23">
        <v>0.56119212962962961</v>
      </c>
      <c r="L744" s="22">
        <v>45243</v>
      </c>
      <c r="M744" s="24">
        <f>HOUR(orders!$K744)</f>
        <v>13</v>
      </c>
      <c r="N744" s="22" t="str">
        <f t="shared" si="57"/>
        <v>November</v>
      </c>
      <c r="O744" s="23">
        <v>5.3055555555555557E-2</v>
      </c>
      <c r="P744" s="23" t="str">
        <f>_xlfn.XLOOKUP(B744,[2]customers!$A$2:$A$101,[2]customers!$C$2:$C$101)</f>
        <v>Maheshtala</v>
      </c>
      <c r="Q744" s="20" t="s">
        <v>197</v>
      </c>
      <c r="R744" s="20" t="s">
        <v>15</v>
      </c>
      <c r="S744" s="21">
        <f t="shared" si="58"/>
        <v>2398</v>
      </c>
      <c r="T744" s="25">
        <f t="shared" si="59"/>
        <v>4</v>
      </c>
    </row>
    <row r="745" spans="1:20" x14ac:dyDescent="0.3">
      <c r="A745" s="14">
        <v>744</v>
      </c>
      <c r="B745" s="14" t="s">
        <v>103</v>
      </c>
      <c r="C745" s="14">
        <v>45</v>
      </c>
      <c r="D745" s="14" t="s">
        <v>433</v>
      </c>
      <c r="E745" s="14" t="s">
        <v>26</v>
      </c>
      <c r="F745" s="14">
        <v>4</v>
      </c>
      <c r="G745" s="15">
        <f>_xlfn.XLOOKUP(C745,[1]products!$A$2:$A$71,[1]products!$D$2:$D$71)</f>
        <v>722</v>
      </c>
      <c r="H745" s="16">
        <v>45212</v>
      </c>
      <c r="I745" s="16" t="str">
        <f t="shared" si="55"/>
        <v>October</v>
      </c>
      <c r="J745" s="16" t="str">
        <f t="shared" si="56"/>
        <v>Friday</v>
      </c>
      <c r="K745" s="17">
        <v>0.7453819444444445</v>
      </c>
      <c r="L745" s="16">
        <v>45213</v>
      </c>
      <c r="M745" s="18">
        <f>HOUR(orders!$K745)</f>
        <v>17</v>
      </c>
      <c r="N745" s="16" t="str">
        <f t="shared" si="57"/>
        <v>October</v>
      </c>
      <c r="O745" s="17">
        <v>0.33478009259259256</v>
      </c>
      <c r="P745" s="17" t="str">
        <f>_xlfn.XLOOKUP(B745,[2]customers!$A$2:$A$101,[2]customers!$C$2:$C$101)</f>
        <v>Bidhannagar</v>
      </c>
      <c r="Q745" s="14" t="s">
        <v>276</v>
      </c>
      <c r="R745" s="14" t="s">
        <v>20</v>
      </c>
      <c r="S745" s="15">
        <f t="shared" si="58"/>
        <v>2888</v>
      </c>
      <c r="T745" s="19">
        <f t="shared" si="59"/>
        <v>1</v>
      </c>
    </row>
    <row r="746" spans="1:20" x14ac:dyDescent="0.3">
      <c r="A746" s="20">
        <v>745</v>
      </c>
      <c r="B746" s="20" t="s">
        <v>288</v>
      </c>
      <c r="C746" s="20">
        <v>44</v>
      </c>
      <c r="D746" s="20" t="s">
        <v>470</v>
      </c>
      <c r="E746" s="20" t="s">
        <v>447</v>
      </c>
      <c r="F746" s="20">
        <v>1</v>
      </c>
      <c r="G746" s="21">
        <f>_xlfn.XLOOKUP(C746,[1]products!$A$2:$A$71,[1]products!$D$2:$D$71)</f>
        <v>794</v>
      </c>
      <c r="H746" s="22">
        <v>45237</v>
      </c>
      <c r="I746" s="22" t="str">
        <f t="shared" si="55"/>
        <v>November</v>
      </c>
      <c r="J746" s="22" t="str">
        <f t="shared" si="56"/>
        <v>Tuesday</v>
      </c>
      <c r="K746" s="23">
        <v>0.38363425925925926</v>
      </c>
      <c r="L746" s="22">
        <v>45239</v>
      </c>
      <c r="M746" s="24">
        <f>HOUR(orders!$K746)</f>
        <v>9</v>
      </c>
      <c r="N746" s="22" t="str">
        <f t="shared" si="57"/>
        <v>November</v>
      </c>
      <c r="O746" s="23">
        <v>2.0879629629629626E-2</v>
      </c>
      <c r="P746" s="23" t="str">
        <f>_xlfn.XLOOKUP(B746,[2]customers!$A$2:$A$101,[2]customers!$C$2:$C$101)</f>
        <v>Dhanbad</v>
      </c>
      <c r="Q746" s="20" t="s">
        <v>190</v>
      </c>
      <c r="R746" s="20" t="s">
        <v>15</v>
      </c>
      <c r="S746" s="21">
        <f t="shared" si="58"/>
        <v>794</v>
      </c>
      <c r="T746" s="25">
        <f t="shared" si="59"/>
        <v>2</v>
      </c>
    </row>
    <row r="747" spans="1:20" x14ac:dyDescent="0.3">
      <c r="A747" s="14">
        <v>746</v>
      </c>
      <c r="B747" s="14" t="s">
        <v>192</v>
      </c>
      <c r="C747" s="14">
        <v>35</v>
      </c>
      <c r="D747" s="14" t="s">
        <v>462</v>
      </c>
      <c r="E747" s="14" t="s">
        <v>429</v>
      </c>
      <c r="F747" s="14">
        <v>2</v>
      </c>
      <c r="G747" s="15">
        <f>_xlfn.XLOOKUP(C747,[1]products!$A$2:$A$71,[1]products!$D$2:$D$71)</f>
        <v>1865</v>
      </c>
      <c r="H747" s="16">
        <v>44987</v>
      </c>
      <c r="I747" s="16" t="str">
        <f t="shared" si="55"/>
        <v>March</v>
      </c>
      <c r="J747" s="16" t="str">
        <f t="shared" si="56"/>
        <v>Thursday</v>
      </c>
      <c r="K747" s="17">
        <v>0.22464120370370369</v>
      </c>
      <c r="L747" s="16">
        <v>44991</v>
      </c>
      <c r="M747" s="18">
        <f>HOUR(orders!$K747)</f>
        <v>5</v>
      </c>
      <c r="N747" s="16" t="str">
        <f t="shared" si="57"/>
        <v>March</v>
      </c>
      <c r="O747" s="17">
        <v>0.2671412037037037</v>
      </c>
      <c r="P747" s="17" t="str">
        <f>_xlfn.XLOOKUP(B747,[2]customers!$A$2:$A$101,[2]customers!$C$2:$C$101)</f>
        <v>Kota</v>
      </c>
      <c r="Q747" s="14" t="s">
        <v>330</v>
      </c>
      <c r="R747" s="14" t="s">
        <v>36</v>
      </c>
      <c r="S747" s="15">
        <f t="shared" si="58"/>
        <v>3730</v>
      </c>
      <c r="T747" s="19">
        <f t="shared" si="59"/>
        <v>4</v>
      </c>
    </row>
    <row r="748" spans="1:20" x14ac:dyDescent="0.3">
      <c r="A748" s="20">
        <v>747</v>
      </c>
      <c r="B748" s="20" t="s">
        <v>27</v>
      </c>
      <c r="C748" s="20">
        <v>6</v>
      </c>
      <c r="D748" s="20" t="s">
        <v>450</v>
      </c>
      <c r="E748" s="20" t="s">
        <v>431</v>
      </c>
      <c r="F748" s="20">
        <v>4</v>
      </c>
      <c r="G748" s="21">
        <f>_xlfn.XLOOKUP(C748,[1]products!$A$2:$A$71,[1]products!$D$2:$D$71)</f>
        <v>1112</v>
      </c>
      <c r="H748" s="22">
        <v>44991</v>
      </c>
      <c r="I748" s="22" t="str">
        <f t="shared" si="55"/>
        <v>March</v>
      </c>
      <c r="J748" s="22" t="str">
        <f t="shared" si="56"/>
        <v>Monday</v>
      </c>
      <c r="K748" s="23">
        <v>0.15513888888888888</v>
      </c>
      <c r="L748" s="22">
        <v>44996</v>
      </c>
      <c r="M748" s="24">
        <f>HOUR(orders!$K748)</f>
        <v>3</v>
      </c>
      <c r="N748" s="22" t="str">
        <f t="shared" si="57"/>
        <v>March</v>
      </c>
      <c r="O748" s="23">
        <v>0.69346064814814812</v>
      </c>
      <c r="P748" s="23" t="str">
        <f>_xlfn.XLOOKUP(B748,[2]customers!$A$2:$A$101,[2]customers!$C$2:$C$101)</f>
        <v>Madurai</v>
      </c>
      <c r="Q748" s="20" t="s">
        <v>193</v>
      </c>
      <c r="R748" s="20" t="s">
        <v>36</v>
      </c>
      <c r="S748" s="21">
        <f t="shared" si="58"/>
        <v>4448</v>
      </c>
      <c r="T748" s="25">
        <f t="shared" si="59"/>
        <v>5</v>
      </c>
    </row>
    <row r="749" spans="1:20" x14ac:dyDescent="0.3">
      <c r="A749" s="14">
        <v>748</v>
      </c>
      <c r="B749" s="14" t="s">
        <v>275</v>
      </c>
      <c r="C749" s="14">
        <v>26</v>
      </c>
      <c r="D749" s="14" t="s">
        <v>473</v>
      </c>
      <c r="E749" s="14" t="s">
        <v>429</v>
      </c>
      <c r="F749" s="14">
        <v>1</v>
      </c>
      <c r="G749" s="15">
        <f>_xlfn.XLOOKUP(C749,[1]products!$A$2:$A$71,[1]products!$D$2:$D$71)</f>
        <v>289</v>
      </c>
      <c r="H749" s="16">
        <v>44991</v>
      </c>
      <c r="I749" s="16" t="str">
        <f t="shared" si="55"/>
        <v>March</v>
      </c>
      <c r="J749" s="16" t="str">
        <f t="shared" si="56"/>
        <v>Monday</v>
      </c>
      <c r="K749" s="17">
        <v>0.46796296296296297</v>
      </c>
      <c r="L749" s="16">
        <v>44992</v>
      </c>
      <c r="M749" s="18">
        <f>HOUR(orders!$K749)</f>
        <v>11</v>
      </c>
      <c r="N749" s="16" t="str">
        <f t="shared" si="57"/>
        <v>March</v>
      </c>
      <c r="O749" s="17">
        <v>0.85185185185185175</v>
      </c>
      <c r="P749" s="17" t="str">
        <f>_xlfn.XLOOKUP(B749,[2]customers!$A$2:$A$101,[2]customers!$C$2:$C$101)</f>
        <v>Bhilai</v>
      </c>
      <c r="Q749" s="14" t="s">
        <v>55</v>
      </c>
      <c r="R749" s="14" t="s">
        <v>36</v>
      </c>
      <c r="S749" s="15">
        <f t="shared" si="58"/>
        <v>289</v>
      </c>
      <c r="T749" s="19">
        <f t="shared" si="59"/>
        <v>1</v>
      </c>
    </row>
    <row r="750" spans="1:20" x14ac:dyDescent="0.3">
      <c r="A750" s="20">
        <v>749</v>
      </c>
      <c r="B750" s="20" t="s">
        <v>32</v>
      </c>
      <c r="C750" s="20">
        <v>12</v>
      </c>
      <c r="D750" s="20" t="s">
        <v>446</v>
      </c>
      <c r="E750" s="20" t="s">
        <v>447</v>
      </c>
      <c r="F750" s="20">
        <v>2</v>
      </c>
      <c r="G750" s="21">
        <f>_xlfn.XLOOKUP(C750,[1]products!$A$2:$A$71,[1]products!$D$2:$D$71)</f>
        <v>672</v>
      </c>
      <c r="H750" s="22">
        <v>45096</v>
      </c>
      <c r="I750" s="22" t="str">
        <f t="shared" si="55"/>
        <v>June</v>
      </c>
      <c r="J750" s="22" t="str">
        <f t="shared" si="56"/>
        <v>Monday</v>
      </c>
      <c r="K750" s="23">
        <v>0.5508912037037037</v>
      </c>
      <c r="L750" s="22">
        <v>45101</v>
      </c>
      <c r="M750" s="24">
        <f>HOUR(orders!$K750)</f>
        <v>13</v>
      </c>
      <c r="N750" s="22" t="str">
        <f t="shared" si="57"/>
        <v>June</v>
      </c>
      <c r="O750" s="23">
        <v>0.15084490740740741</v>
      </c>
      <c r="P750" s="23" t="str">
        <f>_xlfn.XLOOKUP(B750,[2]customers!$A$2:$A$101,[2]customers!$C$2:$C$101)</f>
        <v>Dhanbad</v>
      </c>
      <c r="Q750" s="20" t="s">
        <v>28</v>
      </c>
      <c r="R750" s="20" t="s">
        <v>12</v>
      </c>
      <c r="S750" s="21">
        <f t="shared" si="58"/>
        <v>1344</v>
      </c>
      <c r="T750" s="25">
        <f t="shared" si="59"/>
        <v>5</v>
      </c>
    </row>
    <row r="751" spans="1:20" x14ac:dyDescent="0.3">
      <c r="A751" s="14">
        <v>750</v>
      </c>
      <c r="B751" s="14" t="s">
        <v>200</v>
      </c>
      <c r="C751" s="14">
        <v>19</v>
      </c>
      <c r="D751" s="14" t="s">
        <v>457</v>
      </c>
      <c r="E751" s="14" t="s">
        <v>458</v>
      </c>
      <c r="F751" s="14">
        <v>3</v>
      </c>
      <c r="G751" s="15">
        <f>_xlfn.XLOOKUP(C751,[1]products!$A$2:$A$71,[1]products!$D$2:$D$71)</f>
        <v>1234</v>
      </c>
      <c r="H751" s="16">
        <v>44965</v>
      </c>
      <c r="I751" s="16" t="str">
        <f t="shared" si="55"/>
        <v>February</v>
      </c>
      <c r="J751" s="16" t="str">
        <f t="shared" si="56"/>
        <v>Wednesday</v>
      </c>
      <c r="K751" s="17">
        <v>0.39075231481481482</v>
      </c>
      <c r="L751" s="16">
        <v>44971</v>
      </c>
      <c r="M751" s="18">
        <f>HOUR(orders!$K751)</f>
        <v>9</v>
      </c>
      <c r="N751" s="16" t="str">
        <f t="shared" si="57"/>
        <v>February</v>
      </c>
      <c r="O751" s="17">
        <v>0.93381944444444442</v>
      </c>
      <c r="P751" s="17" t="str">
        <f>_xlfn.XLOOKUP(B751,[2]customers!$A$2:$A$101,[2]customers!$C$2:$C$101)</f>
        <v>Khandwa</v>
      </c>
      <c r="Q751" s="14" t="s">
        <v>342</v>
      </c>
      <c r="R751" s="14" t="s">
        <v>23</v>
      </c>
      <c r="S751" s="15">
        <f t="shared" si="58"/>
        <v>3702</v>
      </c>
      <c r="T751" s="19">
        <f t="shared" si="59"/>
        <v>6</v>
      </c>
    </row>
    <row r="752" spans="1:20" x14ac:dyDescent="0.3">
      <c r="A752" s="20">
        <v>751</v>
      </c>
      <c r="B752" s="20" t="s">
        <v>215</v>
      </c>
      <c r="C752" s="20">
        <v>23</v>
      </c>
      <c r="D752" s="20" t="s">
        <v>441</v>
      </c>
      <c r="E752" s="20" t="s">
        <v>427</v>
      </c>
      <c r="F752" s="20">
        <v>5</v>
      </c>
      <c r="G752" s="21">
        <f>_xlfn.XLOOKUP(C752,[1]products!$A$2:$A$71,[1]products!$D$2:$D$71)</f>
        <v>1098</v>
      </c>
      <c r="H752" s="22">
        <v>45026</v>
      </c>
      <c r="I752" s="22" t="str">
        <f t="shared" si="55"/>
        <v>April</v>
      </c>
      <c r="J752" s="22" t="str">
        <f t="shared" si="56"/>
        <v>Monday</v>
      </c>
      <c r="K752" s="23">
        <v>0.30039351851851853</v>
      </c>
      <c r="L752" s="22">
        <v>45031</v>
      </c>
      <c r="M752" s="24">
        <f>HOUR(orders!$K752)</f>
        <v>7</v>
      </c>
      <c r="N752" s="22" t="str">
        <f t="shared" si="57"/>
        <v>April</v>
      </c>
      <c r="O752" s="23">
        <v>7.8171296296296308E-2</v>
      </c>
      <c r="P752" s="23" t="str">
        <f>_xlfn.XLOOKUP(B752,[2]customers!$A$2:$A$101,[2]customers!$C$2:$C$101)</f>
        <v>Tiruchirappalli</v>
      </c>
      <c r="Q752" s="20" t="s">
        <v>39</v>
      </c>
      <c r="R752" s="20" t="s">
        <v>12</v>
      </c>
      <c r="S752" s="21">
        <f t="shared" si="58"/>
        <v>5490</v>
      </c>
      <c r="T752" s="25">
        <f t="shared" si="59"/>
        <v>5</v>
      </c>
    </row>
    <row r="753" spans="1:20" x14ac:dyDescent="0.3">
      <c r="A753" s="14">
        <v>752</v>
      </c>
      <c r="B753" s="14" t="s">
        <v>331</v>
      </c>
      <c r="C753" s="14">
        <v>3</v>
      </c>
      <c r="D753" s="14" t="s">
        <v>483</v>
      </c>
      <c r="E753" s="14" t="s">
        <v>429</v>
      </c>
      <c r="F753" s="14">
        <v>5</v>
      </c>
      <c r="G753" s="15">
        <f>_xlfn.XLOOKUP(C753,[1]products!$A$2:$A$71,[1]products!$D$2:$D$71)</f>
        <v>1534</v>
      </c>
      <c r="H753" s="16">
        <v>44967</v>
      </c>
      <c r="I753" s="16" t="str">
        <f t="shared" si="55"/>
        <v>February</v>
      </c>
      <c r="J753" s="16" t="str">
        <f t="shared" si="56"/>
        <v>Friday</v>
      </c>
      <c r="K753" s="17">
        <v>0.48473379629629632</v>
      </c>
      <c r="L753" s="16">
        <v>44969</v>
      </c>
      <c r="M753" s="18">
        <f>HOUR(orders!$K753)</f>
        <v>11</v>
      </c>
      <c r="N753" s="16" t="str">
        <f t="shared" si="57"/>
        <v>February</v>
      </c>
      <c r="O753" s="17">
        <v>0.44164351851851852</v>
      </c>
      <c r="P753" s="17" t="str">
        <f>_xlfn.XLOOKUP(B753,[2]customers!$A$2:$A$101,[2]customers!$C$2:$C$101)</f>
        <v>Bhatpara</v>
      </c>
      <c r="Q753" s="14" t="s">
        <v>129</v>
      </c>
      <c r="R753" s="14" t="s">
        <v>23</v>
      </c>
      <c r="S753" s="15">
        <f t="shared" si="58"/>
        <v>7670</v>
      </c>
      <c r="T753" s="19">
        <f t="shared" si="59"/>
        <v>2</v>
      </c>
    </row>
    <row r="754" spans="1:20" x14ac:dyDescent="0.3">
      <c r="A754" s="20">
        <v>753</v>
      </c>
      <c r="B754" s="20" t="s">
        <v>105</v>
      </c>
      <c r="C754" s="20">
        <v>60</v>
      </c>
      <c r="D754" s="20" t="s">
        <v>440</v>
      </c>
      <c r="E754" s="20" t="s">
        <v>427</v>
      </c>
      <c r="F754" s="20">
        <v>1</v>
      </c>
      <c r="G754" s="21">
        <f>_xlfn.XLOOKUP(C754,[1]products!$A$2:$A$71,[1]products!$D$2:$D$71)</f>
        <v>827</v>
      </c>
      <c r="H754" s="22">
        <v>45236</v>
      </c>
      <c r="I754" s="22" t="str">
        <f t="shared" si="55"/>
        <v>November</v>
      </c>
      <c r="J754" s="22" t="str">
        <f t="shared" si="56"/>
        <v>Monday</v>
      </c>
      <c r="K754" s="23">
        <v>0.28863425925925928</v>
      </c>
      <c r="L754" s="22">
        <v>45242</v>
      </c>
      <c r="M754" s="24">
        <f>HOUR(orders!$K754)</f>
        <v>6</v>
      </c>
      <c r="N754" s="22" t="str">
        <f t="shared" si="57"/>
        <v>November</v>
      </c>
      <c r="O754" s="23">
        <v>0.20070601851851852</v>
      </c>
      <c r="P754" s="23" t="str">
        <f>_xlfn.XLOOKUP(B754,[2]customers!$A$2:$A$101,[2]customers!$C$2:$C$101)</f>
        <v>Maheshtala</v>
      </c>
      <c r="Q754" s="20" t="s">
        <v>311</v>
      </c>
      <c r="R754" s="20" t="s">
        <v>15</v>
      </c>
      <c r="S754" s="21">
        <f t="shared" si="58"/>
        <v>827</v>
      </c>
      <c r="T754" s="25">
        <f t="shared" si="59"/>
        <v>6</v>
      </c>
    </row>
    <row r="755" spans="1:20" x14ac:dyDescent="0.3">
      <c r="A755" s="14">
        <v>754</v>
      </c>
      <c r="B755" s="14" t="s">
        <v>184</v>
      </c>
      <c r="C755" s="14">
        <v>51</v>
      </c>
      <c r="D755" s="14" t="s">
        <v>469</v>
      </c>
      <c r="E755" s="14" t="s">
        <v>445</v>
      </c>
      <c r="F755" s="14">
        <v>2</v>
      </c>
      <c r="G755" s="15">
        <f>_xlfn.XLOOKUP(C755,[1]products!$A$2:$A$71,[1]products!$D$2:$D$71)</f>
        <v>1084</v>
      </c>
      <c r="H755" s="16">
        <v>45231</v>
      </c>
      <c r="I755" s="16" t="str">
        <f t="shared" si="55"/>
        <v>November</v>
      </c>
      <c r="J755" s="16" t="str">
        <f t="shared" si="56"/>
        <v>Wednesday</v>
      </c>
      <c r="K755" s="17">
        <v>0.86149305555555555</v>
      </c>
      <c r="L755" s="16">
        <v>45238</v>
      </c>
      <c r="M755" s="18">
        <f>HOUR(orders!$K755)</f>
        <v>20</v>
      </c>
      <c r="N755" s="16" t="str">
        <f t="shared" si="57"/>
        <v>November</v>
      </c>
      <c r="O755" s="17">
        <v>0.92584490740740744</v>
      </c>
      <c r="P755" s="17" t="str">
        <f>_xlfn.XLOOKUP(B755,[2]customers!$A$2:$A$101,[2]customers!$C$2:$C$101)</f>
        <v>Raurkela Industrial Township</v>
      </c>
      <c r="Q755" s="14" t="s">
        <v>367</v>
      </c>
      <c r="R755" s="14" t="s">
        <v>60</v>
      </c>
      <c r="S755" s="15">
        <f t="shared" si="58"/>
        <v>2168</v>
      </c>
      <c r="T755" s="19">
        <f t="shared" si="59"/>
        <v>7</v>
      </c>
    </row>
    <row r="756" spans="1:20" x14ac:dyDescent="0.3">
      <c r="A756" s="20">
        <v>755</v>
      </c>
      <c r="B756" s="20" t="s">
        <v>10</v>
      </c>
      <c r="C756" s="20">
        <v>6</v>
      </c>
      <c r="D756" s="20" t="s">
        <v>450</v>
      </c>
      <c r="E756" s="20" t="s">
        <v>431</v>
      </c>
      <c r="F756" s="20">
        <v>5</v>
      </c>
      <c r="G756" s="21">
        <f>_xlfn.XLOOKUP(C756,[1]products!$A$2:$A$71,[1]products!$D$2:$D$71)</f>
        <v>1112</v>
      </c>
      <c r="H756" s="22">
        <v>44984</v>
      </c>
      <c r="I756" s="22" t="str">
        <f t="shared" si="55"/>
        <v>February</v>
      </c>
      <c r="J756" s="22" t="str">
        <f t="shared" si="56"/>
        <v>Monday</v>
      </c>
      <c r="K756" s="23">
        <v>0.68988425925925922</v>
      </c>
      <c r="L756" s="22">
        <v>44991</v>
      </c>
      <c r="M756" s="24">
        <f>HOUR(orders!$K756)</f>
        <v>16</v>
      </c>
      <c r="N756" s="22" t="str">
        <f t="shared" si="57"/>
        <v>March</v>
      </c>
      <c r="O756" s="23">
        <v>9.5046296296296295E-2</v>
      </c>
      <c r="P756" s="23" t="str">
        <f>_xlfn.XLOOKUP(B756,[2]customers!$A$2:$A$101,[2]customers!$C$2:$C$101)</f>
        <v>Davanagere</v>
      </c>
      <c r="Q756" s="20" t="s">
        <v>151</v>
      </c>
      <c r="R756" s="20" t="s">
        <v>36</v>
      </c>
      <c r="S756" s="21">
        <f t="shared" si="58"/>
        <v>5560</v>
      </c>
      <c r="T756" s="25">
        <f t="shared" si="59"/>
        <v>7</v>
      </c>
    </row>
    <row r="757" spans="1:20" x14ac:dyDescent="0.3">
      <c r="A757" s="14">
        <v>756</v>
      </c>
      <c r="B757" s="14" t="s">
        <v>331</v>
      </c>
      <c r="C757" s="14">
        <v>51</v>
      </c>
      <c r="D757" s="14" t="s">
        <v>469</v>
      </c>
      <c r="E757" s="14" t="s">
        <v>445</v>
      </c>
      <c r="F757" s="14">
        <v>4</v>
      </c>
      <c r="G757" s="15">
        <f>_xlfn.XLOOKUP(C757,[1]products!$A$2:$A$71,[1]products!$D$2:$D$71)</f>
        <v>1084</v>
      </c>
      <c r="H757" s="16">
        <v>45136</v>
      </c>
      <c r="I757" s="16" t="str">
        <f t="shared" si="55"/>
        <v>July</v>
      </c>
      <c r="J757" s="16" t="str">
        <f t="shared" si="56"/>
        <v>Saturday</v>
      </c>
      <c r="K757" s="17">
        <v>0.76767361111111121</v>
      </c>
      <c r="L757" s="16">
        <v>45141</v>
      </c>
      <c r="M757" s="18">
        <f>HOUR(orders!$K757)</f>
        <v>18</v>
      </c>
      <c r="N757" s="16" t="str">
        <f t="shared" si="57"/>
        <v>August</v>
      </c>
      <c r="O757" s="17">
        <v>0.41391203703703705</v>
      </c>
      <c r="P757" s="17" t="str">
        <f>_xlfn.XLOOKUP(B757,[2]customers!$A$2:$A$101,[2]customers!$C$2:$C$101)</f>
        <v>Bhatpara</v>
      </c>
      <c r="Q757" s="14" t="s">
        <v>358</v>
      </c>
      <c r="R757" s="14" t="s">
        <v>60</v>
      </c>
      <c r="S757" s="15">
        <f t="shared" si="58"/>
        <v>4336</v>
      </c>
      <c r="T757" s="19">
        <f t="shared" si="59"/>
        <v>5</v>
      </c>
    </row>
    <row r="758" spans="1:20" x14ac:dyDescent="0.3">
      <c r="A758" s="20">
        <v>757</v>
      </c>
      <c r="B758" s="20" t="s">
        <v>256</v>
      </c>
      <c r="C758" s="20">
        <v>2</v>
      </c>
      <c r="D758" s="20" t="s">
        <v>481</v>
      </c>
      <c r="E758" s="20" t="s">
        <v>447</v>
      </c>
      <c r="F758" s="20">
        <v>3</v>
      </c>
      <c r="G758" s="21">
        <f>_xlfn.XLOOKUP(C758,[1]products!$A$2:$A$71,[1]products!$D$2:$D$71)</f>
        <v>441</v>
      </c>
      <c r="H758" s="22">
        <v>44969</v>
      </c>
      <c r="I758" s="22" t="str">
        <f t="shared" si="55"/>
        <v>February</v>
      </c>
      <c r="J758" s="22" t="str">
        <f t="shared" si="56"/>
        <v>Sunday</v>
      </c>
      <c r="K758" s="23">
        <v>0.4332523148148148</v>
      </c>
      <c r="L758" s="22">
        <v>44977</v>
      </c>
      <c r="M758" s="24">
        <f>HOUR(orders!$K758)</f>
        <v>10</v>
      </c>
      <c r="N758" s="22" t="str">
        <f t="shared" si="57"/>
        <v>February</v>
      </c>
      <c r="O758" s="23">
        <v>0.19476851851851851</v>
      </c>
      <c r="P758" s="23" t="str">
        <f>_xlfn.XLOOKUP(B758,[2]customers!$A$2:$A$101,[2]customers!$C$2:$C$101)</f>
        <v>Panchkula</v>
      </c>
      <c r="Q758" s="20" t="s">
        <v>132</v>
      </c>
      <c r="R758" s="20" t="s">
        <v>23</v>
      </c>
      <c r="S758" s="21">
        <f t="shared" si="58"/>
        <v>1323</v>
      </c>
      <c r="T758" s="25">
        <f t="shared" si="59"/>
        <v>8</v>
      </c>
    </row>
    <row r="759" spans="1:20" x14ac:dyDescent="0.3">
      <c r="A759" s="14">
        <v>758</v>
      </c>
      <c r="B759" s="14" t="s">
        <v>260</v>
      </c>
      <c r="C759" s="14">
        <v>40</v>
      </c>
      <c r="D759" s="14" t="s">
        <v>477</v>
      </c>
      <c r="E759" s="14" t="s">
        <v>427</v>
      </c>
      <c r="F759" s="14">
        <v>5</v>
      </c>
      <c r="G759" s="15">
        <f>_xlfn.XLOOKUP(C759,[1]products!$A$2:$A$71,[1]products!$D$2:$D$71)</f>
        <v>1923</v>
      </c>
      <c r="H759" s="16">
        <v>45215</v>
      </c>
      <c r="I759" s="16" t="str">
        <f t="shared" si="55"/>
        <v>October</v>
      </c>
      <c r="J759" s="16" t="str">
        <f t="shared" si="56"/>
        <v>Monday</v>
      </c>
      <c r="K759" s="17">
        <v>0.38363425925925926</v>
      </c>
      <c r="L759" s="16">
        <v>45219</v>
      </c>
      <c r="M759" s="18">
        <f>HOUR(orders!$K759)</f>
        <v>9</v>
      </c>
      <c r="N759" s="16" t="str">
        <f t="shared" si="57"/>
        <v>October</v>
      </c>
      <c r="O759" s="17">
        <v>0.15761574074074072</v>
      </c>
      <c r="P759" s="17" t="str">
        <f>_xlfn.XLOOKUP(B759,[2]customers!$A$2:$A$101,[2]customers!$C$2:$C$101)</f>
        <v>Vellore</v>
      </c>
      <c r="Q759" s="14" t="s">
        <v>393</v>
      </c>
      <c r="R759" s="14" t="s">
        <v>12</v>
      </c>
      <c r="S759" s="15">
        <f t="shared" si="58"/>
        <v>9615</v>
      </c>
      <c r="T759" s="19">
        <f t="shared" si="59"/>
        <v>4</v>
      </c>
    </row>
    <row r="760" spans="1:20" x14ac:dyDescent="0.3">
      <c r="A760" s="20">
        <v>759</v>
      </c>
      <c r="B760" s="20" t="s">
        <v>215</v>
      </c>
      <c r="C760" s="20">
        <v>48</v>
      </c>
      <c r="D760" s="20" t="s">
        <v>460</v>
      </c>
      <c r="E760" s="20" t="s">
        <v>429</v>
      </c>
      <c r="F760" s="20">
        <v>5</v>
      </c>
      <c r="G760" s="21">
        <f>_xlfn.XLOOKUP(C760,[1]products!$A$2:$A$71,[1]products!$D$2:$D$71)</f>
        <v>433</v>
      </c>
      <c r="H760" s="22">
        <v>45232</v>
      </c>
      <c r="I760" s="22" t="str">
        <f t="shared" si="55"/>
        <v>November</v>
      </c>
      <c r="J760" s="22" t="str">
        <f t="shared" si="56"/>
        <v>Thursday</v>
      </c>
      <c r="K760" s="23">
        <v>0.25849537037037035</v>
      </c>
      <c r="L760" s="22">
        <v>45241</v>
      </c>
      <c r="M760" s="24">
        <f>HOUR(orders!$K760)</f>
        <v>6</v>
      </c>
      <c r="N760" s="22" t="str">
        <f t="shared" si="57"/>
        <v>November</v>
      </c>
      <c r="O760" s="23">
        <v>0.25481481481481483</v>
      </c>
      <c r="P760" s="23" t="str">
        <f>_xlfn.XLOOKUP(B760,[2]customers!$A$2:$A$101,[2]customers!$C$2:$C$101)</f>
        <v>Tiruchirappalli</v>
      </c>
      <c r="Q760" s="20" t="s">
        <v>53</v>
      </c>
      <c r="R760" s="20" t="s">
        <v>15</v>
      </c>
      <c r="S760" s="21">
        <f t="shared" si="58"/>
        <v>2165</v>
      </c>
      <c r="T760" s="25">
        <f t="shared" si="59"/>
        <v>9</v>
      </c>
    </row>
    <row r="761" spans="1:20" x14ac:dyDescent="0.3">
      <c r="A761" s="14">
        <v>760</v>
      </c>
      <c r="B761" s="14" t="s">
        <v>260</v>
      </c>
      <c r="C761" s="14">
        <v>18</v>
      </c>
      <c r="D761" s="14" t="s">
        <v>484</v>
      </c>
      <c r="E761" s="14" t="s">
        <v>447</v>
      </c>
      <c r="F761" s="14">
        <v>1</v>
      </c>
      <c r="G761" s="15">
        <f>_xlfn.XLOOKUP(C761,[1]products!$A$2:$A$71,[1]products!$D$2:$D$71)</f>
        <v>781</v>
      </c>
      <c r="H761" s="16">
        <v>45188</v>
      </c>
      <c r="I761" s="16" t="str">
        <f t="shared" si="55"/>
        <v>September</v>
      </c>
      <c r="J761" s="16" t="str">
        <f t="shared" si="56"/>
        <v>Tuesday</v>
      </c>
      <c r="K761" s="17">
        <v>0.10283564814814815</v>
      </c>
      <c r="L761" s="16">
        <v>45190</v>
      </c>
      <c r="M761" s="18">
        <f>HOUR(orders!$K761)</f>
        <v>2</v>
      </c>
      <c r="N761" s="16" t="str">
        <f t="shared" si="57"/>
        <v>September</v>
      </c>
      <c r="O761" s="17">
        <v>0.56224537037037037</v>
      </c>
      <c r="P761" s="17" t="str">
        <f>_xlfn.XLOOKUP(B761,[2]customers!$A$2:$A$101,[2]customers!$C$2:$C$101)</f>
        <v>Vellore</v>
      </c>
      <c r="Q761" s="14" t="s">
        <v>336</v>
      </c>
      <c r="R761" s="14" t="s">
        <v>20</v>
      </c>
      <c r="S761" s="15">
        <f t="shared" si="58"/>
        <v>781</v>
      </c>
      <c r="T761" s="19">
        <f t="shared" si="59"/>
        <v>2</v>
      </c>
    </row>
    <row r="762" spans="1:20" x14ac:dyDescent="0.3">
      <c r="A762" s="20">
        <v>761</v>
      </c>
      <c r="B762" s="20" t="s">
        <v>140</v>
      </c>
      <c r="C762" s="20">
        <v>24</v>
      </c>
      <c r="D762" s="20" t="s">
        <v>485</v>
      </c>
      <c r="E762" s="20" t="s">
        <v>458</v>
      </c>
      <c r="F762" s="20">
        <v>5</v>
      </c>
      <c r="G762" s="21">
        <f>_xlfn.XLOOKUP(C762,[1]products!$A$2:$A$71,[1]products!$D$2:$D$71)</f>
        <v>535</v>
      </c>
      <c r="H762" s="22">
        <v>45034</v>
      </c>
      <c r="I762" s="22" t="str">
        <f t="shared" si="55"/>
        <v>April</v>
      </c>
      <c r="J762" s="22" t="str">
        <f t="shared" si="56"/>
        <v>Tuesday</v>
      </c>
      <c r="K762" s="23">
        <v>0.14251157407407408</v>
      </c>
      <c r="L762" s="22">
        <v>45041</v>
      </c>
      <c r="M762" s="24">
        <f>HOUR(orders!$K762)</f>
        <v>3</v>
      </c>
      <c r="N762" s="22" t="str">
        <f t="shared" si="57"/>
        <v>April</v>
      </c>
      <c r="O762" s="23">
        <v>0.4956712962962963</v>
      </c>
      <c r="P762" s="23" t="str">
        <f>_xlfn.XLOOKUP(B762,[2]customers!$A$2:$A$101,[2]customers!$C$2:$C$101)</f>
        <v>Chinsurah</v>
      </c>
      <c r="Q762" s="20" t="s">
        <v>33</v>
      </c>
      <c r="R762" s="20" t="s">
        <v>20</v>
      </c>
      <c r="S762" s="21">
        <f t="shared" si="58"/>
        <v>2675</v>
      </c>
      <c r="T762" s="25">
        <f t="shared" si="59"/>
        <v>7</v>
      </c>
    </row>
    <row r="763" spans="1:20" x14ac:dyDescent="0.3">
      <c r="A763" s="14">
        <v>762</v>
      </c>
      <c r="B763" s="14" t="s">
        <v>67</v>
      </c>
      <c r="C763" s="14">
        <v>50</v>
      </c>
      <c r="D763" s="14" t="s">
        <v>487</v>
      </c>
      <c r="E763" s="14" t="s">
        <v>447</v>
      </c>
      <c r="F763" s="14">
        <v>1</v>
      </c>
      <c r="G763" s="15">
        <f>_xlfn.XLOOKUP(C763,[1]products!$A$2:$A$71,[1]products!$D$2:$D$71)</f>
        <v>422</v>
      </c>
      <c r="H763" s="16">
        <v>44983</v>
      </c>
      <c r="I763" s="16" t="str">
        <f t="shared" si="55"/>
        <v>February</v>
      </c>
      <c r="J763" s="16" t="str">
        <f t="shared" si="56"/>
        <v>Sunday</v>
      </c>
      <c r="K763" s="17">
        <v>0.42452546296296295</v>
      </c>
      <c r="L763" s="16">
        <v>44986</v>
      </c>
      <c r="M763" s="18">
        <f>HOUR(orders!$K763)</f>
        <v>10</v>
      </c>
      <c r="N763" s="16" t="str">
        <f t="shared" si="57"/>
        <v>March</v>
      </c>
      <c r="O763" s="17">
        <v>0.16412037037037039</v>
      </c>
      <c r="P763" s="17" t="str">
        <f>_xlfn.XLOOKUP(B763,[2]customers!$A$2:$A$101,[2]customers!$C$2:$C$101)</f>
        <v>Srikakulam</v>
      </c>
      <c r="Q763" s="14" t="s">
        <v>295</v>
      </c>
      <c r="R763" s="14" t="s">
        <v>36</v>
      </c>
      <c r="S763" s="15">
        <f t="shared" si="58"/>
        <v>422</v>
      </c>
      <c r="T763" s="19">
        <f t="shared" si="59"/>
        <v>3</v>
      </c>
    </row>
    <row r="764" spans="1:20" x14ac:dyDescent="0.3">
      <c r="A764" s="20">
        <v>763</v>
      </c>
      <c r="B764" s="20" t="s">
        <v>194</v>
      </c>
      <c r="C764" s="20">
        <v>29</v>
      </c>
      <c r="D764" s="20" t="s">
        <v>497</v>
      </c>
      <c r="E764" s="20" t="s">
        <v>429</v>
      </c>
      <c r="F764" s="20">
        <v>4</v>
      </c>
      <c r="G764" s="21">
        <f>_xlfn.XLOOKUP(C764,[1]products!$A$2:$A$71,[1]products!$D$2:$D$71)</f>
        <v>1252</v>
      </c>
      <c r="H764" s="22">
        <v>44987</v>
      </c>
      <c r="I764" s="22" t="str">
        <f t="shared" si="55"/>
        <v>March</v>
      </c>
      <c r="J764" s="22" t="str">
        <f t="shared" si="56"/>
        <v>Thursday</v>
      </c>
      <c r="K764" s="23">
        <v>0.64038194444444441</v>
      </c>
      <c r="L764" s="22">
        <v>44989</v>
      </c>
      <c r="M764" s="24">
        <f>HOUR(orders!$K764)</f>
        <v>15</v>
      </c>
      <c r="N764" s="22" t="str">
        <f t="shared" si="57"/>
        <v>March</v>
      </c>
      <c r="O764" s="23">
        <v>0.18758101851851852</v>
      </c>
      <c r="P764" s="23" t="str">
        <f>_xlfn.XLOOKUP(B764,[2]customers!$A$2:$A$101,[2]customers!$C$2:$C$101)</f>
        <v>Bhatpara</v>
      </c>
      <c r="Q764" s="20" t="s">
        <v>235</v>
      </c>
      <c r="R764" s="20" t="s">
        <v>36</v>
      </c>
      <c r="S764" s="21">
        <f t="shared" si="58"/>
        <v>5008</v>
      </c>
      <c r="T764" s="25">
        <f t="shared" si="59"/>
        <v>2</v>
      </c>
    </row>
    <row r="765" spans="1:20" x14ac:dyDescent="0.3">
      <c r="A765" s="14">
        <v>764</v>
      </c>
      <c r="B765" s="14" t="s">
        <v>159</v>
      </c>
      <c r="C765" s="14">
        <v>65</v>
      </c>
      <c r="D765" s="14" t="s">
        <v>466</v>
      </c>
      <c r="E765" s="14" t="s">
        <v>26</v>
      </c>
      <c r="F765" s="14">
        <v>3</v>
      </c>
      <c r="G765" s="15">
        <f>_xlfn.XLOOKUP(C765,[1]products!$A$2:$A$71,[1]products!$D$2:$D$71)</f>
        <v>1895</v>
      </c>
      <c r="H765" s="16">
        <v>45139</v>
      </c>
      <c r="I765" s="16" t="str">
        <f t="shared" si="55"/>
        <v>August</v>
      </c>
      <c r="J765" s="16" t="str">
        <f t="shared" si="56"/>
        <v>Tuesday</v>
      </c>
      <c r="K765" s="17">
        <v>0.83305555555555555</v>
      </c>
      <c r="L765" s="16">
        <v>45143</v>
      </c>
      <c r="M765" s="18">
        <f>HOUR(orders!$K765)</f>
        <v>19</v>
      </c>
      <c r="N765" s="16" t="str">
        <f t="shared" si="57"/>
        <v>August</v>
      </c>
      <c r="O765" s="17">
        <v>0.39208333333333334</v>
      </c>
      <c r="P765" s="17" t="str">
        <f>_xlfn.XLOOKUP(B765,[2]customers!$A$2:$A$101,[2]customers!$C$2:$C$101)</f>
        <v>Kamarhati</v>
      </c>
      <c r="Q765" s="14" t="s">
        <v>124</v>
      </c>
      <c r="R765" s="14" t="s">
        <v>60</v>
      </c>
      <c r="S765" s="15">
        <f t="shared" si="58"/>
        <v>5685</v>
      </c>
      <c r="T765" s="19">
        <f t="shared" si="59"/>
        <v>4</v>
      </c>
    </row>
    <row r="766" spans="1:20" x14ac:dyDescent="0.3">
      <c r="A766" s="20">
        <v>765</v>
      </c>
      <c r="B766" s="20" t="s">
        <v>75</v>
      </c>
      <c r="C766" s="20">
        <v>41</v>
      </c>
      <c r="D766" s="20" t="s">
        <v>426</v>
      </c>
      <c r="E766" s="20" t="s">
        <v>427</v>
      </c>
      <c r="F766" s="20">
        <v>2</v>
      </c>
      <c r="G766" s="21">
        <f>_xlfn.XLOOKUP(C766,[1]products!$A$2:$A$71,[1]products!$D$2:$D$71)</f>
        <v>1977</v>
      </c>
      <c r="H766" s="22">
        <v>45233</v>
      </c>
      <c r="I766" s="22" t="str">
        <f t="shared" si="55"/>
        <v>November</v>
      </c>
      <c r="J766" s="22" t="str">
        <f t="shared" si="56"/>
        <v>Friday</v>
      </c>
      <c r="K766" s="23">
        <v>0.10949074074074074</v>
      </c>
      <c r="L766" s="22">
        <v>45236</v>
      </c>
      <c r="M766" s="24">
        <f>HOUR(orders!$K766)</f>
        <v>2</v>
      </c>
      <c r="N766" s="22" t="str">
        <f t="shared" si="57"/>
        <v>November</v>
      </c>
      <c r="O766" s="23">
        <v>0.16142361111111111</v>
      </c>
      <c r="P766" s="23" t="str">
        <f>_xlfn.XLOOKUP(B766,[2]customers!$A$2:$A$101,[2]customers!$C$2:$C$101)</f>
        <v>Imphal</v>
      </c>
      <c r="Q766" s="20" t="s">
        <v>33</v>
      </c>
      <c r="R766" s="20" t="s">
        <v>15</v>
      </c>
      <c r="S766" s="21">
        <f t="shared" si="58"/>
        <v>3954</v>
      </c>
      <c r="T766" s="25">
        <f t="shared" si="59"/>
        <v>3</v>
      </c>
    </row>
    <row r="767" spans="1:20" x14ac:dyDescent="0.3">
      <c r="A767" s="14">
        <v>766</v>
      </c>
      <c r="B767" s="14" t="s">
        <v>112</v>
      </c>
      <c r="C767" s="14">
        <v>1</v>
      </c>
      <c r="D767" s="14" t="s">
        <v>479</v>
      </c>
      <c r="E767" s="14" t="s">
        <v>445</v>
      </c>
      <c r="F767" s="14">
        <v>4</v>
      </c>
      <c r="G767" s="15">
        <f>_xlfn.XLOOKUP(C767,[1]products!$A$2:$A$71,[1]products!$D$2:$D$71)</f>
        <v>1935</v>
      </c>
      <c r="H767" s="16">
        <v>45109</v>
      </c>
      <c r="I767" s="16" t="str">
        <f t="shared" si="55"/>
        <v>July</v>
      </c>
      <c r="J767" s="16" t="str">
        <f t="shared" si="56"/>
        <v>Sunday</v>
      </c>
      <c r="K767" s="17">
        <v>0.68672453703703706</v>
      </c>
      <c r="L767" s="16">
        <v>45114</v>
      </c>
      <c r="M767" s="18">
        <f>HOUR(orders!$K767)</f>
        <v>16</v>
      </c>
      <c r="N767" s="16" t="str">
        <f t="shared" si="57"/>
        <v>July</v>
      </c>
      <c r="O767" s="17">
        <v>1.3703703703703704E-2</v>
      </c>
      <c r="P767" s="17" t="str">
        <f>_xlfn.XLOOKUP(B767,[2]customers!$A$2:$A$101,[2]customers!$C$2:$C$101)</f>
        <v>Panchkula</v>
      </c>
      <c r="Q767" s="14" t="s">
        <v>104</v>
      </c>
      <c r="R767" s="14" t="s">
        <v>60</v>
      </c>
      <c r="S767" s="15">
        <f t="shared" si="58"/>
        <v>7740</v>
      </c>
      <c r="T767" s="19">
        <f t="shared" si="59"/>
        <v>5</v>
      </c>
    </row>
    <row r="768" spans="1:20" x14ac:dyDescent="0.3">
      <c r="A768" s="20">
        <v>767</v>
      </c>
      <c r="B768" s="20" t="s">
        <v>112</v>
      </c>
      <c r="C768" s="20">
        <v>13</v>
      </c>
      <c r="D768" s="20" t="s">
        <v>495</v>
      </c>
      <c r="E768" s="20" t="s">
        <v>458</v>
      </c>
      <c r="F768" s="20">
        <v>2</v>
      </c>
      <c r="G768" s="21">
        <f>_xlfn.XLOOKUP(C768,[1]products!$A$2:$A$71,[1]products!$D$2:$D$71)</f>
        <v>1141</v>
      </c>
      <c r="H768" s="22">
        <v>44988</v>
      </c>
      <c r="I768" s="22" t="str">
        <f t="shared" si="55"/>
        <v>March</v>
      </c>
      <c r="J768" s="22" t="str">
        <f t="shared" si="56"/>
        <v>Friday</v>
      </c>
      <c r="K768" s="23">
        <v>9.8067129629629643E-2</v>
      </c>
      <c r="L768" s="22">
        <v>44989</v>
      </c>
      <c r="M768" s="24">
        <f>HOUR(orders!$K768)</f>
        <v>2</v>
      </c>
      <c r="N768" s="22" t="str">
        <f t="shared" si="57"/>
        <v>March</v>
      </c>
      <c r="O768" s="23">
        <v>1.0335648148148148E-2</v>
      </c>
      <c r="P768" s="23" t="str">
        <f>_xlfn.XLOOKUP(B768,[2]customers!$A$2:$A$101,[2]customers!$C$2:$C$101)</f>
        <v>Panchkula</v>
      </c>
      <c r="Q768" s="20" t="s">
        <v>156</v>
      </c>
      <c r="R768" s="20" t="s">
        <v>36</v>
      </c>
      <c r="S768" s="21">
        <f t="shared" si="58"/>
        <v>2282</v>
      </c>
      <c r="T768" s="25">
        <f t="shared" si="59"/>
        <v>1</v>
      </c>
    </row>
    <row r="769" spans="1:20" x14ac:dyDescent="0.3">
      <c r="A769" s="14">
        <v>768</v>
      </c>
      <c r="B769" s="14" t="s">
        <v>198</v>
      </c>
      <c r="C769" s="14">
        <v>1</v>
      </c>
      <c r="D769" s="14" t="s">
        <v>479</v>
      </c>
      <c r="E769" s="14" t="s">
        <v>445</v>
      </c>
      <c r="F769" s="14">
        <v>1</v>
      </c>
      <c r="G769" s="15">
        <f>_xlfn.XLOOKUP(C769,[1]products!$A$2:$A$71,[1]products!$D$2:$D$71)</f>
        <v>1935</v>
      </c>
      <c r="H769" s="16">
        <v>45241</v>
      </c>
      <c r="I769" s="16" t="str">
        <f t="shared" si="55"/>
        <v>November</v>
      </c>
      <c r="J769" s="16" t="str">
        <f t="shared" si="56"/>
        <v>Saturday</v>
      </c>
      <c r="K769" s="17">
        <v>0.7761689814814815</v>
      </c>
      <c r="L769" s="16">
        <v>45246</v>
      </c>
      <c r="M769" s="18">
        <f>HOUR(orders!$K769)</f>
        <v>18</v>
      </c>
      <c r="N769" s="16" t="str">
        <f t="shared" si="57"/>
        <v>November</v>
      </c>
      <c r="O769" s="17">
        <v>0.51368055555555558</v>
      </c>
      <c r="P769" s="17" t="str">
        <f>_xlfn.XLOOKUP(B769,[2]customers!$A$2:$A$101,[2]customers!$C$2:$C$101)</f>
        <v>North Dumdum</v>
      </c>
      <c r="Q769" s="14" t="s">
        <v>178</v>
      </c>
      <c r="R769" s="14" t="s">
        <v>60</v>
      </c>
      <c r="S769" s="15">
        <f t="shared" si="58"/>
        <v>1935</v>
      </c>
      <c r="T769" s="19">
        <f t="shared" si="59"/>
        <v>5</v>
      </c>
    </row>
    <row r="770" spans="1:20" x14ac:dyDescent="0.3">
      <c r="A770" s="20">
        <v>769</v>
      </c>
      <c r="B770" s="20" t="s">
        <v>16</v>
      </c>
      <c r="C770" s="20">
        <v>28</v>
      </c>
      <c r="D770" s="20" t="s">
        <v>432</v>
      </c>
      <c r="E770" s="20" t="s">
        <v>427</v>
      </c>
      <c r="F770" s="20">
        <v>2</v>
      </c>
      <c r="G770" s="21">
        <f>_xlfn.XLOOKUP(C770,[1]products!$A$2:$A$71,[1]products!$D$2:$D$71)</f>
        <v>1778</v>
      </c>
      <c r="H770" s="22">
        <v>45163</v>
      </c>
      <c r="I770" s="22" t="str">
        <f t="shared" si="55"/>
        <v>August</v>
      </c>
      <c r="J770" s="22" t="str">
        <f t="shared" si="56"/>
        <v>Friday</v>
      </c>
      <c r="K770" s="23">
        <v>0.40114583333333331</v>
      </c>
      <c r="L770" s="22">
        <v>45171</v>
      </c>
      <c r="M770" s="24">
        <f>HOUR(orders!$K770)</f>
        <v>9</v>
      </c>
      <c r="N770" s="22" t="str">
        <f t="shared" si="57"/>
        <v>September</v>
      </c>
      <c r="O770" s="23">
        <v>0.84050925925925923</v>
      </c>
      <c r="P770" s="23" t="str">
        <f>_xlfn.XLOOKUP(B770,[2]customers!$A$2:$A$101,[2]customers!$C$2:$C$101)</f>
        <v>Haridwar</v>
      </c>
      <c r="Q770" s="20" t="s">
        <v>329</v>
      </c>
      <c r="R770" s="20" t="s">
        <v>26</v>
      </c>
      <c r="S770" s="21">
        <f t="shared" si="58"/>
        <v>3556</v>
      </c>
      <c r="T770" s="25">
        <f t="shared" si="59"/>
        <v>8</v>
      </c>
    </row>
    <row r="771" spans="1:20" x14ac:dyDescent="0.3">
      <c r="A771" s="14">
        <v>770</v>
      </c>
      <c r="B771" s="14" t="s">
        <v>86</v>
      </c>
      <c r="C771" s="14">
        <v>25</v>
      </c>
      <c r="D771" s="14" t="s">
        <v>471</v>
      </c>
      <c r="E771" s="14" t="s">
        <v>447</v>
      </c>
      <c r="F771" s="14">
        <v>3</v>
      </c>
      <c r="G771" s="15">
        <f>_xlfn.XLOOKUP(C771,[1]products!$A$2:$A$71,[1]products!$D$2:$D$71)</f>
        <v>1202</v>
      </c>
      <c r="H771" s="16">
        <v>45075</v>
      </c>
      <c r="I771" s="16" t="str">
        <f t="shared" ref="I771:I834" si="60">TEXT(H771,"mmmm")</f>
        <v>May</v>
      </c>
      <c r="J771" s="16" t="str">
        <f t="shared" ref="J771:J834" si="61">TEXT(H771,"dddd")</f>
        <v>Monday</v>
      </c>
      <c r="K771" s="17">
        <v>1.4548611111111111E-2</v>
      </c>
      <c r="L771" s="16">
        <v>45084</v>
      </c>
      <c r="M771" s="18">
        <f>HOUR(orders!$K771)</f>
        <v>0</v>
      </c>
      <c r="N771" s="16" t="str">
        <f t="shared" ref="N771:N834" si="62">TEXT(L771,"mmmm")</f>
        <v>June</v>
      </c>
      <c r="O771" s="17">
        <v>0.40222222222222226</v>
      </c>
      <c r="P771" s="17" t="str">
        <f>_xlfn.XLOOKUP(B771,[2]customers!$A$2:$A$101,[2]customers!$C$2:$C$101)</f>
        <v>Bhopal</v>
      </c>
      <c r="Q771" s="14" t="s">
        <v>137</v>
      </c>
      <c r="R771" s="14" t="s">
        <v>12</v>
      </c>
      <c r="S771" s="15">
        <f t="shared" ref="S771:S834" si="63">G771*F771</f>
        <v>3606</v>
      </c>
      <c r="T771" s="19">
        <f t="shared" ref="T771:T834" si="64">L771-H771</f>
        <v>9</v>
      </c>
    </row>
    <row r="772" spans="1:20" x14ac:dyDescent="0.3">
      <c r="A772" s="20">
        <v>771</v>
      </c>
      <c r="B772" s="20" t="s">
        <v>45</v>
      </c>
      <c r="C772" s="20">
        <v>9</v>
      </c>
      <c r="D772" s="20" t="s">
        <v>451</v>
      </c>
      <c r="E772" s="20" t="s">
        <v>429</v>
      </c>
      <c r="F772" s="20">
        <v>2</v>
      </c>
      <c r="G772" s="21">
        <f>_xlfn.XLOOKUP(C772,[1]products!$A$2:$A$71,[1]products!$D$2:$D$71)</f>
        <v>1605</v>
      </c>
      <c r="H772" s="22">
        <v>45164</v>
      </c>
      <c r="I772" s="22" t="str">
        <f t="shared" si="60"/>
        <v>August</v>
      </c>
      <c r="J772" s="22" t="str">
        <f t="shared" si="61"/>
        <v>Saturday</v>
      </c>
      <c r="K772" s="23">
        <v>0.70841435185185186</v>
      </c>
      <c r="L772" s="22">
        <v>45170</v>
      </c>
      <c r="M772" s="24">
        <f>HOUR(orders!$K772)</f>
        <v>17</v>
      </c>
      <c r="N772" s="22" t="str">
        <f t="shared" si="62"/>
        <v>September</v>
      </c>
      <c r="O772" s="23">
        <v>0.45435185185185184</v>
      </c>
      <c r="P772" s="23" t="str">
        <f>_xlfn.XLOOKUP(B772,[2]customers!$A$2:$A$101,[2]customers!$C$2:$C$101)</f>
        <v>Haridwar</v>
      </c>
      <c r="Q772" s="20" t="s">
        <v>49</v>
      </c>
      <c r="R772" s="20" t="s">
        <v>26</v>
      </c>
      <c r="S772" s="21">
        <f t="shared" si="63"/>
        <v>3210</v>
      </c>
      <c r="T772" s="25">
        <f t="shared" si="64"/>
        <v>6</v>
      </c>
    </row>
    <row r="773" spans="1:20" x14ac:dyDescent="0.3">
      <c r="A773" s="14">
        <v>772</v>
      </c>
      <c r="B773" s="14" t="s">
        <v>233</v>
      </c>
      <c r="C773" s="14">
        <v>35</v>
      </c>
      <c r="D773" s="14" t="s">
        <v>462</v>
      </c>
      <c r="E773" s="14" t="s">
        <v>429</v>
      </c>
      <c r="F773" s="14">
        <v>5</v>
      </c>
      <c r="G773" s="15">
        <f>_xlfn.XLOOKUP(C773,[1]products!$A$2:$A$71,[1]products!$D$2:$D$71)</f>
        <v>1865</v>
      </c>
      <c r="H773" s="16">
        <v>44986</v>
      </c>
      <c r="I773" s="16" t="str">
        <f t="shared" si="60"/>
        <v>March</v>
      </c>
      <c r="J773" s="16" t="str">
        <f t="shared" si="61"/>
        <v>Wednesday</v>
      </c>
      <c r="K773" s="17">
        <v>0.21048611111111112</v>
      </c>
      <c r="L773" s="16">
        <v>44989</v>
      </c>
      <c r="M773" s="18">
        <f>HOUR(orders!$K773)</f>
        <v>5</v>
      </c>
      <c r="N773" s="16" t="str">
        <f t="shared" si="62"/>
        <v>March</v>
      </c>
      <c r="O773" s="17">
        <v>0.34728009259259257</v>
      </c>
      <c r="P773" s="17" t="str">
        <f>_xlfn.XLOOKUP(B773,[2]customers!$A$2:$A$101,[2]customers!$C$2:$C$101)</f>
        <v>Raipur</v>
      </c>
      <c r="Q773" s="14" t="s">
        <v>406</v>
      </c>
      <c r="R773" s="14" t="s">
        <v>36</v>
      </c>
      <c r="S773" s="15">
        <f t="shared" si="63"/>
        <v>9325</v>
      </c>
      <c r="T773" s="19">
        <f t="shared" si="64"/>
        <v>3</v>
      </c>
    </row>
    <row r="774" spans="1:20" x14ac:dyDescent="0.3">
      <c r="A774" s="20">
        <v>773</v>
      </c>
      <c r="B774" s="20" t="s">
        <v>95</v>
      </c>
      <c r="C774" s="20">
        <v>39</v>
      </c>
      <c r="D774" s="20" t="s">
        <v>478</v>
      </c>
      <c r="E774" s="20" t="s">
        <v>458</v>
      </c>
      <c r="F774" s="20">
        <v>4</v>
      </c>
      <c r="G774" s="21">
        <f>_xlfn.XLOOKUP(C774,[1]products!$A$2:$A$71,[1]products!$D$2:$D$71)</f>
        <v>387</v>
      </c>
      <c r="H774" s="22">
        <v>44933</v>
      </c>
      <c r="I774" s="22" t="str">
        <f t="shared" si="60"/>
        <v>January</v>
      </c>
      <c r="J774" s="22" t="str">
        <f t="shared" si="61"/>
        <v>Saturday</v>
      </c>
      <c r="K774" s="23">
        <v>9.1249999999999998E-2</v>
      </c>
      <c r="L774" s="22">
        <v>44939</v>
      </c>
      <c r="M774" s="24">
        <f>HOUR(orders!$K774)</f>
        <v>2</v>
      </c>
      <c r="N774" s="22" t="str">
        <f t="shared" si="62"/>
        <v>January</v>
      </c>
      <c r="O774" s="23">
        <v>0.99159722222222213</v>
      </c>
      <c r="P774" s="23" t="str">
        <f>_xlfn.XLOOKUP(B774,[2]customers!$A$2:$A$101,[2]customers!$C$2:$C$101)</f>
        <v>Sasaram</v>
      </c>
      <c r="Q774" s="20" t="s">
        <v>223</v>
      </c>
      <c r="R774" s="20" t="s">
        <v>60</v>
      </c>
      <c r="S774" s="21">
        <f t="shared" si="63"/>
        <v>1548</v>
      </c>
      <c r="T774" s="25">
        <f t="shared" si="64"/>
        <v>6</v>
      </c>
    </row>
    <row r="775" spans="1:20" x14ac:dyDescent="0.3">
      <c r="A775" s="14">
        <v>774</v>
      </c>
      <c r="B775" s="14" t="s">
        <v>192</v>
      </c>
      <c r="C775" s="14">
        <v>65</v>
      </c>
      <c r="D775" s="14" t="s">
        <v>466</v>
      </c>
      <c r="E775" s="14" t="s">
        <v>26</v>
      </c>
      <c r="F775" s="14">
        <v>5</v>
      </c>
      <c r="G775" s="15">
        <f>_xlfn.XLOOKUP(C775,[1]products!$A$2:$A$71,[1]products!$D$2:$D$71)</f>
        <v>1895</v>
      </c>
      <c r="H775" s="16">
        <v>45094</v>
      </c>
      <c r="I775" s="16" t="str">
        <f t="shared" si="60"/>
        <v>June</v>
      </c>
      <c r="J775" s="16" t="str">
        <f t="shared" si="61"/>
        <v>Saturday</v>
      </c>
      <c r="K775" s="17">
        <v>0.89468749999999997</v>
      </c>
      <c r="L775" s="16">
        <v>45104</v>
      </c>
      <c r="M775" s="18">
        <f>HOUR(orders!$K775)</f>
        <v>21</v>
      </c>
      <c r="N775" s="16" t="str">
        <f t="shared" si="62"/>
        <v>June</v>
      </c>
      <c r="O775" s="17">
        <v>0.12592592592592591</v>
      </c>
      <c r="P775" s="17" t="str">
        <f>_xlfn.XLOOKUP(B775,[2]customers!$A$2:$A$101,[2]customers!$C$2:$C$101)</f>
        <v>Kota</v>
      </c>
      <c r="Q775" s="14" t="s">
        <v>247</v>
      </c>
      <c r="R775" s="14" t="s">
        <v>60</v>
      </c>
      <c r="S775" s="15">
        <f t="shared" si="63"/>
        <v>9475</v>
      </c>
      <c r="T775" s="19">
        <f t="shared" si="64"/>
        <v>10</v>
      </c>
    </row>
    <row r="776" spans="1:20" x14ac:dyDescent="0.3">
      <c r="A776" s="20">
        <v>775</v>
      </c>
      <c r="B776" s="20" t="s">
        <v>112</v>
      </c>
      <c r="C776" s="20">
        <v>45</v>
      </c>
      <c r="D776" s="20" t="s">
        <v>433</v>
      </c>
      <c r="E776" s="20" t="s">
        <v>26</v>
      </c>
      <c r="F776" s="20">
        <v>1</v>
      </c>
      <c r="G776" s="21">
        <f>_xlfn.XLOOKUP(C776,[1]products!$A$2:$A$71,[1]products!$D$2:$D$71)</f>
        <v>722</v>
      </c>
      <c r="H776" s="22">
        <v>44976</v>
      </c>
      <c r="I776" s="22" t="str">
        <f t="shared" si="60"/>
        <v>February</v>
      </c>
      <c r="J776" s="22" t="str">
        <f t="shared" si="61"/>
        <v>Sunday</v>
      </c>
      <c r="K776" s="23">
        <v>0.15844907407407408</v>
      </c>
      <c r="L776" s="22">
        <v>44981</v>
      </c>
      <c r="M776" s="24">
        <f>HOUR(orders!$K776)</f>
        <v>3</v>
      </c>
      <c r="N776" s="22" t="str">
        <f t="shared" si="62"/>
        <v>February</v>
      </c>
      <c r="O776" s="23">
        <v>0.98040509259259256</v>
      </c>
      <c r="P776" s="23" t="str">
        <f>_xlfn.XLOOKUP(B776,[2]customers!$A$2:$A$101,[2]customers!$C$2:$C$101)</f>
        <v>Panchkula</v>
      </c>
      <c r="Q776" s="20" t="s">
        <v>133</v>
      </c>
      <c r="R776" s="20" t="s">
        <v>20</v>
      </c>
      <c r="S776" s="21">
        <f t="shared" si="63"/>
        <v>722</v>
      </c>
      <c r="T776" s="25">
        <f t="shared" si="64"/>
        <v>5</v>
      </c>
    </row>
    <row r="777" spans="1:20" x14ac:dyDescent="0.3">
      <c r="A777" s="14">
        <v>776</v>
      </c>
      <c r="B777" s="14" t="s">
        <v>192</v>
      </c>
      <c r="C777" s="14">
        <v>43</v>
      </c>
      <c r="D777" s="14" t="s">
        <v>434</v>
      </c>
      <c r="E777" s="14" t="s">
        <v>26</v>
      </c>
      <c r="F777" s="14">
        <v>1</v>
      </c>
      <c r="G777" s="15">
        <f>_xlfn.XLOOKUP(C777,[1]products!$A$2:$A$71,[1]products!$D$2:$D$71)</f>
        <v>750</v>
      </c>
      <c r="H777" s="16">
        <v>45239</v>
      </c>
      <c r="I777" s="16" t="str">
        <f t="shared" si="60"/>
        <v>November</v>
      </c>
      <c r="J777" s="16" t="str">
        <f t="shared" si="61"/>
        <v>Thursday</v>
      </c>
      <c r="K777" s="17">
        <v>0.3117361111111111</v>
      </c>
      <c r="L777" s="16">
        <v>45242</v>
      </c>
      <c r="M777" s="18">
        <f>HOUR(orders!$K777)</f>
        <v>7</v>
      </c>
      <c r="N777" s="16" t="str">
        <f t="shared" si="62"/>
        <v>November</v>
      </c>
      <c r="O777" s="17">
        <v>0.90212962962962961</v>
      </c>
      <c r="P777" s="17" t="str">
        <f>_xlfn.XLOOKUP(B777,[2]customers!$A$2:$A$101,[2]customers!$C$2:$C$101)</f>
        <v>Kota</v>
      </c>
      <c r="Q777" s="14" t="s">
        <v>290</v>
      </c>
      <c r="R777" s="14" t="s">
        <v>15</v>
      </c>
      <c r="S777" s="15">
        <f t="shared" si="63"/>
        <v>750</v>
      </c>
      <c r="T777" s="19">
        <f t="shared" si="64"/>
        <v>3</v>
      </c>
    </row>
    <row r="778" spans="1:20" x14ac:dyDescent="0.3">
      <c r="A778" s="20">
        <v>777</v>
      </c>
      <c r="B778" s="20" t="s">
        <v>243</v>
      </c>
      <c r="C778" s="20">
        <v>70</v>
      </c>
      <c r="D778" s="20" t="s">
        <v>466</v>
      </c>
      <c r="E778" s="20" t="s">
        <v>427</v>
      </c>
      <c r="F778" s="20">
        <v>3</v>
      </c>
      <c r="G778" s="21">
        <f>_xlfn.XLOOKUP(C778,[1]products!$A$2:$A$71,[1]products!$D$2:$D$71)</f>
        <v>866</v>
      </c>
      <c r="H778" s="22">
        <v>44981</v>
      </c>
      <c r="I778" s="22" t="str">
        <f t="shared" si="60"/>
        <v>February</v>
      </c>
      <c r="J778" s="22" t="str">
        <f t="shared" si="61"/>
        <v>Friday</v>
      </c>
      <c r="K778" s="23">
        <v>0.64857638888888891</v>
      </c>
      <c r="L778" s="22">
        <v>44984</v>
      </c>
      <c r="M778" s="24">
        <f>HOUR(orders!$K778)</f>
        <v>15</v>
      </c>
      <c r="N778" s="22" t="str">
        <f t="shared" si="62"/>
        <v>February</v>
      </c>
      <c r="O778" s="23">
        <v>0.47892361111111109</v>
      </c>
      <c r="P778" s="23" t="str">
        <f>_xlfn.XLOOKUP(B778,[2]customers!$A$2:$A$101,[2]customers!$C$2:$C$101)</f>
        <v>Tenali</v>
      </c>
      <c r="Q778" s="20" t="s">
        <v>368</v>
      </c>
      <c r="R778" s="20" t="s">
        <v>20</v>
      </c>
      <c r="S778" s="21">
        <f t="shared" si="63"/>
        <v>2598</v>
      </c>
      <c r="T778" s="25">
        <f t="shared" si="64"/>
        <v>3</v>
      </c>
    </row>
    <row r="779" spans="1:20" x14ac:dyDescent="0.3">
      <c r="A779" s="14">
        <v>778</v>
      </c>
      <c r="B779" s="14" t="s">
        <v>123</v>
      </c>
      <c r="C779" s="14">
        <v>61</v>
      </c>
      <c r="D779" s="14" t="s">
        <v>464</v>
      </c>
      <c r="E779" s="14" t="s">
        <v>447</v>
      </c>
      <c r="F779" s="14">
        <v>4</v>
      </c>
      <c r="G779" s="15">
        <f>_xlfn.XLOOKUP(C779,[1]products!$A$2:$A$71,[1]products!$D$2:$D$71)</f>
        <v>810</v>
      </c>
      <c r="H779" s="16">
        <v>45056</v>
      </c>
      <c r="I779" s="16" t="str">
        <f t="shared" si="60"/>
        <v>May</v>
      </c>
      <c r="J779" s="16" t="str">
        <f t="shared" si="61"/>
        <v>Wednesday</v>
      </c>
      <c r="K779" s="17">
        <v>0.16574074074074074</v>
      </c>
      <c r="L779" s="16">
        <v>45059</v>
      </c>
      <c r="M779" s="18">
        <f>HOUR(orders!$K779)</f>
        <v>3</v>
      </c>
      <c r="N779" s="16" t="str">
        <f t="shared" si="62"/>
        <v>May</v>
      </c>
      <c r="O779" s="17">
        <v>0.49811342592592589</v>
      </c>
      <c r="P779" s="17" t="str">
        <f>_xlfn.XLOOKUP(B779,[2]customers!$A$2:$A$101,[2]customers!$C$2:$C$101)</f>
        <v>Indore</v>
      </c>
      <c r="Q779" s="14" t="s">
        <v>299</v>
      </c>
      <c r="R779" s="14" t="s">
        <v>12</v>
      </c>
      <c r="S779" s="15">
        <f t="shared" si="63"/>
        <v>3240</v>
      </c>
      <c r="T779" s="19">
        <f t="shared" si="64"/>
        <v>3</v>
      </c>
    </row>
    <row r="780" spans="1:20" x14ac:dyDescent="0.3">
      <c r="A780" s="20">
        <v>779</v>
      </c>
      <c r="B780" s="20" t="s">
        <v>288</v>
      </c>
      <c r="C780" s="20">
        <v>3</v>
      </c>
      <c r="D780" s="20" t="s">
        <v>483</v>
      </c>
      <c r="E780" s="20" t="s">
        <v>429</v>
      </c>
      <c r="F780" s="20">
        <v>1</v>
      </c>
      <c r="G780" s="21">
        <f>_xlfn.XLOOKUP(C780,[1]products!$A$2:$A$71,[1]products!$D$2:$D$71)</f>
        <v>1534</v>
      </c>
      <c r="H780" s="22">
        <v>44963</v>
      </c>
      <c r="I780" s="22" t="str">
        <f t="shared" si="60"/>
        <v>February</v>
      </c>
      <c r="J780" s="22" t="str">
        <f t="shared" si="61"/>
        <v>Monday</v>
      </c>
      <c r="K780" s="23">
        <v>0.26848379629629632</v>
      </c>
      <c r="L780" s="22">
        <v>44965</v>
      </c>
      <c r="M780" s="24">
        <f>HOUR(orders!$K780)</f>
        <v>6</v>
      </c>
      <c r="N780" s="22" t="str">
        <f t="shared" si="62"/>
        <v>February</v>
      </c>
      <c r="O780" s="23">
        <v>0.11934027777777778</v>
      </c>
      <c r="P780" s="23" t="str">
        <f>_xlfn.XLOOKUP(B780,[2]customers!$A$2:$A$101,[2]customers!$C$2:$C$101)</f>
        <v>Dhanbad</v>
      </c>
      <c r="Q780" s="20" t="s">
        <v>263</v>
      </c>
      <c r="R780" s="20" t="s">
        <v>23</v>
      </c>
      <c r="S780" s="21">
        <f t="shared" si="63"/>
        <v>1534</v>
      </c>
      <c r="T780" s="25">
        <f t="shared" si="64"/>
        <v>2</v>
      </c>
    </row>
    <row r="781" spans="1:20" x14ac:dyDescent="0.3">
      <c r="A781" s="14">
        <v>780</v>
      </c>
      <c r="B781" s="14" t="s">
        <v>194</v>
      </c>
      <c r="C781" s="14">
        <v>33</v>
      </c>
      <c r="D781" s="14" t="s">
        <v>490</v>
      </c>
      <c r="E781" s="14" t="s">
        <v>429</v>
      </c>
      <c r="F781" s="14">
        <v>2</v>
      </c>
      <c r="G781" s="15">
        <f>_xlfn.XLOOKUP(C781,[1]products!$A$2:$A$71,[1]products!$D$2:$D$71)</f>
        <v>314</v>
      </c>
      <c r="H781" s="16">
        <v>44967</v>
      </c>
      <c r="I781" s="16" t="str">
        <f t="shared" si="60"/>
        <v>February</v>
      </c>
      <c r="J781" s="16" t="str">
        <f t="shared" si="61"/>
        <v>Friday</v>
      </c>
      <c r="K781" s="17">
        <v>0.47975694444444444</v>
      </c>
      <c r="L781" s="16">
        <v>44970</v>
      </c>
      <c r="M781" s="18">
        <f>HOUR(orders!$K781)</f>
        <v>11</v>
      </c>
      <c r="N781" s="16" t="str">
        <f t="shared" si="62"/>
        <v>February</v>
      </c>
      <c r="O781" s="17">
        <v>0.18640046296296298</v>
      </c>
      <c r="P781" s="17" t="str">
        <f>_xlfn.XLOOKUP(B781,[2]customers!$A$2:$A$101,[2]customers!$C$2:$C$101)</f>
        <v>Bhatpara</v>
      </c>
      <c r="Q781" s="14" t="s">
        <v>319</v>
      </c>
      <c r="R781" s="14" t="s">
        <v>23</v>
      </c>
      <c r="S781" s="15">
        <f t="shared" si="63"/>
        <v>628</v>
      </c>
      <c r="T781" s="19">
        <f t="shared" si="64"/>
        <v>3</v>
      </c>
    </row>
    <row r="782" spans="1:20" x14ac:dyDescent="0.3">
      <c r="A782" s="20">
        <v>781</v>
      </c>
      <c r="B782" s="20" t="s">
        <v>215</v>
      </c>
      <c r="C782" s="20">
        <v>40</v>
      </c>
      <c r="D782" s="20" t="s">
        <v>477</v>
      </c>
      <c r="E782" s="20" t="s">
        <v>427</v>
      </c>
      <c r="F782" s="20">
        <v>2</v>
      </c>
      <c r="G782" s="21">
        <f>_xlfn.XLOOKUP(C782,[1]products!$A$2:$A$71,[1]products!$D$2:$D$71)</f>
        <v>1923</v>
      </c>
      <c r="H782" s="22">
        <v>45196</v>
      </c>
      <c r="I782" s="22" t="str">
        <f t="shared" si="60"/>
        <v>September</v>
      </c>
      <c r="J782" s="22" t="str">
        <f t="shared" si="61"/>
        <v>Wednesday</v>
      </c>
      <c r="K782" s="23">
        <v>0.64372685185185186</v>
      </c>
      <c r="L782" s="22">
        <v>45204</v>
      </c>
      <c r="M782" s="24">
        <f>HOUR(orders!$K782)</f>
        <v>15</v>
      </c>
      <c r="N782" s="22" t="str">
        <f t="shared" si="62"/>
        <v>October</v>
      </c>
      <c r="O782" s="23">
        <v>0.81907407407407407</v>
      </c>
      <c r="P782" s="23" t="str">
        <f>_xlfn.XLOOKUP(B782,[2]customers!$A$2:$A$101,[2]customers!$C$2:$C$101)</f>
        <v>Tiruchirappalli</v>
      </c>
      <c r="Q782" s="20" t="s">
        <v>306</v>
      </c>
      <c r="R782" s="20" t="s">
        <v>12</v>
      </c>
      <c r="S782" s="21">
        <f t="shared" si="63"/>
        <v>3846</v>
      </c>
      <c r="T782" s="25">
        <f t="shared" si="64"/>
        <v>8</v>
      </c>
    </row>
    <row r="783" spans="1:20" x14ac:dyDescent="0.3">
      <c r="A783" s="14">
        <v>782</v>
      </c>
      <c r="B783" s="14" t="s">
        <v>198</v>
      </c>
      <c r="C783" s="14">
        <v>22</v>
      </c>
      <c r="D783" s="14" t="s">
        <v>465</v>
      </c>
      <c r="E783" s="14" t="s">
        <v>445</v>
      </c>
      <c r="F783" s="14">
        <v>4</v>
      </c>
      <c r="G783" s="15">
        <f>_xlfn.XLOOKUP(C783,[1]products!$A$2:$A$71,[1]products!$D$2:$D$71)</f>
        <v>1639</v>
      </c>
      <c r="H783" s="16">
        <v>45034</v>
      </c>
      <c r="I783" s="16" t="str">
        <f t="shared" si="60"/>
        <v>April</v>
      </c>
      <c r="J783" s="16" t="str">
        <f t="shared" si="61"/>
        <v>Tuesday</v>
      </c>
      <c r="K783" s="17">
        <v>0.23703703703703705</v>
      </c>
      <c r="L783" s="16">
        <v>45042</v>
      </c>
      <c r="M783" s="18">
        <f>HOUR(orders!$K783)</f>
        <v>5</v>
      </c>
      <c r="N783" s="16" t="str">
        <f t="shared" si="62"/>
        <v>April</v>
      </c>
      <c r="O783" s="17">
        <v>0.80936342592592592</v>
      </c>
      <c r="P783" s="17" t="str">
        <f>_xlfn.XLOOKUP(B783,[2]customers!$A$2:$A$101,[2]customers!$C$2:$C$101)</f>
        <v>North Dumdum</v>
      </c>
      <c r="Q783" s="14" t="s">
        <v>332</v>
      </c>
      <c r="R783" s="14" t="s">
        <v>60</v>
      </c>
      <c r="S783" s="15">
        <f t="shared" si="63"/>
        <v>6556</v>
      </c>
      <c r="T783" s="19">
        <f t="shared" si="64"/>
        <v>8</v>
      </c>
    </row>
    <row r="784" spans="1:20" x14ac:dyDescent="0.3">
      <c r="A784" s="20">
        <v>783</v>
      </c>
      <c r="B784" s="20" t="s">
        <v>38</v>
      </c>
      <c r="C784" s="20">
        <v>55</v>
      </c>
      <c r="D784" s="20" t="s">
        <v>491</v>
      </c>
      <c r="E784" s="20" t="s">
        <v>445</v>
      </c>
      <c r="F784" s="20">
        <v>5</v>
      </c>
      <c r="G784" s="21">
        <f>_xlfn.XLOOKUP(C784,[1]products!$A$2:$A$71,[1]products!$D$2:$D$71)</f>
        <v>1904</v>
      </c>
      <c r="H784" s="22">
        <v>45166</v>
      </c>
      <c r="I784" s="22" t="str">
        <f t="shared" si="60"/>
        <v>August</v>
      </c>
      <c r="J784" s="22" t="str">
        <f t="shared" si="61"/>
        <v>Monday</v>
      </c>
      <c r="K784" s="23">
        <v>0.18850694444444446</v>
      </c>
      <c r="L784" s="22">
        <v>45167</v>
      </c>
      <c r="M784" s="24">
        <f>HOUR(orders!$K784)</f>
        <v>4</v>
      </c>
      <c r="N784" s="22" t="str">
        <f t="shared" si="62"/>
        <v>August</v>
      </c>
      <c r="O784" s="23">
        <v>0.21586805555555555</v>
      </c>
      <c r="P784" s="23" t="str">
        <f>_xlfn.XLOOKUP(B784,[2]customers!$A$2:$A$101,[2]customers!$C$2:$C$101)</f>
        <v>Kavali</v>
      </c>
      <c r="Q784" s="20" t="s">
        <v>407</v>
      </c>
      <c r="R784" s="20" t="s">
        <v>26</v>
      </c>
      <c r="S784" s="21">
        <f t="shared" si="63"/>
        <v>9520</v>
      </c>
      <c r="T784" s="25">
        <f t="shared" si="64"/>
        <v>1</v>
      </c>
    </row>
    <row r="785" spans="1:20" x14ac:dyDescent="0.3">
      <c r="A785" s="14">
        <v>784</v>
      </c>
      <c r="B785" s="14" t="s">
        <v>40</v>
      </c>
      <c r="C785" s="14">
        <v>56</v>
      </c>
      <c r="D785" s="14" t="s">
        <v>436</v>
      </c>
      <c r="E785" s="14" t="s">
        <v>26</v>
      </c>
      <c r="F785" s="14">
        <v>2</v>
      </c>
      <c r="G785" s="15">
        <f>_xlfn.XLOOKUP(C785,[1]products!$A$2:$A$71,[1]products!$D$2:$D$71)</f>
        <v>1272</v>
      </c>
      <c r="H785" s="16">
        <v>45079</v>
      </c>
      <c r="I785" s="16" t="str">
        <f t="shared" si="60"/>
        <v>June</v>
      </c>
      <c r="J785" s="16" t="str">
        <f t="shared" si="61"/>
        <v>Friday</v>
      </c>
      <c r="K785" s="17">
        <v>0.35129629629629627</v>
      </c>
      <c r="L785" s="16">
        <v>45084</v>
      </c>
      <c r="M785" s="18">
        <f>HOUR(orders!$K785)</f>
        <v>8</v>
      </c>
      <c r="N785" s="16" t="str">
        <f t="shared" si="62"/>
        <v>June</v>
      </c>
      <c r="O785" s="17">
        <v>0.26133101851851853</v>
      </c>
      <c r="P785" s="17" t="str">
        <f>_xlfn.XLOOKUP(B785,[2]customers!$A$2:$A$101,[2]customers!$C$2:$C$101)</f>
        <v>Ajmer</v>
      </c>
      <c r="Q785" s="14" t="s">
        <v>270</v>
      </c>
      <c r="R785" s="14" t="s">
        <v>12</v>
      </c>
      <c r="S785" s="15">
        <f t="shared" si="63"/>
        <v>2544</v>
      </c>
      <c r="T785" s="19">
        <f t="shared" si="64"/>
        <v>5</v>
      </c>
    </row>
    <row r="786" spans="1:20" x14ac:dyDescent="0.3">
      <c r="A786" s="20">
        <v>785</v>
      </c>
      <c r="B786" s="20" t="s">
        <v>288</v>
      </c>
      <c r="C786" s="20">
        <v>47</v>
      </c>
      <c r="D786" s="20" t="s">
        <v>480</v>
      </c>
      <c r="E786" s="20" t="s">
        <v>429</v>
      </c>
      <c r="F786" s="20">
        <v>5</v>
      </c>
      <c r="G786" s="21">
        <f>_xlfn.XLOOKUP(C786,[1]products!$A$2:$A$71,[1]products!$D$2:$D$71)</f>
        <v>1638</v>
      </c>
      <c r="H786" s="22">
        <v>44983</v>
      </c>
      <c r="I786" s="22" t="str">
        <f t="shared" si="60"/>
        <v>February</v>
      </c>
      <c r="J786" s="22" t="str">
        <f t="shared" si="61"/>
        <v>Sunday</v>
      </c>
      <c r="K786" s="23">
        <v>0.73719907407407403</v>
      </c>
      <c r="L786" s="22">
        <v>44986</v>
      </c>
      <c r="M786" s="24">
        <f>HOUR(orders!$K786)</f>
        <v>17</v>
      </c>
      <c r="N786" s="22" t="str">
        <f t="shared" si="62"/>
        <v>March</v>
      </c>
      <c r="O786" s="23">
        <v>0.54818287037037039</v>
      </c>
      <c r="P786" s="23" t="str">
        <f>_xlfn.XLOOKUP(B786,[2]customers!$A$2:$A$101,[2]customers!$C$2:$C$101)</f>
        <v>Dhanbad</v>
      </c>
      <c r="Q786" s="20" t="s">
        <v>209</v>
      </c>
      <c r="R786" s="20" t="s">
        <v>36</v>
      </c>
      <c r="S786" s="21">
        <f t="shared" si="63"/>
        <v>8190</v>
      </c>
      <c r="T786" s="25">
        <f t="shared" si="64"/>
        <v>3</v>
      </c>
    </row>
    <row r="787" spans="1:20" x14ac:dyDescent="0.3">
      <c r="A787" s="14">
        <v>786</v>
      </c>
      <c r="B787" s="14" t="s">
        <v>291</v>
      </c>
      <c r="C787" s="14">
        <v>47</v>
      </c>
      <c r="D787" s="14" t="s">
        <v>480</v>
      </c>
      <c r="E787" s="14" t="s">
        <v>429</v>
      </c>
      <c r="F787" s="14">
        <v>1</v>
      </c>
      <c r="G787" s="15">
        <f>_xlfn.XLOOKUP(C787,[1]products!$A$2:$A$71,[1]products!$D$2:$D$71)</f>
        <v>1638</v>
      </c>
      <c r="H787" s="16">
        <v>44990</v>
      </c>
      <c r="I787" s="16" t="str">
        <f t="shared" si="60"/>
        <v>March</v>
      </c>
      <c r="J787" s="16" t="str">
        <f t="shared" si="61"/>
        <v>Sunday</v>
      </c>
      <c r="K787" s="17">
        <v>0.94936342592592593</v>
      </c>
      <c r="L787" s="16">
        <v>44992</v>
      </c>
      <c r="M787" s="18">
        <f>HOUR(orders!$K787)</f>
        <v>22</v>
      </c>
      <c r="N787" s="16" t="str">
        <f t="shared" si="62"/>
        <v>March</v>
      </c>
      <c r="O787" s="17">
        <v>0.3033912037037037</v>
      </c>
      <c r="P787" s="17" t="str">
        <f>_xlfn.XLOOKUP(B787,[2]customers!$A$2:$A$101,[2]customers!$C$2:$C$101)</f>
        <v>Bilaspur</v>
      </c>
      <c r="Q787" s="14" t="s">
        <v>176</v>
      </c>
      <c r="R787" s="14" t="s">
        <v>36</v>
      </c>
      <c r="S787" s="15">
        <f t="shared" si="63"/>
        <v>1638</v>
      </c>
      <c r="T787" s="19">
        <f t="shared" si="64"/>
        <v>2</v>
      </c>
    </row>
    <row r="788" spans="1:20" x14ac:dyDescent="0.3">
      <c r="A788" s="20">
        <v>787</v>
      </c>
      <c r="B788" s="20" t="s">
        <v>41</v>
      </c>
      <c r="C788" s="20">
        <v>9</v>
      </c>
      <c r="D788" s="20" t="s">
        <v>451</v>
      </c>
      <c r="E788" s="20" t="s">
        <v>429</v>
      </c>
      <c r="F788" s="20">
        <v>1</v>
      </c>
      <c r="G788" s="21">
        <f>_xlfn.XLOOKUP(C788,[1]products!$A$2:$A$71,[1]products!$D$2:$D$71)</f>
        <v>1605</v>
      </c>
      <c r="H788" s="22">
        <v>45163</v>
      </c>
      <c r="I788" s="22" t="str">
        <f t="shared" si="60"/>
        <v>August</v>
      </c>
      <c r="J788" s="22" t="str">
        <f t="shared" si="61"/>
        <v>Friday</v>
      </c>
      <c r="K788" s="23">
        <v>0.90430555555555558</v>
      </c>
      <c r="L788" s="22">
        <v>45165</v>
      </c>
      <c r="M788" s="24">
        <f>HOUR(orders!$K788)</f>
        <v>21</v>
      </c>
      <c r="N788" s="22" t="str">
        <f t="shared" si="62"/>
        <v>August</v>
      </c>
      <c r="O788" s="23">
        <v>0.59096064814814808</v>
      </c>
      <c r="P788" s="23" t="str">
        <f>_xlfn.XLOOKUP(B788,[2]customers!$A$2:$A$101,[2]customers!$C$2:$C$101)</f>
        <v>Madhyamgram</v>
      </c>
      <c r="Q788" s="20" t="s">
        <v>363</v>
      </c>
      <c r="R788" s="20" t="s">
        <v>26</v>
      </c>
      <c r="S788" s="21">
        <f t="shared" si="63"/>
        <v>1605</v>
      </c>
      <c r="T788" s="25">
        <f t="shared" si="64"/>
        <v>2</v>
      </c>
    </row>
    <row r="789" spans="1:20" x14ac:dyDescent="0.3">
      <c r="A789" s="14">
        <v>788</v>
      </c>
      <c r="B789" s="14" t="s">
        <v>32</v>
      </c>
      <c r="C789" s="14">
        <v>53</v>
      </c>
      <c r="D789" s="14" t="s">
        <v>496</v>
      </c>
      <c r="E789" s="14" t="s">
        <v>427</v>
      </c>
      <c r="F789" s="14">
        <v>3</v>
      </c>
      <c r="G789" s="15">
        <f>_xlfn.XLOOKUP(C789,[1]products!$A$2:$A$71,[1]products!$D$2:$D$71)</f>
        <v>1672</v>
      </c>
      <c r="H789" s="16">
        <v>45162</v>
      </c>
      <c r="I789" s="16" t="str">
        <f t="shared" si="60"/>
        <v>August</v>
      </c>
      <c r="J789" s="16" t="str">
        <f t="shared" si="61"/>
        <v>Thursday</v>
      </c>
      <c r="K789" s="17">
        <v>0.20761574074074074</v>
      </c>
      <c r="L789" s="16">
        <v>45165</v>
      </c>
      <c r="M789" s="18">
        <f>HOUR(orders!$K789)</f>
        <v>4</v>
      </c>
      <c r="N789" s="16" t="str">
        <f t="shared" si="62"/>
        <v>August</v>
      </c>
      <c r="O789" s="17">
        <v>0.37282407407407409</v>
      </c>
      <c r="P789" s="17" t="str">
        <f>_xlfn.XLOOKUP(B789,[2]customers!$A$2:$A$101,[2]customers!$C$2:$C$101)</f>
        <v>Dhanbad</v>
      </c>
      <c r="Q789" s="14" t="s">
        <v>263</v>
      </c>
      <c r="R789" s="14" t="s">
        <v>26</v>
      </c>
      <c r="S789" s="15">
        <f t="shared" si="63"/>
        <v>5016</v>
      </c>
      <c r="T789" s="19">
        <f t="shared" si="64"/>
        <v>3</v>
      </c>
    </row>
    <row r="790" spans="1:20" x14ac:dyDescent="0.3">
      <c r="A790" s="20">
        <v>789</v>
      </c>
      <c r="B790" s="20" t="s">
        <v>182</v>
      </c>
      <c r="C790" s="20">
        <v>58</v>
      </c>
      <c r="D790" s="20" t="s">
        <v>430</v>
      </c>
      <c r="E790" s="20" t="s">
        <v>431</v>
      </c>
      <c r="F790" s="20">
        <v>4</v>
      </c>
      <c r="G790" s="21">
        <f>_xlfn.XLOOKUP(C790,[1]products!$A$2:$A$71,[1]products!$D$2:$D$71)</f>
        <v>1492</v>
      </c>
      <c r="H790" s="22">
        <v>44965</v>
      </c>
      <c r="I790" s="22" t="str">
        <f t="shared" si="60"/>
        <v>February</v>
      </c>
      <c r="J790" s="22" t="str">
        <f t="shared" si="61"/>
        <v>Wednesday</v>
      </c>
      <c r="K790" s="23">
        <v>0.76361111111111113</v>
      </c>
      <c r="L790" s="22">
        <v>44972</v>
      </c>
      <c r="M790" s="24">
        <f>HOUR(orders!$K790)</f>
        <v>18</v>
      </c>
      <c r="N790" s="22" t="str">
        <f t="shared" si="62"/>
        <v>February</v>
      </c>
      <c r="O790" s="23">
        <v>0.33369212962962963</v>
      </c>
      <c r="P790" s="23" t="str">
        <f>_xlfn.XLOOKUP(B790,[2]customers!$A$2:$A$101,[2]customers!$C$2:$C$101)</f>
        <v>Guntakal</v>
      </c>
      <c r="Q790" s="20" t="s">
        <v>129</v>
      </c>
      <c r="R790" s="20" t="s">
        <v>23</v>
      </c>
      <c r="S790" s="21">
        <f t="shared" si="63"/>
        <v>5968</v>
      </c>
      <c r="T790" s="25">
        <f t="shared" si="64"/>
        <v>7</v>
      </c>
    </row>
    <row r="791" spans="1:20" x14ac:dyDescent="0.3">
      <c r="A791" s="14">
        <v>790</v>
      </c>
      <c r="B791" s="14" t="s">
        <v>88</v>
      </c>
      <c r="C791" s="14">
        <v>26</v>
      </c>
      <c r="D791" s="14" t="s">
        <v>473</v>
      </c>
      <c r="E791" s="14" t="s">
        <v>429</v>
      </c>
      <c r="F791" s="14">
        <v>2</v>
      </c>
      <c r="G791" s="15">
        <f>_xlfn.XLOOKUP(C791,[1]products!$A$2:$A$71,[1]products!$D$2:$D$71)</f>
        <v>289</v>
      </c>
      <c r="H791" s="16">
        <v>44985</v>
      </c>
      <c r="I791" s="16" t="str">
        <f t="shared" si="60"/>
        <v>February</v>
      </c>
      <c r="J791" s="16" t="str">
        <f t="shared" si="61"/>
        <v>Tuesday</v>
      </c>
      <c r="K791" s="17">
        <v>0.25241898148148151</v>
      </c>
      <c r="L791" s="16">
        <v>44993</v>
      </c>
      <c r="M791" s="18">
        <f>HOUR(orders!$K791)</f>
        <v>6</v>
      </c>
      <c r="N791" s="16" t="str">
        <f t="shared" si="62"/>
        <v>March</v>
      </c>
      <c r="O791" s="17">
        <v>0.18099537037037036</v>
      </c>
      <c r="P791" s="17" t="str">
        <f>_xlfn.XLOOKUP(B791,[2]customers!$A$2:$A$101,[2]customers!$C$2:$C$101)</f>
        <v>Guna</v>
      </c>
      <c r="Q791" s="14" t="s">
        <v>236</v>
      </c>
      <c r="R791" s="14" t="s">
        <v>36</v>
      </c>
      <c r="S791" s="15">
        <f t="shared" si="63"/>
        <v>578</v>
      </c>
      <c r="T791" s="19">
        <f t="shared" si="64"/>
        <v>8</v>
      </c>
    </row>
    <row r="792" spans="1:20" x14ac:dyDescent="0.3">
      <c r="A792" s="20">
        <v>791</v>
      </c>
      <c r="B792" s="20" t="s">
        <v>249</v>
      </c>
      <c r="C792" s="20">
        <v>51</v>
      </c>
      <c r="D792" s="20" t="s">
        <v>469</v>
      </c>
      <c r="E792" s="20" t="s">
        <v>445</v>
      </c>
      <c r="F792" s="20">
        <v>2</v>
      </c>
      <c r="G792" s="21">
        <f>_xlfn.XLOOKUP(C792,[1]products!$A$2:$A$71,[1]products!$D$2:$D$71)</f>
        <v>1084</v>
      </c>
      <c r="H792" s="22">
        <v>45052</v>
      </c>
      <c r="I792" s="22" t="str">
        <f t="shared" si="60"/>
        <v>May</v>
      </c>
      <c r="J792" s="22" t="str">
        <f t="shared" si="61"/>
        <v>Saturday</v>
      </c>
      <c r="K792" s="23">
        <v>0.1040625</v>
      </c>
      <c r="L792" s="22">
        <v>45055</v>
      </c>
      <c r="M792" s="24">
        <f>HOUR(orders!$K792)</f>
        <v>2</v>
      </c>
      <c r="N792" s="22" t="str">
        <f t="shared" si="62"/>
        <v>May</v>
      </c>
      <c r="O792" s="23">
        <v>0.28736111111111112</v>
      </c>
      <c r="P792" s="23" t="str">
        <f>_xlfn.XLOOKUP(B792,[2]customers!$A$2:$A$101,[2]customers!$C$2:$C$101)</f>
        <v>Tumkur</v>
      </c>
      <c r="Q792" s="20" t="s">
        <v>366</v>
      </c>
      <c r="R792" s="20" t="s">
        <v>60</v>
      </c>
      <c r="S792" s="21">
        <f t="shared" si="63"/>
        <v>2168</v>
      </c>
      <c r="T792" s="25">
        <f t="shared" si="64"/>
        <v>3</v>
      </c>
    </row>
    <row r="793" spans="1:20" x14ac:dyDescent="0.3">
      <c r="A793" s="14">
        <v>792</v>
      </c>
      <c r="B793" s="14" t="s">
        <v>121</v>
      </c>
      <c r="C793" s="14">
        <v>43</v>
      </c>
      <c r="D793" s="14" t="s">
        <v>434</v>
      </c>
      <c r="E793" s="14" t="s">
        <v>26</v>
      </c>
      <c r="F793" s="14">
        <v>2</v>
      </c>
      <c r="G793" s="15">
        <f>_xlfn.XLOOKUP(C793,[1]products!$A$2:$A$71,[1]products!$D$2:$D$71)</f>
        <v>750</v>
      </c>
      <c r="H793" s="16">
        <v>45239</v>
      </c>
      <c r="I793" s="16" t="str">
        <f t="shared" si="60"/>
        <v>November</v>
      </c>
      <c r="J793" s="16" t="str">
        <f t="shared" si="61"/>
        <v>Thursday</v>
      </c>
      <c r="K793" s="17">
        <v>0.29231481481481481</v>
      </c>
      <c r="L793" s="16">
        <v>45240</v>
      </c>
      <c r="M793" s="18">
        <f>HOUR(orders!$K793)</f>
        <v>7</v>
      </c>
      <c r="N793" s="16" t="str">
        <f t="shared" si="62"/>
        <v>November</v>
      </c>
      <c r="O793" s="17">
        <v>0.21819444444444444</v>
      </c>
      <c r="P793" s="17" t="str">
        <f>_xlfn.XLOOKUP(B793,[2]customers!$A$2:$A$101,[2]customers!$C$2:$C$101)</f>
        <v>Kolkata</v>
      </c>
      <c r="Q793" s="14" t="s">
        <v>120</v>
      </c>
      <c r="R793" s="14" t="s">
        <v>15</v>
      </c>
      <c r="S793" s="15">
        <f t="shared" si="63"/>
        <v>1500</v>
      </c>
      <c r="T793" s="19">
        <f t="shared" si="64"/>
        <v>1</v>
      </c>
    </row>
    <row r="794" spans="1:20" x14ac:dyDescent="0.3">
      <c r="A794" s="20">
        <v>793</v>
      </c>
      <c r="B794" s="20" t="s">
        <v>109</v>
      </c>
      <c r="C794" s="20">
        <v>58</v>
      </c>
      <c r="D794" s="20" t="s">
        <v>430</v>
      </c>
      <c r="E794" s="20" t="s">
        <v>431</v>
      </c>
      <c r="F794" s="20">
        <v>5</v>
      </c>
      <c r="G794" s="21">
        <f>_xlfn.XLOOKUP(C794,[1]products!$A$2:$A$71,[1]products!$D$2:$D$71)</f>
        <v>1492</v>
      </c>
      <c r="H794" s="22">
        <v>44962</v>
      </c>
      <c r="I794" s="22" t="str">
        <f t="shared" si="60"/>
        <v>February</v>
      </c>
      <c r="J794" s="22" t="str">
        <f t="shared" si="61"/>
        <v>Sunday</v>
      </c>
      <c r="K794" s="23">
        <v>0.73421296296296301</v>
      </c>
      <c r="L794" s="22">
        <v>44972</v>
      </c>
      <c r="M794" s="24">
        <f>HOUR(orders!$K794)</f>
        <v>17</v>
      </c>
      <c r="N794" s="22" t="str">
        <f t="shared" si="62"/>
        <v>February</v>
      </c>
      <c r="O794" s="23">
        <v>6.1307870370370367E-2</v>
      </c>
      <c r="P794" s="23" t="str">
        <f>_xlfn.XLOOKUP(B794,[2]customers!$A$2:$A$101,[2]customers!$C$2:$C$101)</f>
        <v>Warangal</v>
      </c>
      <c r="Q794" s="20" t="s">
        <v>355</v>
      </c>
      <c r="R794" s="20" t="s">
        <v>23</v>
      </c>
      <c r="S794" s="21">
        <f t="shared" si="63"/>
        <v>7460</v>
      </c>
      <c r="T794" s="25">
        <f t="shared" si="64"/>
        <v>10</v>
      </c>
    </row>
    <row r="795" spans="1:20" x14ac:dyDescent="0.3">
      <c r="A795" s="14">
        <v>794</v>
      </c>
      <c r="B795" s="14" t="s">
        <v>275</v>
      </c>
      <c r="C795" s="14">
        <v>13</v>
      </c>
      <c r="D795" s="14" t="s">
        <v>495</v>
      </c>
      <c r="E795" s="14" t="s">
        <v>458</v>
      </c>
      <c r="F795" s="14">
        <v>4</v>
      </c>
      <c r="G795" s="15">
        <f>_xlfn.XLOOKUP(C795,[1]products!$A$2:$A$71,[1]products!$D$2:$D$71)</f>
        <v>1141</v>
      </c>
      <c r="H795" s="16">
        <v>44989</v>
      </c>
      <c r="I795" s="16" t="str">
        <f t="shared" si="60"/>
        <v>March</v>
      </c>
      <c r="J795" s="16" t="str">
        <f t="shared" si="61"/>
        <v>Saturday</v>
      </c>
      <c r="K795" s="17">
        <v>0.7166435185185186</v>
      </c>
      <c r="L795" s="16">
        <v>44994</v>
      </c>
      <c r="M795" s="18">
        <f>HOUR(orders!$K795)</f>
        <v>17</v>
      </c>
      <c r="N795" s="16" t="str">
        <f t="shared" si="62"/>
        <v>March</v>
      </c>
      <c r="O795" s="17">
        <v>0.61881944444444448</v>
      </c>
      <c r="P795" s="17" t="str">
        <f>_xlfn.XLOOKUP(B795,[2]customers!$A$2:$A$101,[2]customers!$C$2:$C$101)</f>
        <v>Bhilai</v>
      </c>
      <c r="Q795" s="14" t="s">
        <v>332</v>
      </c>
      <c r="R795" s="14" t="s">
        <v>36</v>
      </c>
      <c r="S795" s="15">
        <f t="shared" si="63"/>
        <v>4564</v>
      </c>
      <c r="T795" s="19">
        <f t="shared" si="64"/>
        <v>5</v>
      </c>
    </row>
    <row r="796" spans="1:20" x14ac:dyDescent="0.3">
      <c r="A796" s="20">
        <v>795</v>
      </c>
      <c r="B796" s="20" t="s">
        <v>194</v>
      </c>
      <c r="C796" s="20">
        <v>7</v>
      </c>
      <c r="D796" s="20" t="s">
        <v>453</v>
      </c>
      <c r="E796" s="20" t="s">
        <v>445</v>
      </c>
      <c r="F796" s="20">
        <v>1</v>
      </c>
      <c r="G796" s="21">
        <f>_xlfn.XLOOKUP(C796,[1]products!$A$2:$A$71,[1]products!$D$2:$D$71)</f>
        <v>409</v>
      </c>
      <c r="H796" s="22">
        <v>44988</v>
      </c>
      <c r="I796" s="22" t="str">
        <f t="shared" si="60"/>
        <v>March</v>
      </c>
      <c r="J796" s="22" t="str">
        <f t="shared" si="61"/>
        <v>Friday</v>
      </c>
      <c r="K796" s="23">
        <v>0.74902777777777774</v>
      </c>
      <c r="L796" s="22">
        <v>44992</v>
      </c>
      <c r="M796" s="24">
        <f>HOUR(orders!$K796)</f>
        <v>17</v>
      </c>
      <c r="N796" s="22" t="str">
        <f t="shared" si="62"/>
        <v>March</v>
      </c>
      <c r="O796" s="23">
        <v>0.9290046296296296</v>
      </c>
      <c r="P796" s="23" t="str">
        <f>_xlfn.XLOOKUP(B796,[2]customers!$A$2:$A$101,[2]customers!$C$2:$C$101)</f>
        <v>Bhatpara</v>
      </c>
      <c r="Q796" s="20" t="s">
        <v>225</v>
      </c>
      <c r="R796" s="20" t="s">
        <v>36</v>
      </c>
      <c r="S796" s="21">
        <f t="shared" si="63"/>
        <v>409</v>
      </c>
      <c r="T796" s="25">
        <f t="shared" si="64"/>
        <v>4</v>
      </c>
    </row>
    <row r="797" spans="1:20" x14ac:dyDescent="0.3">
      <c r="A797" s="14">
        <v>796</v>
      </c>
      <c r="B797" s="14" t="s">
        <v>339</v>
      </c>
      <c r="C797" s="14">
        <v>61</v>
      </c>
      <c r="D797" s="14" t="s">
        <v>464</v>
      </c>
      <c r="E797" s="14" t="s">
        <v>447</v>
      </c>
      <c r="F797" s="14">
        <v>4</v>
      </c>
      <c r="G797" s="15">
        <f>_xlfn.XLOOKUP(C797,[1]products!$A$2:$A$71,[1]products!$D$2:$D$71)</f>
        <v>810</v>
      </c>
      <c r="H797" s="16">
        <v>45051</v>
      </c>
      <c r="I797" s="16" t="str">
        <f t="shared" si="60"/>
        <v>May</v>
      </c>
      <c r="J797" s="16" t="str">
        <f t="shared" si="61"/>
        <v>Friday</v>
      </c>
      <c r="K797" s="17">
        <v>0.32877314814814812</v>
      </c>
      <c r="L797" s="16">
        <v>45060</v>
      </c>
      <c r="M797" s="18">
        <f>HOUR(orders!$K797)</f>
        <v>7</v>
      </c>
      <c r="N797" s="16" t="str">
        <f t="shared" si="62"/>
        <v>May</v>
      </c>
      <c r="O797" s="17">
        <v>0.33917824074074071</v>
      </c>
      <c r="P797" s="17" t="str">
        <f>_xlfn.XLOOKUP(B797,[2]customers!$A$2:$A$101,[2]customers!$C$2:$C$101)</f>
        <v>Bulandshahr</v>
      </c>
      <c r="Q797" s="14" t="s">
        <v>22</v>
      </c>
      <c r="R797" s="14" t="s">
        <v>12</v>
      </c>
      <c r="S797" s="15">
        <f t="shared" si="63"/>
        <v>3240</v>
      </c>
      <c r="T797" s="19">
        <f t="shared" si="64"/>
        <v>9</v>
      </c>
    </row>
    <row r="798" spans="1:20" x14ac:dyDescent="0.3">
      <c r="A798" s="20">
        <v>797</v>
      </c>
      <c r="B798" s="20" t="s">
        <v>72</v>
      </c>
      <c r="C798" s="20">
        <v>13</v>
      </c>
      <c r="D798" s="20" t="s">
        <v>495</v>
      </c>
      <c r="E798" s="20" t="s">
        <v>458</v>
      </c>
      <c r="F798" s="20">
        <v>2</v>
      </c>
      <c r="G798" s="21">
        <f>_xlfn.XLOOKUP(C798,[1]products!$A$2:$A$71,[1]products!$D$2:$D$71)</f>
        <v>1141</v>
      </c>
      <c r="H798" s="22">
        <v>44988</v>
      </c>
      <c r="I798" s="22" t="str">
        <f t="shared" si="60"/>
        <v>March</v>
      </c>
      <c r="J798" s="22" t="str">
        <f t="shared" si="61"/>
        <v>Friday</v>
      </c>
      <c r="K798" s="23">
        <v>0.87349537037037039</v>
      </c>
      <c r="L798" s="22">
        <v>44995</v>
      </c>
      <c r="M798" s="24">
        <f>HOUR(orders!$K798)</f>
        <v>20</v>
      </c>
      <c r="N798" s="22" t="str">
        <f t="shared" si="62"/>
        <v>March</v>
      </c>
      <c r="O798" s="23">
        <v>0.18684027777777779</v>
      </c>
      <c r="P798" s="23" t="str">
        <f>_xlfn.XLOOKUP(B798,[2]customers!$A$2:$A$101,[2]customers!$C$2:$C$101)</f>
        <v>Jorhat</v>
      </c>
      <c r="Q798" s="20" t="s">
        <v>229</v>
      </c>
      <c r="R798" s="20" t="s">
        <v>36</v>
      </c>
      <c r="S798" s="21">
        <f t="shared" si="63"/>
        <v>2282</v>
      </c>
      <c r="T798" s="25">
        <f t="shared" si="64"/>
        <v>7</v>
      </c>
    </row>
    <row r="799" spans="1:20" x14ac:dyDescent="0.3">
      <c r="A799" s="14">
        <v>798</v>
      </c>
      <c r="B799" s="14" t="s">
        <v>260</v>
      </c>
      <c r="C799" s="14">
        <v>30</v>
      </c>
      <c r="D799" s="14" t="s">
        <v>449</v>
      </c>
      <c r="E799" s="14" t="s">
        <v>429</v>
      </c>
      <c r="F799" s="14">
        <v>5</v>
      </c>
      <c r="G799" s="15">
        <f>_xlfn.XLOOKUP(C799,[1]products!$A$2:$A$71,[1]products!$D$2:$D$71)</f>
        <v>751</v>
      </c>
      <c r="H799" s="16">
        <v>45277</v>
      </c>
      <c r="I799" s="16" t="str">
        <f t="shared" si="60"/>
        <v>December</v>
      </c>
      <c r="J799" s="16" t="str">
        <f t="shared" si="61"/>
        <v>Sunday</v>
      </c>
      <c r="K799" s="17">
        <v>0.73284722222222232</v>
      </c>
      <c r="L799" s="16">
        <v>45286</v>
      </c>
      <c r="M799" s="18">
        <f>HOUR(orders!$K799)</f>
        <v>17</v>
      </c>
      <c r="N799" s="16" t="str">
        <f t="shared" si="62"/>
        <v>December</v>
      </c>
      <c r="O799" s="17">
        <v>7.7881944444444448E-2</v>
      </c>
      <c r="P799" s="17" t="str">
        <f>_xlfn.XLOOKUP(B799,[2]customers!$A$2:$A$101,[2]customers!$C$2:$C$101)</f>
        <v>Vellore</v>
      </c>
      <c r="Q799" s="14" t="s">
        <v>408</v>
      </c>
      <c r="R799" s="14" t="s">
        <v>12</v>
      </c>
      <c r="S799" s="15">
        <f t="shared" si="63"/>
        <v>3755</v>
      </c>
      <c r="T799" s="19">
        <f t="shared" si="64"/>
        <v>9</v>
      </c>
    </row>
    <row r="800" spans="1:20" x14ac:dyDescent="0.3">
      <c r="A800" s="20">
        <v>799</v>
      </c>
      <c r="B800" s="20" t="s">
        <v>215</v>
      </c>
      <c r="C800" s="20">
        <v>32</v>
      </c>
      <c r="D800" s="20" t="s">
        <v>444</v>
      </c>
      <c r="E800" s="20" t="s">
        <v>445</v>
      </c>
      <c r="F800" s="20">
        <v>5</v>
      </c>
      <c r="G800" s="21">
        <f>_xlfn.XLOOKUP(C800,[1]products!$A$2:$A$71,[1]products!$D$2:$D$71)</f>
        <v>1792</v>
      </c>
      <c r="H800" s="22">
        <v>45221</v>
      </c>
      <c r="I800" s="22" t="str">
        <f t="shared" si="60"/>
        <v>October</v>
      </c>
      <c r="J800" s="22" t="str">
        <f t="shared" si="61"/>
        <v>Sunday</v>
      </c>
      <c r="K800" s="23">
        <v>7.6493055555555564E-2</v>
      </c>
      <c r="L800" s="22">
        <v>45231</v>
      </c>
      <c r="M800" s="24">
        <f>HOUR(orders!$K800)</f>
        <v>1</v>
      </c>
      <c r="N800" s="22" t="str">
        <f t="shared" si="62"/>
        <v>November</v>
      </c>
      <c r="O800" s="23">
        <v>0.84891203703703699</v>
      </c>
      <c r="P800" s="23" t="str">
        <f>_xlfn.XLOOKUP(B800,[2]customers!$A$2:$A$101,[2]customers!$C$2:$C$101)</f>
        <v>Tiruchirappalli</v>
      </c>
      <c r="Q800" s="20" t="s">
        <v>300</v>
      </c>
      <c r="R800" s="20" t="s">
        <v>20</v>
      </c>
      <c r="S800" s="21">
        <f t="shared" si="63"/>
        <v>8960</v>
      </c>
      <c r="T800" s="25">
        <f t="shared" si="64"/>
        <v>10</v>
      </c>
    </row>
    <row r="801" spans="1:20" x14ac:dyDescent="0.3">
      <c r="A801" s="14">
        <v>800</v>
      </c>
      <c r="B801" s="14" t="s">
        <v>99</v>
      </c>
      <c r="C801" s="14">
        <v>24</v>
      </c>
      <c r="D801" s="14" t="s">
        <v>485</v>
      </c>
      <c r="E801" s="14" t="s">
        <v>458</v>
      </c>
      <c r="F801" s="14">
        <v>5</v>
      </c>
      <c r="G801" s="15">
        <f>_xlfn.XLOOKUP(C801,[1]products!$A$2:$A$71,[1]products!$D$2:$D$71)</f>
        <v>535</v>
      </c>
      <c r="H801" s="16">
        <v>45094</v>
      </c>
      <c r="I801" s="16" t="str">
        <f t="shared" si="60"/>
        <v>June</v>
      </c>
      <c r="J801" s="16" t="str">
        <f t="shared" si="61"/>
        <v>Saturday</v>
      </c>
      <c r="K801" s="17">
        <v>0.90997685185185195</v>
      </c>
      <c r="L801" s="16">
        <v>45098</v>
      </c>
      <c r="M801" s="18">
        <f>HOUR(orders!$K801)</f>
        <v>21</v>
      </c>
      <c r="N801" s="16" t="str">
        <f t="shared" si="62"/>
        <v>June</v>
      </c>
      <c r="O801" s="17">
        <v>0.30068287037037039</v>
      </c>
      <c r="P801" s="17" t="str">
        <f>_xlfn.XLOOKUP(B801,[2]customers!$A$2:$A$101,[2]customers!$C$2:$C$101)</f>
        <v>Panvel</v>
      </c>
      <c r="Q801" s="14" t="s">
        <v>406</v>
      </c>
      <c r="R801" s="14" t="s">
        <v>20</v>
      </c>
      <c r="S801" s="15">
        <f t="shared" si="63"/>
        <v>2675</v>
      </c>
      <c r="T801" s="19">
        <f t="shared" si="64"/>
        <v>4</v>
      </c>
    </row>
    <row r="802" spans="1:20" x14ac:dyDescent="0.3">
      <c r="A802" s="20">
        <v>801</v>
      </c>
      <c r="B802" s="20" t="s">
        <v>116</v>
      </c>
      <c r="C802" s="20">
        <v>35</v>
      </c>
      <c r="D802" s="20" t="s">
        <v>462</v>
      </c>
      <c r="E802" s="20" t="s">
        <v>429</v>
      </c>
      <c r="F802" s="20">
        <v>1</v>
      </c>
      <c r="G802" s="21">
        <f>_xlfn.XLOOKUP(C802,[1]products!$A$2:$A$71,[1]products!$D$2:$D$71)</f>
        <v>1865</v>
      </c>
      <c r="H802" s="22">
        <v>44992</v>
      </c>
      <c r="I802" s="22" t="str">
        <f t="shared" si="60"/>
        <v>March</v>
      </c>
      <c r="J802" s="22" t="str">
        <f t="shared" si="61"/>
        <v>Tuesday</v>
      </c>
      <c r="K802" s="23">
        <v>0.80263888888888879</v>
      </c>
      <c r="L802" s="22">
        <v>45000</v>
      </c>
      <c r="M802" s="24">
        <f>HOUR(orders!$K802)</f>
        <v>19</v>
      </c>
      <c r="N802" s="22" t="str">
        <f t="shared" si="62"/>
        <v>March</v>
      </c>
      <c r="O802" s="23">
        <v>0.27444444444444444</v>
      </c>
      <c r="P802" s="23" t="str">
        <f>_xlfn.XLOOKUP(B802,[2]customers!$A$2:$A$101,[2]customers!$C$2:$C$101)</f>
        <v>Guntakal</v>
      </c>
      <c r="Q802" s="20" t="s">
        <v>409</v>
      </c>
      <c r="R802" s="20" t="s">
        <v>36</v>
      </c>
      <c r="S802" s="21">
        <f t="shared" si="63"/>
        <v>1865</v>
      </c>
      <c r="T802" s="25">
        <f t="shared" si="64"/>
        <v>8</v>
      </c>
    </row>
    <row r="803" spans="1:20" x14ac:dyDescent="0.3">
      <c r="A803" s="14">
        <v>802</v>
      </c>
      <c r="B803" s="14" t="s">
        <v>29</v>
      </c>
      <c r="C803" s="14">
        <v>45</v>
      </c>
      <c r="D803" s="14" t="s">
        <v>433</v>
      </c>
      <c r="E803" s="14" t="s">
        <v>26</v>
      </c>
      <c r="F803" s="14">
        <v>3</v>
      </c>
      <c r="G803" s="15">
        <f>_xlfn.XLOOKUP(C803,[1]products!$A$2:$A$71,[1]products!$D$2:$D$71)</f>
        <v>722</v>
      </c>
      <c r="H803" s="16">
        <v>45008</v>
      </c>
      <c r="I803" s="16" t="str">
        <f t="shared" si="60"/>
        <v>March</v>
      </c>
      <c r="J803" s="16" t="str">
        <f t="shared" si="61"/>
        <v>Thursday</v>
      </c>
      <c r="K803" s="17">
        <v>0.52596064814814814</v>
      </c>
      <c r="L803" s="16">
        <v>45011</v>
      </c>
      <c r="M803" s="18">
        <f>HOUR(orders!$K803)</f>
        <v>12</v>
      </c>
      <c r="N803" s="16" t="str">
        <f t="shared" si="62"/>
        <v>March</v>
      </c>
      <c r="O803" s="17">
        <v>0.26319444444444445</v>
      </c>
      <c r="P803" s="17" t="str">
        <f>_xlfn.XLOOKUP(B803,[2]customers!$A$2:$A$101,[2]customers!$C$2:$C$101)</f>
        <v>Sri Ganganagar</v>
      </c>
      <c r="Q803" s="14" t="s">
        <v>361</v>
      </c>
      <c r="R803" s="14" t="s">
        <v>20</v>
      </c>
      <c r="S803" s="15">
        <f t="shared" si="63"/>
        <v>2166</v>
      </c>
      <c r="T803" s="19">
        <f t="shared" si="64"/>
        <v>3</v>
      </c>
    </row>
    <row r="804" spans="1:20" x14ac:dyDescent="0.3">
      <c r="A804" s="20">
        <v>803</v>
      </c>
      <c r="B804" s="20" t="s">
        <v>24</v>
      </c>
      <c r="C804" s="20">
        <v>26</v>
      </c>
      <c r="D804" s="20" t="s">
        <v>473</v>
      </c>
      <c r="E804" s="20" t="s">
        <v>429</v>
      </c>
      <c r="F804" s="20">
        <v>1</v>
      </c>
      <c r="G804" s="21">
        <f>_xlfn.XLOOKUP(C804,[1]products!$A$2:$A$71,[1]products!$D$2:$D$71)</f>
        <v>289</v>
      </c>
      <c r="H804" s="22">
        <v>44988</v>
      </c>
      <c r="I804" s="22" t="str">
        <f t="shared" si="60"/>
        <v>March</v>
      </c>
      <c r="J804" s="22" t="str">
        <f t="shared" si="61"/>
        <v>Friday</v>
      </c>
      <c r="K804" s="23">
        <v>0.50263888888888886</v>
      </c>
      <c r="L804" s="22">
        <v>44995</v>
      </c>
      <c r="M804" s="24">
        <f>HOUR(orders!$K804)</f>
        <v>12</v>
      </c>
      <c r="N804" s="22" t="str">
        <f t="shared" si="62"/>
        <v>March</v>
      </c>
      <c r="O804" s="23">
        <v>0.11811342592592593</v>
      </c>
      <c r="P804" s="23" t="str">
        <f>_xlfn.XLOOKUP(B804,[2]customers!$A$2:$A$101,[2]customers!$C$2:$C$101)</f>
        <v>Pallavaram</v>
      </c>
      <c r="Q804" s="20" t="s">
        <v>89</v>
      </c>
      <c r="R804" s="20" t="s">
        <v>36</v>
      </c>
      <c r="S804" s="21">
        <f t="shared" si="63"/>
        <v>289</v>
      </c>
      <c r="T804" s="25">
        <f t="shared" si="64"/>
        <v>7</v>
      </c>
    </row>
    <row r="805" spans="1:20" x14ac:dyDescent="0.3">
      <c r="A805" s="14">
        <v>804</v>
      </c>
      <c r="B805" s="14" t="s">
        <v>27</v>
      </c>
      <c r="C805" s="14">
        <v>3</v>
      </c>
      <c r="D805" s="14" t="s">
        <v>483</v>
      </c>
      <c r="E805" s="14" t="s">
        <v>429</v>
      </c>
      <c r="F805" s="14">
        <v>3</v>
      </c>
      <c r="G805" s="15">
        <f>_xlfn.XLOOKUP(C805,[1]products!$A$2:$A$71,[1]products!$D$2:$D$71)</f>
        <v>1534</v>
      </c>
      <c r="H805" s="16">
        <v>44962</v>
      </c>
      <c r="I805" s="16" t="str">
        <f t="shared" si="60"/>
        <v>February</v>
      </c>
      <c r="J805" s="16" t="str">
        <f t="shared" si="61"/>
        <v>Sunday</v>
      </c>
      <c r="K805" s="17">
        <v>0.23423611111111109</v>
      </c>
      <c r="L805" s="16">
        <v>44964</v>
      </c>
      <c r="M805" s="18">
        <f>HOUR(orders!$K805)</f>
        <v>5</v>
      </c>
      <c r="N805" s="16" t="str">
        <f t="shared" si="62"/>
        <v>February</v>
      </c>
      <c r="O805" s="17">
        <v>8.2037037037037033E-2</v>
      </c>
      <c r="P805" s="17" t="str">
        <f>_xlfn.XLOOKUP(B805,[2]customers!$A$2:$A$101,[2]customers!$C$2:$C$101)</f>
        <v>Madurai</v>
      </c>
      <c r="Q805" s="14" t="s">
        <v>231</v>
      </c>
      <c r="R805" s="14" t="s">
        <v>23</v>
      </c>
      <c r="S805" s="15">
        <f t="shared" si="63"/>
        <v>4602</v>
      </c>
      <c r="T805" s="19">
        <f t="shared" si="64"/>
        <v>2</v>
      </c>
    </row>
    <row r="806" spans="1:20" x14ac:dyDescent="0.3">
      <c r="A806" s="20">
        <v>805</v>
      </c>
      <c r="B806" s="20" t="s">
        <v>134</v>
      </c>
      <c r="C806" s="20">
        <v>24</v>
      </c>
      <c r="D806" s="20" t="s">
        <v>485</v>
      </c>
      <c r="E806" s="20" t="s">
        <v>458</v>
      </c>
      <c r="F806" s="20">
        <v>3</v>
      </c>
      <c r="G806" s="21">
        <f>_xlfn.XLOOKUP(C806,[1]products!$A$2:$A$71,[1]products!$D$2:$D$71)</f>
        <v>535</v>
      </c>
      <c r="H806" s="22">
        <v>45088</v>
      </c>
      <c r="I806" s="22" t="str">
        <f t="shared" si="60"/>
        <v>June</v>
      </c>
      <c r="J806" s="22" t="str">
        <f t="shared" si="61"/>
        <v>Sunday</v>
      </c>
      <c r="K806" s="23">
        <v>0.61050925925925925</v>
      </c>
      <c r="L806" s="22">
        <v>45091</v>
      </c>
      <c r="M806" s="24">
        <f>HOUR(orders!$K806)</f>
        <v>14</v>
      </c>
      <c r="N806" s="22" t="str">
        <f t="shared" si="62"/>
        <v>June</v>
      </c>
      <c r="O806" s="23">
        <v>0.7550810185185185</v>
      </c>
      <c r="P806" s="23" t="str">
        <f>_xlfn.XLOOKUP(B806,[2]customers!$A$2:$A$101,[2]customers!$C$2:$C$101)</f>
        <v>Noida</v>
      </c>
      <c r="Q806" s="20" t="s">
        <v>250</v>
      </c>
      <c r="R806" s="20" t="s">
        <v>20</v>
      </c>
      <c r="S806" s="21">
        <f t="shared" si="63"/>
        <v>1605</v>
      </c>
      <c r="T806" s="25">
        <f t="shared" si="64"/>
        <v>3</v>
      </c>
    </row>
    <row r="807" spans="1:20" x14ac:dyDescent="0.3">
      <c r="A807" s="14">
        <v>806</v>
      </c>
      <c r="B807" s="14" t="s">
        <v>66</v>
      </c>
      <c r="C807" s="14">
        <v>29</v>
      </c>
      <c r="D807" s="14" t="s">
        <v>497</v>
      </c>
      <c r="E807" s="14" t="s">
        <v>429</v>
      </c>
      <c r="F807" s="14">
        <v>2</v>
      </c>
      <c r="G807" s="15">
        <f>_xlfn.XLOOKUP(C807,[1]products!$A$2:$A$71,[1]products!$D$2:$D$71)</f>
        <v>1252</v>
      </c>
      <c r="H807" s="16">
        <v>44985</v>
      </c>
      <c r="I807" s="16" t="str">
        <f t="shared" si="60"/>
        <v>February</v>
      </c>
      <c r="J807" s="16" t="str">
        <f t="shared" si="61"/>
        <v>Tuesday</v>
      </c>
      <c r="K807" s="17">
        <v>0.5426157407407407</v>
      </c>
      <c r="L807" s="16">
        <v>44993</v>
      </c>
      <c r="M807" s="18">
        <f>HOUR(orders!$K807)</f>
        <v>13</v>
      </c>
      <c r="N807" s="16" t="str">
        <f t="shared" si="62"/>
        <v>March</v>
      </c>
      <c r="O807" s="17">
        <v>0.27706018518518521</v>
      </c>
      <c r="P807" s="17" t="str">
        <f>_xlfn.XLOOKUP(B807,[2]customers!$A$2:$A$101,[2]customers!$C$2:$C$101)</f>
        <v xml:space="preserve">Khora </v>
      </c>
      <c r="Q807" s="14" t="s">
        <v>177</v>
      </c>
      <c r="R807" s="14" t="s">
        <v>36</v>
      </c>
      <c r="S807" s="15">
        <f t="shared" si="63"/>
        <v>2504</v>
      </c>
      <c r="T807" s="19">
        <f t="shared" si="64"/>
        <v>8</v>
      </c>
    </row>
    <row r="808" spans="1:20" x14ac:dyDescent="0.3">
      <c r="A808" s="20">
        <v>807</v>
      </c>
      <c r="B808" s="20" t="s">
        <v>90</v>
      </c>
      <c r="C808" s="20">
        <v>40</v>
      </c>
      <c r="D808" s="20" t="s">
        <v>477</v>
      </c>
      <c r="E808" s="20" t="s">
        <v>427</v>
      </c>
      <c r="F808" s="20">
        <v>4</v>
      </c>
      <c r="G808" s="21">
        <f>_xlfn.XLOOKUP(C808,[1]products!$A$2:$A$71,[1]products!$D$2:$D$71)</f>
        <v>1923</v>
      </c>
      <c r="H808" s="22">
        <v>45259</v>
      </c>
      <c r="I808" s="22" t="str">
        <f t="shared" si="60"/>
        <v>November</v>
      </c>
      <c r="J808" s="22" t="str">
        <f t="shared" si="61"/>
        <v>Wednesday</v>
      </c>
      <c r="K808" s="23">
        <v>0.68077546296296287</v>
      </c>
      <c r="L808" s="22">
        <v>45269</v>
      </c>
      <c r="M808" s="24">
        <f>HOUR(orders!$K808)</f>
        <v>16</v>
      </c>
      <c r="N808" s="22" t="str">
        <f t="shared" si="62"/>
        <v>December</v>
      </c>
      <c r="O808" s="23">
        <v>0.13190972222222222</v>
      </c>
      <c r="P808" s="23" t="str">
        <f>_xlfn.XLOOKUP(B808,[2]customers!$A$2:$A$101,[2]customers!$C$2:$C$101)</f>
        <v>Karimnagar</v>
      </c>
      <c r="Q808" s="20" t="s">
        <v>394</v>
      </c>
      <c r="R808" s="20" t="s">
        <v>12</v>
      </c>
      <c r="S808" s="21">
        <f t="shared" si="63"/>
        <v>7692</v>
      </c>
      <c r="T808" s="25">
        <f t="shared" si="64"/>
        <v>10</v>
      </c>
    </row>
    <row r="809" spans="1:20" x14ac:dyDescent="0.3">
      <c r="A809" s="14">
        <v>808</v>
      </c>
      <c r="B809" s="14" t="s">
        <v>339</v>
      </c>
      <c r="C809" s="14">
        <v>9</v>
      </c>
      <c r="D809" s="14" t="s">
        <v>451</v>
      </c>
      <c r="E809" s="14" t="s">
        <v>429</v>
      </c>
      <c r="F809" s="14">
        <v>2</v>
      </c>
      <c r="G809" s="15">
        <f>_xlfn.XLOOKUP(C809,[1]products!$A$2:$A$71,[1]products!$D$2:$D$71)</f>
        <v>1605</v>
      </c>
      <c r="H809" s="16">
        <v>45167</v>
      </c>
      <c r="I809" s="16" t="str">
        <f t="shared" si="60"/>
        <v>August</v>
      </c>
      <c r="J809" s="16" t="str">
        <f t="shared" si="61"/>
        <v>Tuesday</v>
      </c>
      <c r="K809" s="17">
        <v>0.65045138888888887</v>
      </c>
      <c r="L809" s="16">
        <v>45168</v>
      </c>
      <c r="M809" s="18">
        <f>HOUR(orders!$K809)</f>
        <v>15</v>
      </c>
      <c r="N809" s="16" t="str">
        <f t="shared" si="62"/>
        <v>August</v>
      </c>
      <c r="O809" s="17">
        <v>0.42454861111111114</v>
      </c>
      <c r="P809" s="17" t="str">
        <f>_xlfn.XLOOKUP(B809,[2]customers!$A$2:$A$101,[2]customers!$C$2:$C$101)</f>
        <v>Bulandshahr</v>
      </c>
      <c r="Q809" s="14" t="s">
        <v>240</v>
      </c>
      <c r="R809" s="14" t="s">
        <v>26</v>
      </c>
      <c r="S809" s="15">
        <f t="shared" si="63"/>
        <v>3210</v>
      </c>
      <c r="T809" s="19">
        <f t="shared" si="64"/>
        <v>1</v>
      </c>
    </row>
    <row r="810" spans="1:20" x14ac:dyDescent="0.3">
      <c r="A810" s="20">
        <v>809</v>
      </c>
      <c r="B810" s="20" t="s">
        <v>136</v>
      </c>
      <c r="C810" s="20">
        <v>35</v>
      </c>
      <c r="D810" s="20" t="s">
        <v>462</v>
      </c>
      <c r="E810" s="20" t="s">
        <v>429</v>
      </c>
      <c r="F810" s="20">
        <v>1</v>
      </c>
      <c r="G810" s="21">
        <f>_xlfn.XLOOKUP(C810,[1]products!$A$2:$A$71,[1]products!$D$2:$D$71)</f>
        <v>1865</v>
      </c>
      <c r="H810" s="22">
        <v>44992</v>
      </c>
      <c r="I810" s="22" t="str">
        <f t="shared" si="60"/>
        <v>March</v>
      </c>
      <c r="J810" s="22" t="str">
        <f t="shared" si="61"/>
        <v>Tuesday</v>
      </c>
      <c r="K810" s="23">
        <v>0.82693287037037033</v>
      </c>
      <c r="L810" s="22">
        <v>45002</v>
      </c>
      <c r="M810" s="24">
        <f>HOUR(orders!$K810)</f>
        <v>19</v>
      </c>
      <c r="N810" s="22" t="str">
        <f t="shared" si="62"/>
        <v>March</v>
      </c>
      <c r="O810" s="23">
        <v>7.7476851851851852E-2</v>
      </c>
      <c r="P810" s="23" t="str">
        <f>_xlfn.XLOOKUP(B810,[2]customers!$A$2:$A$101,[2]customers!$C$2:$C$101)</f>
        <v>Nagpur</v>
      </c>
      <c r="Q810" s="20" t="s">
        <v>57</v>
      </c>
      <c r="R810" s="20" t="s">
        <v>36</v>
      </c>
      <c r="S810" s="21">
        <f t="shared" si="63"/>
        <v>1865</v>
      </c>
      <c r="T810" s="25">
        <f t="shared" si="64"/>
        <v>10</v>
      </c>
    </row>
    <row r="811" spans="1:20" x14ac:dyDescent="0.3">
      <c r="A811" s="14">
        <v>810</v>
      </c>
      <c r="B811" s="14" t="s">
        <v>93</v>
      </c>
      <c r="C811" s="14">
        <v>24</v>
      </c>
      <c r="D811" s="14" t="s">
        <v>485</v>
      </c>
      <c r="E811" s="14" t="s">
        <v>458</v>
      </c>
      <c r="F811" s="14">
        <v>3</v>
      </c>
      <c r="G811" s="15">
        <f>_xlfn.XLOOKUP(C811,[1]products!$A$2:$A$71,[1]products!$D$2:$D$71)</f>
        <v>535</v>
      </c>
      <c r="H811" s="16">
        <v>45275</v>
      </c>
      <c r="I811" s="16" t="str">
        <f t="shared" si="60"/>
        <v>December</v>
      </c>
      <c r="J811" s="16" t="str">
        <f t="shared" si="61"/>
        <v>Friday</v>
      </c>
      <c r="K811" s="17">
        <v>0.24807870370370369</v>
      </c>
      <c r="L811" s="16">
        <v>45277</v>
      </c>
      <c r="M811" s="18">
        <f>HOUR(orders!$K811)</f>
        <v>5</v>
      </c>
      <c r="N811" s="16" t="str">
        <f t="shared" si="62"/>
        <v>December</v>
      </c>
      <c r="O811" s="17">
        <v>0.50407407407407401</v>
      </c>
      <c r="P811" s="17" t="str">
        <f>_xlfn.XLOOKUP(B811,[2]customers!$A$2:$A$101,[2]customers!$C$2:$C$101)</f>
        <v>Kalyan-Dombivli</v>
      </c>
      <c r="Q811" s="14" t="s">
        <v>77</v>
      </c>
      <c r="R811" s="14" t="s">
        <v>20</v>
      </c>
      <c r="S811" s="15">
        <f t="shared" si="63"/>
        <v>1605</v>
      </c>
      <c r="T811" s="19">
        <f t="shared" si="64"/>
        <v>2</v>
      </c>
    </row>
    <row r="812" spans="1:20" x14ac:dyDescent="0.3">
      <c r="A812" s="20">
        <v>811</v>
      </c>
      <c r="B812" s="20" t="s">
        <v>97</v>
      </c>
      <c r="C812" s="20">
        <v>14</v>
      </c>
      <c r="D812" s="20" t="s">
        <v>428</v>
      </c>
      <c r="E812" s="20" t="s">
        <v>429</v>
      </c>
      <c r="F812" s="20">
        <v>5</v>
      </c>
      <c r="G812" s="21">
        <f>_xlfn.XLOOKUP(C812,[1]products!$A$2:$A$71,[1]products!$D$2:$D$71)</f>
        <v>1915</v>
      </c>
      <c r="H812" s="22">
        <v>45217</v>
      </c>
      <c r="I812" s="22" t="str">
        <f t="shared" si="60"/>
        <v>October</v>
      </c>
      <c r="J812" s="22" t="str">
        <f t="shared" si="61"/>
        <v>Wednesday</v>
      </c>
      <c r="K812" s="23">
        <v>0.50290509259259253</v>
      </c>
      <c r="L812" s="22">
        <v>45224</v>
      </c>
      <c r="M812" s="24">
        <f>HOUR(orders!$K812)</f>
        <v>12</v>
      </c>
      <c r="N812" s="22" t="str">
        <f t="shared" si="62"/>
        <v>October</v>
      </c>
      <c r="O812" s="23">
        <v>0.91379629629629633</v>
      </c>
      <c r="P812" s="23" t="str">
        <f>_xlfn.XLOOKUP(B812,[2]customers!$A$2:$A$101,[2]customers!$C$2:$C$101)</f>
        <v>Machilipatnam</v>
      </c>
      <c r="Q812" s="20" t="s">
        <v>313</v>
      </c>
      <c r="R812" s="20" t="s">
        <v>20</v>
      </c>
      <c r="S812" s="21">
        <f t="shared" si="63"/>
        <v>9575</v>
      </c>
      <c r="T812" s="25">
        <f t="shared" si="64"/>
        <v>7</v>
      </c>
    </row>
    <row r="813" spans="1:20" x14ac:dyDescent="0.3">
      <c r="A813" s="14">
        <v>812</v>
      </c>
      <c r="B813" s="14" t="s">
        <v>116</v>
      </c>
      <c r="C813" s="14">
        <v>40</v>
      </c>
      <c r="D813" s="14" t="s">
        <v>477</v>
      </c>
      <c r="E813" s="14" t="s">
        <v>427</v>
      </c>
      <c r="F813" s="14">
        <v>2</v>
      </c>
      <c r="G813" s="15">
        <f>_xlfn.XLOOKUP(C813,[1]products!$A$2:$A$71,[1]products!$D$2:$D$71)</f>
        <v>1923</v>
      </c>
      <c r="H813" s="16">
        <v>45272</v>
      </c>
      <c r="I813" s="16" t="str">
        <f t="shared" si="60"/>
        <v>December</v>
      </c>
      <c r="J813" s="16" t="str">
        <f t="shared" si="61"/>
        <v>Tuesday</v>
      </c>
      <c r="K813" s="17">
        <v>0.72209490740740734</v>
      </c>
      <c r="L813" s="16">
        <v>45274</v>
      </c>
      <c r="M813" s="18">
        <f>HOUR(orders!$K813)</f>
        <v>17</v>
      </c>
      <c r="N813" s="16" t="str">
        <f t="shared" si="62"/>
        <v>December</v>
      </c>
      <c r="O813" s="17">
        <v>6.1481481481481477E-2</v>
      </c>
      <c r="P813" s="17" t="str">
        <f>_xlfn.XLOOKUP(B813,[2]customers!$A$2:$A$101,[2]customers!$C$2:$C$101)</f>
        <v>Guntakal</v>
      </c>
      <c r="Q813" s="14" t="s">
        <v>329</v>
      </c>
      <c r="R813" s="14" t="s">
        <v>12</v>
      </c>
      <c r="S813" s="15">
        <f t="shared" si="63"/>
        <v>3846</v>
      </c>
      <c r="T813" s="19">
        <f t="shared" si="64"/>
        <v>2</v>
      </c>
    </row>
    <row r="814" spans="1:20" x14ac:dyDescent="0.3">
      <c r="A814" s="20">
        <v>813</v>
      </c>
      <c r="B814" s="20" t="s">
        <v>216</v>
      </c>
      <c r="C814" s="20">
        <v>32</v>
      </c>
      <c r="D814" s="20" t="s">
        <v>444</v>
      </c>
      <c r="E814" s="20" t="s">
        <v>445</v>
      </c>
      <c r="F814" s="20">
        <v>4</v>
      </c>
      <c r="G814" s="21">
        <f>_xlfn.XLOOKUP(C814,[1]products!$A$2:$A$71,[1]products!$D$2:$D$71)</f>
        <v>1792</v>
      </c>
      <c r="H814" s="22">
        <v>44945</v>
      </c>
      <c r="I814" s="22" t="str">
        <f t="shared" si="60"/>
        <v>January</v>
      </c>
      <c r="J814" s="22" t="str">
        <f t="shared" si="61"/>
        <v>Thursday</v>
      </c>
      <c r="K814" s="23">
        <v>0.37063657407407408</v>
      </c>
      <c r="L814" s="22">
        <v>44949</v>
      </c>
      <c r="M814" s="24">
        <f>HOUR(orders!$K814)</f>
        <v>8</v>
      </c>
      <c r="N814" s="22" t="str">
        <f t="shared" si="62"/>
        <v>January</v>
      </c>
      <c r="O814" s="23">
        <v>0.91737268518518522</v>
      </c>
      <c r="P814" s="23" t="str">
        <f>_xlfn.XLOOKUP(B814,[2]customers!$A$2:$A$101,[2]customers!$C$2:$C$101)</f>
        <v>Deoghar</v>
      </c>
      <c r="Q814" s="20" t="s">
        <v>410</v>
      </c>
      <c r="R814" s="20" t="s">
        <v>20</v>
      </c>
      <c r="S814" s="21">
        <f t="shared" si="63"/>
        <v>7168</v>
      </c>
      <c r="T814" s="25">
        <f t="shared" si="64"/>
        <v>4</v>
      </c>
    </row>
    <row r="815" spans="1:20" x14ac:dyDescent="0.3">
      <c r="A815" s="14">
        <v>814</v>
      </c>
      <c r="B815" s="14" t="s">
        <v>216</v>
      </c>
      <c r="C815" s="14">
        <v>47</v>
      </c>
      <c r="D815" s="14" t="s">
        <v>480</v>
      </c>
      <c r="E815" s="14" t="s">
        <v>429</v>
      </c>
      <c r="F815" s="14">
        <v>5</v>
      </c>
      <c r="G815" s="15">
        <f>_xlfn.XLOOKUP(C815,[1]products!$A$2:$A$71,[1]products!$D$2:$D$71)</f>
        <v>1638</v>
      </c>
      <c r="H815" s="16">
        <v>44990</v>
      </c>
      <c r="I815" s="16" t="str">
        <f t="shared" si="60"/>
        <v>March</v>
      </c>
      <c r="J815" s="16" t="str">
        <f t="shared" si="61"/>
        <v>Sunday</v>
      </c>
      <c r="K815" s="17">
        <v>8.2870370370370372E-2</v>
      </c>
      <c r="L815" s="16">
        <v>44999</v>
      </c>
      <c r="M815" s="18">
        <f>HOUR(orders!$K815)</f>
        <v>1</v>
      </c>
      <c r="N815" s="16" t="str">
        <f t="shared" si="62"/>
        <v>March</v>
      </c>
      <c r="O815" s="17">
        <v>0.19532407407407407</v>
      </c>
      <c r="P815" s="17" t="str">
        <f>_xlfn.XLOOKUP(B815,[2]customers!$A$2:$A$101,[2]customers!$C$2:$C$101)</f>
        <v>Deoghar</v>
      </c>
      <c r="Q815" s="14" t="s">
        <v>207</v>
      </c>
      <c r="R815" s="14" t="s">
        <v>36</v>
      </c>
      <c r="S815" s="15">
        <f t="shared" si="63"/>
        <v>8190</v>
      </c>
      <c r="T815" s="19">
        <f t="shared" si="64"/>
        <v>9</v>
      </c>
    </row>
    <row r="816" spans="1:20" x14ac:dyDescent="0.3">
      <c r="A816" s="20">
        <v>815</v>
      </c>
      <c r="B816" s="20" t="s">
        <v>264</v>
      </c>
      <c r="C816" s="20">
        <v>61</v>
      </c>
      <c r="D816" s="20" t="s">
        <v>464</v>
      </c>
      <c r="E816" s="20" t="s">
        <v>447</v>
      </c>
      <c r="F816" s="20">
        <v>3</v>
      </c>
      <c r="G816" s="21">
        <f>_xlfn.XLOOKUP(C816,[1]products!$A$2:$A$71,[1]products!$D$2:$D$71)</f>
        <v>810</v>
      </c>
      <c r="H816" s="22">
        <v>45198</v>
      </c>
      <c r="I816" s="22" t="str">
        <f t="shared" si="60"/>
        <v>September</v>
      </c>
      <c r="J816" s="22" t="str">
        <f t="shared" si="61"/>
        <v>Friday</v>
      </c>
      <c r="K816" s="23">
        <v>0.29737268518518517</v>
      </c>
      <c r="L816" s="22">
        <v>45207</v>
      </c>
      <c r="M816" s="24">
        <f>HOUR(orders!$K816)</f>
        <v>7</v>
      </c>
      <c r="N816" s="22" t="str">
        <f t="shared" si="62"/>
        <v>October</v>
      </c>
      <c r="O816" s="23">
        <v>0.61548611111111107</v>
      </c>
      <c r="P816" s="23" t="str">
        <f>_xlfn.XLOOKUP(B816,[2]customers!$A$2:$A$101,[2]customers!$C$2:$C$101)</f>
        <v>Cuttack</v>
      </c>
      <c r="Q816" s="20" t="s">
        <v>265</v>
      </c>
      <c r="R816" s="20" t="s">
        <v>12</v>
      </c>
      <c r="S816" s="21">
        <f t="shared" si="63"/>
        <v>2430</v>
      </c>
      <c r="T816" s="25">
        <f t="shared" si="64"/>
        <v>9</v>
      </c>
    </row>
    <row r="817" spans="1:20" x14ac:dyDescent="0.3">
      <c r="A817" s="14">
        <v>816</v>
      </c>
      <c r="B817" s="14" t="s">
        <v>40</v>
      </c>
      <c r="C817" s="14">
        <v>35</v>
      </c>
      <c r="D817" s="14" t="s">
        <v>462</v>
      </c>
      <c r="E817" s="14" t="s">
        <v>429</v>
      </c>
      <c r="F817" s="14">
        <v>3</v>
      </c>
      <c r="G817" s="15">
        <f>_xlfn.XLOOKUP(C817,[1]products!$A$2:$A$71,[1]products!$D$2:$D$71)</f>
        <v>1865</v>
      </c>
      <c r="H817" s="16">
        <v>44985</v>
      </c>
      <c r="I817" s="16" t="str">
        <f t="shared" si="60"/>
        <v>February</v>
      </c>
      <c r="J817" s="16" t="str">
        <f t="shared" si="61"/>
        <v>Tuesday</v>
      </c>
      <c r="K817" s="17">
        <v>0.82251157407407405</v>
      </c>
      <c r="L817" s="16">
        <v>44995</v>
      </c>
      <c r="M817" s="18">
        <f>HOUR(orders!$K817)</f>
        <v>19</v>
      </c>
      <c r="N817" s="16" t="str">
        <f t="shared" si="62"/>
        <v>March</v>
      </c>
      <c r="O817" s="17">
        <v>0.57056712962962963</v>
      </c>
      <c r="P817" s="17" t="str">
        <f>_xlfn.XLOOKUP(B817,[2]customers!$A$2:$A$101,[2]customers!$C$2:$C$101)</f>
        <v>Ajmer</v>
      </c>
      <c r="Q817" s="14" t="s">
        <v>225</v>
      </c>
      <c r="R817" s="14" t="s">
        <v>36</v>
      </c>
      <c r="S817" s="15">
        <f t="shared" si="63"/>
        <v>5595</v>
      </c>
      <c r="T817" s="19">
        <f t="shared" si="64"/>
        <v>10</v>
      </c>
    </row>
    <row r="818" spans="1:20" x14ac:dyDescent="0.3">
      <c r="A818" s="20">
        <v>817</v>
      </c>
      <c r="B818" s="20" t="s">
        <v>83</v>
      </c>
      <c r="C818" s="20">
        <v>21</v>
      </c>
      <c r="D818" s="20" t="s">
        <v>436</v>
      </c>
      <c r="E818" s="20" t="s">
        <v>429</v>
      </c>
      <c r="F818" s="20">
        <v>2</v>
      </c>
      <c r="G818" s="21">
        <f>_xlfn.XLOOKUP(C818,[1]products!$A$2:$A$71,[1]products!$D$2:$D$71)</f>
        <v>1561</v>
      </c>
      <c r="H818" s="22">
        <v>45166</v>
      </c>
      <c r="I818" s="22" t="str">
        <f t="shared" si="60"/>
        <v>August</v>
      </c>
      <c r="J818" s="22" t="str">
        <f t="shared" si="61"/>
        <v>Monday</v>
      </c>
      <c r="K818" s="23">
        <v>0.23402777777777781</v>
      </c>
      <c r="L818" s="22">
        <v>45170</v>
      </c>
      <c r="M818" s="24">
        <f>HOUR(orders!$K818)</f>
        <v>5</v>
      </c>
      <c r="N818" s="22" t="str">
        <f t="shared" si="62"/>
        <v>September</v>
      </c>
      <c r="O818" s="23">
        <v>0.92017361111111118</v>
      </c>
      <c r="P818" s="23" t="str">
        <f>_xlfn.XLOOKUP(B818,[2]customers!$A$2:$A$101,[2]customers!$C$2:$C$101)</f>
        <v>Malegaon</v>
      </c>
      <c r="Q818" s="20" t="s">
        <v>267</v>
      </c>
      <c r="R818" s="20" t="s">
        <v>26</v>
      </c>
      <c r="S818" s="21">
        <f t="shared" si="63"/>
        <v>3122</v>
      </c>
      <c r="T818" s="25">
        <f t="shared" si="64"/>
        <v>4</v>
      </c>
    </row>
    <row r="819" spans="1:20" x14ac:dyDescent="0.3">
      <c r="A819" s="14">
        <v>818</v>
      </c>
      <c r="B819" s="14" t="s">
        <v>251</v>
      </c>
      <c r="C819" s="14">
        <v>8</v>
      </c>
      <c r="D819" s="14" t="s">
        <v>454</v>
      </c>
      <c r="E819" s="14" t="s">
        <v>427</v>
      </c>
      <c r="F819" s="14">
        <v>4</v>
      </c>
      <c r="G819" s="15">
        <f>_xlfn.XLOOKUP(C819,[1]products!$A$2:$A$71,[1]products!$D$2:$D$71)</f>
        <v>252</v>
      </c>
      <c r="H819" s="16">
        <v>44987</v>
      </c>
      <c r="I819" s="16" t="str">
        <f t="shared" si="60"/>
        <v>March</v>
      </c>
      <c r="J819" s="16" t="str">
        <f t="shared" si="61"/>
        <v>Thursday</v>
      </c>
      <c r="K819" s="17">
        <v>0.32715277777777779</v>
      </c>
      <c r="L819" s="16">
        <v>44994</v>
      </c>
      <c r="M819" s="18">
        <f>HOUR(orders!$K819)</f>
        <v>7</v>
      </c>
      <c r="N819" s="16" t="str">
        <f t="shared" si="62"/>
        <v>March</v>
      </c>
      <c r="O819" s="17">
        <v>0.38033564814814813</v>
      </c>
      <c r="P819" s="17" t="str">
        <f>_xlfn.XLOOKUP(B819,[2]customers!$A$2:$A$101,[2]customers!$C$2:$C$101)</f>
        <v>Miryalaguda</v>
      </c>
      <c r="Q819" s="14" t="s">
        <v>126</v>
      </c>
      <c r="R819" s="14" t="s">
        <v>12</v>
      </c>
      <c r="S819" s="15">
        <f t="shared" si="63"/>
        <v>1008</v>
      </c>
      <c r="T819" s="19">
        <f t="shared" si="64"/>
        <v>7</v>
      </c>
    </row>
    <row r="820" spans="1:20" x14ac:dyDescent="0.3">
      <c r="A820" s="20">
        <v>819</v>
      </c>
      <c r="B820" s="20" t="s">
        <v>288</v>
      </c>
      <c r="C820" s="20">
        <v>55</v>
      </c>
      <c r="D820" s="20" t="s">
        <v>491</v>
      </c>
      <c r="E820" s="20" t="s">
        <v>445</v>
      </c>
      <c r="F820" s="20">
        <v>5</v>
      </c>
      <c r="G820" s="21">
        <f>_xlfn.XLOOKUP(C820,[1]products!$A$2:$A$71,[1]products!$D$2:$D$71)</f>
        <v>1904</v>
      </c>
      <c r="H820" s="22">
        <v>45160</v>
      </c>
      <c r="I820" s="22" t="str">
        <f t="shared" si="60"/>
        <v>August</v>
      </c>
      <c r="J820" s="22" t="str">
        <f t="shared" si="61"/>
        <v>Tuesday</v>
      </c>
      <c r="K820" s="23">
        <v>0.54540509259259262</v>
      </c>
      <c r="L820" s="22">
        <v>45162</v>
      </c>
      <c r="M820" s="24">
        <f>HOUR(orders!$K820)</f>
        <v>13</v>
      </c>
      <c r="N820" s="22" t="str">
        <f t="shared" si="62"/>
        <v>August</v>
      </c>
      <c r="O820" s="23">
        <v>6.4212962962962958E-2</v>
      </c>
      <c r="P820" s="23" t="str">
        <f>_xlfn.XLOOKUP(B820,[2]customers!$A$2:$A$101,[2]customers!$C$2:$C$101)</f>
        <v>Dhanbad</v>
      </c>
      <c r="Q820" s="20" t="s">
        <v>108</v>
      </c>
      <c r="R820" s="20" t="s">
        <v>26</v>
      </c>
      <c r="S820" s="21">
        <f t="shared" si="63"/>
        <v>9520</v>
      </c>
      <c r="T820" s="25">
        <f t="shared" si="64"/>
        <v>2</v>
      </c>
    </row>
    <row r="821" spans="1:20" x14ac:dyDescent="0.3">
      <c r="A821" s="14">
        <v>820</v>
      </c>
      <c r="B821" s="14" t="s">
        <v>123</v>
      </c>
      <c r="C821" s="14">
        <v>64</v>
      </c>
      <c r="D821" s="14" t="s">
        <v>492</v>
      </c>
      <c r="E821" s="14" t="s">
        <v>445</v>
      </c>
      <c r="F821" s="14">
        <v>3</v>
      </c>
      <c r="G821" s="15">
        <f>_xlfn.XLOOKUP(C821,[1]products!$A$2:$A$71,[1]products!$D$2:$D$71)</f>
        <v>1878</v>
      </c>
      <c r="H821" s="16">
        <v>45160</v>
      </c>
      <c r="I821" s="16" t="str">
        <f t="shared" si="60"/>
        <v>August</v>
      </c>
      <c r="J821" s="16" t="str">
        <f t="shared" si="61"/>
        <v>Tuesday</v>
      </c>
      <c r="K821" s="17">
        <v>0.24424768518518516</v>
      </c>
      <c r="L821" s="16">
        <v>45164</v>
      </c>
      <c r="M821" s="18">
        <f>HOUR(orders!$K821)</f>
        <v>5</v>
      </c>
      <c r="N821" s="16" t="str">
        <f t="shared" si="62"/>
        <v>August</v>
      </c>
      <c r="O821" s="17">
        <v>0.20304398148148148</v>
      </c>
      <c r="P821" s="17" t="str">
        <f>_xlfn.XLOOKUP(B821,[2]customers!$A$2:$A$101,[2]customers!$C$2:$C$101)</f>
        <v>Indore</v>
      </c>
      <c r="Q821" s="14" t="s">
        <v>411</v>
      </c>
      <c r="R821" s="14" t="s">
        <v>26</v>
      </c>
      <c r="S821" s="15">
        <f t="shared" si="63"/>
        <v>5634</v>
      </c>
      <c r="T821" s="19">
        <f t="shared" si="64"/>
        <v>4</v>
      </c>
    </row>
    <row r="822" spans="1:20" x14ac:dyDescent="0.3">
      <c r="A822" s="20">
        <v>821</v>
      </c>
      <c r="B822" s="20" t="s">
        <v>127</v>
      </c>
      <c r="C822" s="20">
        <v>32</v>
      </c>
      <c r="D822" s="20" t="s">
        <v>444</v>
      </c>
      <c r="E822" s="20" t="s">
        <v>445</v>
      </c>
      <c r="F822" s="20">
        <v>4</v>
      </c>
      <c r="G822" s="21">
        <f>_xlfn.XLOOKUP(C822,[1]products!$A$2:$A$71,[1]products!$D$2:$D$71)</f>
        <v>1792</v>
      </c>
      <c r="H822" s="22">
        <v>44984</v>
      </c>
      <c r="I822" s="22" t="str">
        <f t="shared" si="60"/>
        <v>February</v>
      </c>
      <c r="J822" s="22" t="str">
        <f t="shared" si="61"/>
        <v>Monday</v>
      </c>
      <c r="K822" s="23">
        <v>0.84410879629629632</v>
      </c>
      <c r="L822" s="22">
        <v>44992</v>
      </c>
      <c r="M822" s="24">
        <f>HOUR(orders!$K822)</f>
        <v>20</v>
      </c>
      <c r="N822" s="22" t="str">
        <f t="shared" si="62"/>
        <v>March</v>
      </c>
      <c r="O822" s="23">
        <v>0.94861111111111107</v>
      </c>
      <c r="P822" s="23" t="str">
        <f>_xlfn.XLOOKUP(B822,[2]customers!$A$2:$A$101,[2]customers!$C$2:$C$101)</f>
        <v>Imphal</v>
      </c>
      <c r="Q822" s="20" t="s">
        <v>250</v>
      </c>
      <c r="R822" s="20" t="s">
        <v>20</v>
      </c>
      <c r="S822" s="21">
        <f t="shared" si="63"/>
        <v>7168</v>
      </c>
      <c r="T822" s="25">
        <f t="shared" si="64"/>
        <v>8</v>
      </c>
    </row>
    <row r="823" spans="1:20" x14ac:dyDescent="0.3">
      <c r="A823" s="14">
        <v>822</v>
      </c>
      <c r="B823" s="14" t="s">
        <v>172</v>
      </c>
      <c r="C823" s="14">
        <v>41</v>
      </c>
      <c r="D823" s="14" t="s">
        <v>426</v>
      </c>
      <c r="E823" s="14" t="s">
        <v>427</v>
      </c>
      <c r="F823" s="14">
        <v>5</v>
      </c>
      <c r="G823" s="15">
        <f>_xlfn.XLOOKUP(C823,[1]products!$A$2:$A$71,[1]products!$D$2:$D$71)</f>
        <v>1977</v>
      </c>
      <c r="H823" s="16">
        <v>45239</v>
      </c>
      <c r="I823" s="16" t="str">
        <f t="shared" si="60"/>
        <v>November</v>
      </c>
      <c r="J823" s="16" t="str">
        <f t="shared" si="61"/>
        <v>Thursday</v>
      </c>
      <c r="K823" s="17">
        <v>0.14104166666666665</v>
      </c>
      <c r="L823" s="16">
        <v>45242</v>
      </c>
      <c r="M823" s="18">
        <f>HOUR(orders!$K823)</f>
        <v>3</v>
      </c>
      <c r="N823" s="16" t="str">
        <f t="shared" si="62"/>
        <v>November</v>
      </c>
      <c r="O823" s="17">
        <v>0.17728009259259259</v>
      </c>
      <c r="P823" s="17" t="str">
        <f>_xlfn.XLOOKUP(B823,[2]customers!$A$2:$A$101,[2]customers!$C$2:$C$101)</f>
        <v>Aligarh</v>
      </c>
      <c r="Q823" s="14" t="s">
        <v>81</v>
      </c>
      <c r="R823" s="14" t="s">
        <v>15</v>
      </c>
      <c r="S823" s="15">
        <f t="shared" si="63"/>
        <v>9885</v>
      </c>
      <c r="T823" s="19">
        <f t="shared" si="64"/>
        <v>3</v>
      </c>
    </row>
    <row r="824" spans="1:20" x14ac:dyDescent="0.3">
      <c r="A824" s="20">
        <v>823</v>
      </c>
      <c r="B824" s="20" t="s">
        <v>198</v>
      </c>
      <c r="C824" s="20">
        <v>64</v>
      </c>
      <c r="D824" s="20" t="s">
        <v>492</v>
      </c>
      <c r="E824" s="20" t="s">
        <v>445</v>
      </c>
      <c r="F824" s="20">
        <v>3</v>
      </c>
      <c r="G824" s="21">
        <f>_xlfn.XLOOKUP(C824,[1]products!$A$2:$A$71,[1]products!$D$2:$D$71)</f>
        <v>1878</v>
      </c>
      <c r="H824" s="22">
        <v>45165</v>
      </c>
      <c r="I824" s="22" t="str">
        <f t="shared" si="60"/>
        <v>August</v>
      </c>
      <c r="J824" s="22" t="str">
        <f t="shared" si="61"/>
        <v>Sunday</v>
      </c>
      <c r="K824" s="23">
        <v>0.64126157407407403</v>
      </c>
      <c r="L824" s="22">
        <v>45170</v>
      </c>
      <c r="M824" s="24">
        <f>HOUR(orders!$K824)</f>
        <v>15</v>
      </c>
      <c r="N824" s="22" t="str">
        <f t="shared" si="62"/>
        <v>September</v>
      </c>
      <c r="O824" s="23">
        <v>0.61990740740740746</v>
      </c>
      <c r="P824" s="23" t="str">
        <f>_xlfn.XLOOKUP(B824,[2]customers!$A$2:$A$101,[2]customers!$C$2:$C$101)</f>
        <v>North Dumdum</v>
      </c>
      <c r="Q824" s="20" t="s">
        <v>348</v>
      </c>
      <c r="R824" s="20" t="s">
        <v>26</v>
      </c>
      <c r="S824" s="21">
        <f t="shared" si="63"/>
        <v>5634</v>
      </c>
      <c r="T824" s="25">
        <f t="shared" si="64"/>
        <v>5</v>
      </c>
    </row>
    <row r="825" spans="1:20" x14ac:dyDescent="0.3">
      <c r="A825" s="14">
        <v>824</v>
      </c>
      <c r="B825" s="14" t="s">
        <v>29</v>
      </c>
      <c r="C825" s="14">
        <v>46</v>
      </c>
      <c r="D825" s="14" t="s">
        <v>493</v>
      </c>
      <c r="E825" s="14" t="s">
        <v>431</v>
      </c>
      <c r="F825" s="14">
        <v>4</v>
      </c>
      <c r="G825" s="15">
        <f>_xlfn.XLOOKUP(C825,[1]products!$A$2:$A$71,[1]products!$D$2:$D$71)</f>
        <v>758</v>
      </c>
      <c r="H825" s="16">
        <v>45052</v>
      </c>
      <c r="I825" s="16" t="str">
        <f t="shared" si="60"/>
        <v>May</v>
      </c>
      <c r="J825" s="16" t="str">
        <f t="shared" si="61"/>
        <v>Saturday</v>
      </c>
      <c r="K825" s="17">
        <v>0.33068287037037036</v>
      </c>
      <c r="L825" s="16">
        <v>45053</v>
      </c>
      <c r="M825" s="18">
        <f>HOUR(orders!$K825)</f>
        <v>7</v>
      </c>
      <c r="N825" s="16" t="str">
        <f t="shared" si="62"/>
        <v>May</v>
      </c>
      <c r="O825" s="17">
        <v>0.64157407407407407</v>
      </c>
      <c r="P825" s="17" t="str">
        <f>_xlfn.XLOOKUP(B825,[2]customers!$A$2:$A$101,[2]customers!$C$2:$C$101)</f>
        <v>Sri Ganganagar</v>
      </c>
      <c r="Q825" s="14" t="s">
        <v>302</v>
      </c>
      <c r="R825" s="14" t="s">
        <v>12</v>
      </c>
      <c r="S825" s="15">
        <f t="shared" si="63"/>
        <v>3032</v>
      </c>
      <c r="T825" s="19">
        <f t="shared" si="64"/>
        <v>1</v>
      </c>
    </row>
    <row r="826" spans="1:20" x14ac:dyDescent="0.3">
      <c r="A826" s="20">
        <v>825</v>
      </c>
      <c r="B826" s="20" t="s">
        <v>31</v>
      </c>
      <c r="C826" s="20">
        <v>25</v>
      </c>
      <c r="D826" s="20" t="s">
        <v>471</v>
      </c>
      <c r="E826" s="20" t="s">
        <v>447</v>
      </c>
      <c r="F826" s="20">
        <v>5</v>
      </c>
      <c r="G826" s="21">
        <f>_xlfn.XLOOKUP(C826,[1]products!$A$2:$A$71,[1]products!$D$2:$D$71)</f>
        <v>1202</v>
      </c>
      <c r="H826" s="22">
        <v>45107</v>
      </c>
      <c r="I826" s="22" t="str">
        <f t="shared" si="60"/>
        <v>June</v>
      </c>
      <c r="J826" s="22" t="str">
        <f t="shared" si="61"/>
        <v>Friday</v>
      </c>
      <c r="K826" s="23">
        <v>0.45166666666666666</v>
      </c>
      <c r="L826" s="22">
        <v>45108</v>
      </c>
      <c r="M826" s="24">
        <f>HOUR(orders!$K826)</f>
        <v>10</v>
      </c>
      <c r="N826" s="22" t="str">
        <f t="shared" si="62"/>
        <v>July</v>
      </c>
      <c r="O826" s="23">
        <v>0.7556018518518518</v>
      </c>
      <c r="P826" s="23" t="str">
        <f>_xlfn.XLOOKUP(B826,[2]customers!$A$2:$A$101,[2]customers!$C$2:$C$101)</f>
        <v>Agra</v>
      </c>
      <c r="Q826" s="20" t="s">
        <v>235</v>
      </c>
      <c r="R826" s="20" t="s">
        <v>12</v>
      </c>
      <c r="S826" s="21">
        <f t="shared" si="63"/>
        <v>6010</v>
      </c>
      <c r="T826" s="25">
        <f t="shared" si="64"/>
        <v>1</v>
      </c>
    </row>
    <row r="827" spans="1:20" x14ac:dyDescent="0.3">
      <c r="A827" s="14">
        <v>826</v>
      </c>
      <c r="B827" s="14" t="s">
        <v>112</v>
      </c>
      <c r="C827" s="14">
        <v>16</v>
      </c>
      <c r="D827" s="14" t="s">
        <v>437</v>
      </c>
      <c r="E827" s="14" t="s">
        <v>427</v>
      </c>
      <c r="F827" s="14">
        <v>5</v>
      </c>
      <c r="G827" s="15">
        <f>_xlfn.XLOOKUP(C827,[1]products!$A$2:$A$71,[1]products!$D$2:$D$71)</f>
        <v>1721</v>
      </c>
      <c r="H827" s="16">
        <v>44987</v>
      </c>
      <c r="I827" s="16" t="str">
        <f t="shared" si="60"/>
        <v>March</v>
      </c>
      <c r="J827" s="16" t="str">
        <f t="shared" si="61"/>
        <v>Thursday</v>
      </c>
      <c r="K827" s="17">
        <v>0.83480324074074075</v>
      </c>
      <c r="L827" s="16">
        <v>44993</v>
      </c>
      <c r="M827" s="18">
        <f>HOUR(orders!$K827)</f>
        <v>20</v>
      </c>
      <c r="N827" s="16" t="str">
        <f t="shared" si="62"/>
        <v>March</v>
      </c>
      <c r="O827" s="17">
        <v>0.26131944444444444</v>
      </c>
      <c r="P827" s="17" t="str">
        <f>_xlfn.XLOOKUP(B827,[2]customers!$A$2:$A$101,[2]customers!$C$2:$C$101)</f>
        <v>Panchkula</v>
      </c>
      <c r="Q827" s="14" t="s">
        <v>321</v>
      </c>
      <c r="R827" s="14" t="s">
        <v>36</v>
      </c>
      <c r="S827" s="15">
        <f t="shared" si="63"/>
        <v>8605</v>
      </c>
      <c r="T827" s="19">
        <f t="shared" si="64"/>
        <v>6</v>
      </c>
    </row>
    <row r="828" spans="1:20" x14ac:dyDescent="0.3">
      <c r="A828" s="20">
        <v>827</v>
      </c>
      <c r="B828" s="20" t="s">
        <v>292</v>
      </c>
      <c r="C828" s="20">
        <v>9</v>
      </c>
      <c r="D828" s="20" t="s">
        <v>451</v>
      </c>
      <c r="E828" s="20" t="s">
        <v>429</v>
      </c>
      <c r="F828" s="20">
        <v>1</v>
      </c>
      <c r="G828" s="21">
        <f>_xlfn.XLOOKUP(C828,[1]products!$A$2:$A$71,[1]products!$D$2:$D$71)</f>
        <v>1605</v>
      </c>
      <c r="H828" s="22">
        <v>45167</v>
      </c>
      <c r="I828" s="22" t="str">
        <f t="shared" si="60"/>
        <v>August</v>
      </c>
      <c r="J828" s="22" t="str">
        <f t="shared" si="61"/>
        <v>Tuesday</v>
      </c>
      <c r="K828" s="23">
        <v>0.92414351851851861</v>
      </c>
      <c r="L828" s="22">
        <v>45168</v>
      </c>
      <c r="M828" s="24">
        <f>HOUR(orders!$K828)</f>
        <v>22</v>
      </c>
      <c r="N828" s="22" t="str">
        <f t="shared" si="62"/>
        <v>August</v>
      </c>
      <c r="O828" s="23">
        <v>3.605324074074074E-2</v>
      </c>
      <c r="P828" s="23" t="str">
        <f>_xlfn.XLOOKUP(B828,[2]customers!$A$2:$A$101,[2]customers!$C$2:$C$101)</f>
        <v>Purnia</v>
      </c>
      <c r="Q828" s="20" t="s">
        <v>344</v>
      </c>
      <c r="R828" s="20" t="s">
        <v>26</v>
      </c>
      <c r="S828" s="21">
        <f t="shared" si="63"/>
        <v>1605</v>
      </c>
      <c r="T828" s="25">
        <f t="shared" si="64"/>
        <v>1</v>
      </c>
    </row>
    <row r="829" spans="1:20" x14ac:dyDescent="0.3">
      <c r="A829" s="14">
        <v>828</v>
      </c>
      <c r="B829" s="14" t="s">
        <v>31</v>
      </c>
      <c r="C829" s="14">
        <v>8</v>
      </c>
      <c r="D829" s="14" t="s">
        <v>454</v>
      </c>
      <c r="E829" s="14" t="s">
        <v>427</v>
      </c>
      <c r="F829" s="14">
        <v>3</v>
      </c>
      <c r="G829" s="15">
        <f>_xlfn.XLOOKUP(C829,[1]products!$A$2:$A$71,[1]products!$D$2:$D$71)</f>
        <v>252</v>
      </c>
      <c r="H829" s="16">
        <v>45223</v>
      </c>
      <c r="I829" s="16" t="str">
        <f t="shared" si="60"/>
        <v>October</v>
      </c>
      <c r="J829" s="16" t="str">
        <f t="shared" si="61"/>
        <v>Tuesday</v>
      </c>
      <c r="K829" s="17">
        <v>0.69931712962962955</v>
      </c>
      <c r="L829" s="16">
        <v>45231</v>
      </c>
      <c r="M829" s="18">
        <f>HOUR(orders!$K829)</f>
        <v>16</v>
      </c>
      <c r="N829" s="16" t="str">
        <f t="shared" si="62"/>
        <v>November</v>
      </c>
      <c r="O829" s="17">
        <v>0.92983796296296306</v>
      </c>
      <c r="P829" s="17" t="str">
        <f>_xlfn.XLOOKUP(B829,[2]customers!$A$2:$A$101,[2]customers!$C$2:$C$101)</f>
        <v>Agra</v>
      </c>
      <c r="Q829" s="14" t="s">
        <v>145</v>
      </c>
      <c r="R829" s="14" t="s">
        <v>12</v>
      </c>
      <c r="S829" s="15">
        <f t="shared" si="63"/>
        <v>756</v>
      </c>
      <c r="T829" s="19">
        <f t="shared" si="64"/>
        <v>8</v>
      </c>
    </row>
    <row r="830" spans="1:20" x14ac:dyDescent="0.3">
      <c r="A830" s="20">
        <v>829</v>
      </c>
      <c r="B830" s="20" t="s">
        <v>97</v>
      </c>
      <c r="C830" s="20">
        <v>42</v>
      </c>
      <c r="D830" s="20" t="s">
        <v>448</v>
      </c>
      <c r="E830" s="20" t="s">
        <v>427</v>
      </c>
      <c r="F830" s="20">
        <v>4</v>
      </c>
      <c r="G830" s="21">
        <f>_xlfn.XLOOKUP(C830,[1]products!$A$2:$A$71,[1]products!$D$2:$D$71)</f>
        <v>1744</v>
      </c>
      <c r="H830" s="22">
        <v>45279</v>
      </c>
      <c r="I830" s="22" t="str">
        <f t="shared" si="60"/>
        <v>December</v>
      </c>
      <c r="J830" s="22" t="str">
        <f t="shared" si="61"/>
        <v>Tuesday</v>
      </c>
      <c r="K830" s="23">
        <v>0.77478009259259262</v>
      </c>
      <c r="L830" s="22">
        <v>45286</v>
      </c>
      <c r="M830" s="24">
        <f>HOUR(orders!$K830)</f>
        <v>18</v>
      </c>
      <c r="N830" s="22" t="str">
        <f t="shared" si="62"/>
        <v>December</v>
      </c>
      <c r="O830" s="23">
        <v>0.42921296296296302</v>
      </c>
      <c r="P830" s="23" t="str">
        <f>_xlfn.XLOOKUP(B830,[2]customers!$A$2:$A$101,[2]customers!$C$2:$C$101)</f>
        <v>Machilipatnam</v>
      </c>
      <c r="Q830" s="20" t="s">
        <v>407</v>
      </c>
      <c r="R830" s="20" t="s">
        <v>60</v>
      </c>
      <c r="S830" s="21">
        <f t="shared" si="63"/>
        <v>6976</v>
      </c>
      <c r="T830" s="25">
        <f t="shared" si="64"/>
        <v>7</v>
      </c>
    </row>
    <row r="831" spans="1:20" x14ac:dyDescent="0.3">
      <c r="A831" s="14">
        <v>830</v>
      </c>
      <c r="B831" s="14" t="s">
        <v>220</v>
      </c>
      <c r="C831" s="14">
        <v>46</v>
      </c>
      <c r="D831" s="14" t="s">
        <v>493</v>
      </c>
      <c r="E831" s="14" t="s">
        <v>431</v>
      </c>
      <c r="F831" s="14">
        <v>2</v>
      </c>
      <c r="G831" s="15">
        <f>_xlfn.XLOOKUP(C831,[1]products!$A$2:$A$71,[1]products!$D$2:$D$71)</f>
        <v>758</v>
      </c>
      <c r="H831" s="16">
        <v>44938</v>
      </c>
      <c r="I831" s="16" t="str">
        <f t="shared" si="60"/>
        <v>January</v>
      </c>
      <c r="J831" s="16" t="str">
        <f t="shared" si="61"/>
        <v>Thursday</v>
      </c>
      <c r="K831" s="17">
        <v>0.80478009259259264</v>
      </c>
      <c r="L831" s="16">
        <v>44941</v>
      </c>
      <c r="M831" s="18">
        <f>HOUR(orders!$K831)</f>
        <v>19</v>
      </c>
      <c r="N831" s="16" t="str">
        <f t="shared" si="62"/>
        <v>January</v>
      </c>
      <c r="O831" s="17">
        <v>0.21135416666666665</v>
      </c>
      <c r="P831" s="17" t="str">
        <f>_xlfn.XLOOKUP(B831,[2]customers!$A$2:$A$101,[2]customers!$C$2:$C$101)</f>
        <v>Berhampore</v>
      </c>
      <c r="Q831" s="14" t="s">
        <v>81</v>
      </c>
      <c r="R831" s="14" t="s">
        <v>12</v>
      </c>
      <c r="S831" s="15">
        <f t="shared" si="63"/>
        <v>1516</v>
      </c>
      <c r="T831" s="19">
        <f t="shared" si="64"/>
        <v>3</v>
      </c>
    </row>
    <row r="832" spans="1:20" x14ac:dyDescent="0.3">
      <c r="A832" s="20">
        <v>831</v>
      </c>
      <c r="B832" s="20" t="s">
        <v>275</v>
      </c>
      <c r="C832" s="20">
        <v>56</v>
      </c>
      <c r="D832" s="20" t="s">
        <v>436</v>
      </c>
      <c r="E832" s="20" t="s">
        <v>26</v>
      </c>
      <c r="F832" s="20">
        <v>5</v>
      </c>
      <c r="G832" s="21">
        <f>_xlfn.XLOOKUP(C832,[1]products!$A$2:$A$71,[1]products!$D$2:$D$71)</f>
        <v>1272</v>
      </c>
      <c r="H832" s="22">
        <v>45070</v>
      </c>
      <c r="I832" s="22" t="str">
        <f t="shared" si="60"/>
        <v>May</v>
      </c>
      <c r="J832" s="22" t="str">
        <f t="shared" si="61"/>
        <v>Wednesday</v>
      </c>
      <c r="K832" s="23">
        <v>0.77885416666666663</v>
      </c>
      <c r="L832" s="22">
        <v>45080</v>
      </c>
      <c r="M832" s="24">
        <f>HOUR(orders!$K832)</f>
        <v>18</v>
      </c>
      <c r="N832" s="22" t="str">
        <f t="shared" si="62"/>
        <v>June</v>
      </c>
      <c r="O832" s="23">
        <v>0.79603009259259261</v>
      </c>
      <c r="P832" s="23" t="str">
        <f>_xlfn.XLOOKUP(B832,[2]customers!$A$2:$A$101,[2]customers!$C$2:$C$101)</f>
        <v>Bhilai</v>
      </c>
      <c r="Q832" s="20" t="s">
        <v>359</v>
      </c>
      <c r="R832" s="20" t="s">
        <v>12</v>
      </c>
      <c r="S832" s="21">
        <f t="shared" si="63"/>
        <v>6360</v>
      </c>
      <c r="T832" s="25">
        <f t="shared" si="64"/>
        <v>10</v>
      </c>
    </row>
    <row r="833" spans="1:20" x14ac:dyDescent="0.3">
      <c r="A833" s="14">
        <v>832</v>
      </c>
      <c r="B833" s="14" t="s">
        <v>186</v>
      </c>
      <c r="C833" s="14">
        <v>65</v>
      </c>
      <c r="D833" s="14" t="s">
        <v>466</v>
      </c>
      <c r="E833" s="14" t="s">
        <v>26</v>
      </c>
      <c r="F833" s="14">
        <v>4</v>
      </c>
      <c r="G833" s="15">
        <f>_xlfn.XLOOKUP(C833,[1]products!$A$2:$A$71,[1]products!$D$2:$D$71)</f>
        <v>1895</v>
      </c>
      <c r="H833" s="16">
        <v>44958</v>
      </c>
      <c r="I833" s="16" t="str">
        <f t="shared" si="60"/>
        <v>February</v>
      </c>
      <c r="J833" s="16" t="str">
        <f t="shared" si="61"/>
        <v>Wednesday</v>
      </c>
      <c r="K833" s="17">
        <v>0.78916666666666668</v>
      </c>
      <c r="L833" s="16">
        <v>44967</v>
      </c>
      <c r="M833" s="18">
        <f>HOUR(orders!$K833)</f>
        <v>18</v>
      </c>
      <c r="N833" s="16" t="str">
        <f t="shared" si="62"/>
        <v>February</v>
      </c>
      <c r="O833" s="17">
        <v>9.6863425925925936E-2</v>
      </c>
      <c r="P833" s="17" t="str">
        <f>_xlfn.XLOOKUP(B833,[2]customers!$A$2:$A$101,[2]customers!$C$2:$C$101)</f>
        <v>Farrukhabad</v>
      </c>
      <c r="Q833" s="14" t="s">
        <v>245</v>
      </c>
      <c r="R833" s="14" t="s">
        <v>60</v>
      </c>
      <c r="S833" s="15">
        <f t="shared" si="63"/>
        <v>7580</v>
      </c>
      <c r="T833" s="19">
        <f t="shared" si="64"/>
        <v>9</v>
      </c>
    </row>
    <row r="834" spans="1:20" x14ac:dyDescent="0.3">
      <c r="A834" s="20">
        <v>833</v>
      </c>
      <c r="B834" s="20" t="s">
        <v>339</v>
      </c>
      <c r="C834" s="20">
        <v>26</v>
      </c>
      <c r="D834" s="20" t="s">
        <v>473</v>
      </c>
      <c r="E834" s="20" t="s">
        <v>429</v>
      </c>
      <c r="F834" s="20">
        <v>3</v>
      </c>
      <c r="G834" s="21">
        <f>_xlfn.XLOOKUP(C834,[1]products!$A$2:$A$71,[1]products!$D$2:$D$71)</f>
        <v>289</v>
      </c>
      <c r="H834" s="22">
        <v>44990</v>
      </c>
      <c r="I834" s="22" t="str">
        <f t="shared" si="60"/>
        <v>March</v>
      </c>
      <c r="J834" s="22" t="str">
        <f t="shared" si="61"/>
        <v>Sunday</v>
      </c>
      <c r="K834" s="23">
        <v>2.8333333333333332E-2</v>
      </c>
      <c r="L834" s="22">
        <v>44998</v>
      </c>
      <c r="M834" s="24">
        <f>HOUR(orders!$K834)</f>
        <v>0</v>
      </c>
      <c r="N834" s="22" t="str">
        <f t="shared" si="62"/>
        <v>March</v>
      </c>
      <c r="O834" s="23">
        <v>6.9641203703703705E-2</v>
      </c>
      <c r="P834" s="23" t="str">
        <f>_xlfn.XLOOKUP(B834,[2]customers!$A$2:$A$101,[2]customers!$C$2:$C$101)</f>
        <v>Bulandshahr</v>
      </c>
      <c r="Q834" s="20" t="s">
        <v>152</v>
      </c>
      <c r="R834" s="20" t="s">
        <v>36</v>
      </c>
      <c r="S834" s="21">
        <f t="shared" si="63"/>
        <v>867</v>
      </c>
      <c r="T834" s="25">
        <f t="shared" si="64"/>
        <v>8</v>
      </c>
    </row>
    <row r="835" spans="1:20" x14ac:dyDescent="0.3">
      <c r="A835" s="14">
        <v>834</v>
      </c>
      <c r="B835" s="14" t="s">
        <v>16</v>
      </c>
      <c r="C835" s="14">
        <v>60</v>
      </c>
      <c r="D835" s="14" t="s">
        <v>440</v>
      </c>
      <c r="E835" s="14" t="s">
        <v>427</v>
      </c>
      <c r="F835" s="14">
        <v>5</v>
      </c>
      <c r="G835" s="15">
        <f>_xlfn.XLOOKUP(C835,[1]products!$A$2:$A$71,[1]products!$D$2:$D$71)</f>
        <v>827</v>
      </c>
      <c r="H835" s="16">
        <v>45233</v>
      </c>
      <c r="I835" s="16" t="str">
        <f t="shared" ref="I835:I898" si="65">TEXT(H835,"mmmm")</f>
        <v>November</v>
      </c>
      <c r="J835" s="16" t="str">
        <f t="shared" ref="J835:J898" si="66">TEXT(H835,"dddd")</f>
        <v>Friday</v>
      </c>
      <c r="K835" s="17">
        <v>0.77453703703703702</v>
      </c>
      <c r="L835" s="16">
        <v>45242</v>
      </c>
      <c r="M835" s="18">
        <f>HOUR(orders!$K835)</f>
        <v>18</v>
      </c>
      <c r="N835" s="16" t="str">
        <f t="shared" ref="N835:N898" si="67">TEXT(L835,"mmmm")</f>
        <v>November</v>
      </c>
      <c r="O835" s="17">
        <v>0.58459490740740738</v>
      </c>
      <c r="P835" s="17" t="str">
        <f>_xlfn.XLOOKUP(B835,[2]customers!$A$2:$A$101,[2]customers!$C$2:$C$101)</f>
        <v>Haridwar</v>
      </c>
      <c r="Q835" s="14" t="s">
        <v>126</v>
      </c>
      <c r="R835" s="14" t="s">
        <v>15</v>
      </c>
      <c r="S835" s="15">
        <f t="shared" ref="S835:S898" si="68">G835*F835</f>
        <v>4135</v>
      </c>
      <c r="T835" s="19">
        <f t="shared" ref="T835:T898" si="69">L835-H835</f>
        <v>9</v>
      </c>
    </row>
    <row r="836" spans="1:20" x14ac:dyDescent="0.3">
      <c r="A836" s="20">
        <v>835</v>
      </c>
      <c r="B836" s="20" t="s">
        <v>253</v>
      </c>
      <c r="C836" s="20">
        <v>32</v>
      </c>
      <c r="D836" s="20" t="s">
        <v>444</v>
      </c>
      <c r="E836" s="20" t="s">
        <v>445</v>
      </c>
      <c r="F836" s="20">
        <v>2</v>
      </c>
      <c r="G836" s="21">
        <f>_xlfn.XLOOKUP(C836,[1]products!$A$2:$A$71,[1]products!$D$2:$D$71)</f>
        <v>1792</v>
      </c>
      <c r="H836" s="22">
        <v>45112</v>
      </c>
      <c r="I836" s="22" t="str">
        <f t="shared" si="65"/>
        <v>July</v>
      </c>
      <c r="J836" s="22" t="str">
        <f t="shared" si="66"/>
        <v>Wednesday</v>
      </c>
      <c r="K836" s="23">
        <v>0.73325231481481479</v>
      </c>
      <c r="L836" s="22">
        <v>45113</v>
      </c>
      <c r="M836" s="24">
        <f>HOUR(orders!$K836)</f>
        <v>17</v>
      </c>
      <c r="N836" s="22" t="str">
        <f t="shared" si="67"/>
        <v>July</v>
      </c>
      <c r="O836" s="23">
        <v>0.98207175925925927</v>
      </c>
      <c r="P836" s="23" t="str">
        <f>_xlfn.XLOOKUP(B836,[2]customers!$A$2:$A$101,[2]customers!$C$2:$C$101)</f>
        <v>Nellore</v>
      </c>
      <c r="Q836" s="20" t="s">
        <v>380</v>
      </c>
      <c r="R836" s="20" t="s">
        <v>20</v>
      </c>
      <c r="S836" s="21">
        <f t="shared" si="68"/>
        <v>3584</v>
      </c>
      <c r="T836" s="25">
        <f t="shared" si="69"/>
        <v>1</v>
      </c>
    </row>
    <row r="837" spans="1:20" x14ac:dyDescent="0.3">
      <c r="A837" s="14">
        <v>836</v>
      </c>
      <c r="B837" s="14" t="s">
        <v>97</v>
      </c>
      <c r="C837" s="14">
        <v>44</v>
      </c>
      <c r="D837" s="14" t="s">
        <v>470</v>
      </c>
      <c r="E837" s="14" t="s">
        <v>447</v>
      </c>
      <c r="F837" s="14">
        <v>5</v>
      </c>
      <c r="G837" s="15">
        <f>_xlfn.XLOOKUP(C837,[1]products!$A$2:$A$71,[1]products!$D$2:$D$71)</f>
        <v>794</v>
      </c>
      <c r="H837" s="16">
        <v>45238</v>
      </c>
      <c r="I837" s="16" t="str">
        <f t="shared" si="65"/>
        <v>November</v>
      </c>
      <c r="J837" s="16" t="str">
        <f t="shared" si="66"/>
        <v>Wednesday</v>
      </c>
      <c r="K837" s="17">
        <v>0.1083912037037037</v>
      </c>
      <c r="L837" s="16">
        <v>45241</v>
      </c>
      <c r="M837" s="18">
        <f>HOUR(orders!$K837)</f>
        <v>2</v>
      </c>
      <c r="N837" s="16" t="str">
        <f t="shared" si="67"/>
        <v>November</v>
      </c>
      <c r="O837" s="17">
        <v>0.13295138888888888</v>
      </c>
      <c r="P837" s="17" t="str">
        <f>_xlfn.XLOOKUP(B837,[2]customers!$A$2:$A$101,[2]customers!$C$2:$C$101)</f>
        <v>Machilipatnam</v>
      </c>
      <c r="Q837" s="14" t="s">
        <v>396</v>
      </c>
      <c r="R837" s="14" t="s">
        <v>15</v>
      </c>
      <c r="S837" s="15">
        <f t="shared" si="68"/>
        <v>3970</v>
      </c>
      <c r="T837" s="19">
        <f t="shared" si="69"/>
        <v>3</v>
      </c>
    </row>
    <row r="838" spans="1:20" x14ac:dyDescent="0.3">
      <c r="A838" s="20">
        <v>837</v>
      </c>
      <c r="B838" s="20" t="s">
        <v>101</v>
      </c>
      <c r="C838" s="20">
        <v>14</v>
      </c>
      <c r="D838" s="20" t="s">
        <v>428</v>
      </c>
      <c r="E838" s="20" t="s">
        <v>429</v>
      </c>
      <c r="F838" s="20">
        <v>5</v>
      </c>
      <c r="G838" s="21">
        <f>_xlfn.XLOOKUP(C838,[1]products!$A$2:$A$71,[1]products!$D$2:$D$71)</f>
        <v>1915</v>
      </c>
      <c r="H838" s="22">
        <v>45279</v>
      </c>
      <c r="I838" s="22" t="str">
        <f t="shared" si="65"/>
        <v>December</v>
      </c>
      <c r="J838" s="22" t="str">
        <f t="shared" si="66"/>
        <v>Tuesday</v>
      </c>
      <c r="K838" s="23">
        <v>0.53972222222222221</v>
      </c>
      <c r="L838" s="22">
        <v>45281</v>
      </c>
      <c r="M838" s="24">
        <f>HOUR(orders!$K838)</f>
        <v>12</v>
      </c>
      <c r="N838" s="22" t="str">
        <f t="shared" si="67"/>
        <v>December</v>
      </c>
      <c r="O838" s="23">
        <v>4.1666666666666669E-4</v>
      </c>
      <c r="P838" s="23" t="str">
        <f>_xlfn.XLOOKUP(B838,[2]customers!$A$2:$A$101,[2]customers!$C$2:$C$101)</f>
        <v>Dibrugarh</v>
      </c>
      <c r="Q838" s="20" t="s">
        <v>299</v>
      </c>
      <c r="R838" s="20" t="s">
        <v>20</v>
      </c>
      <c r="S838" s="21">
        <f t="shared" si="68"/>
        <v>9575</v>
      </c>
      <c r="T838" s="25">
        <f t="shared" si="69"/>
        <v>2</v>
      </c>
    </row>
    <row r="839" spans="1:20" x14ac:dyDescent="0.3">
      <c r="A839" s="14">
        <v>838</v>
      </c>
      <c r="B839" s="14" t="s">
        <v>291</v>
      </c>
      <c r="C839" s="14">
        <v>19</v>
      </c>
      <c r="D839" s="14" t="s">
        <v>457</v>
      </c>
      <c r="E839" s="14" t="s">
        <v>458</v>
      </c>
      <c r="F839" s="14">
        <v>3</v>
      </c>
      <c r="G839" s="15">
        <f>_xlfn.XLOOKUP(C839,[1]products!$A$2:$A$71,[1]products!$D$2:$D$71)</f>
        <v>1234</v>
      </c>
      <c r="H839" s="16">
        <v>44966</v>
      </c>
      <c r="I839" s="16" t="str">
        <f t="shared" si="65"/>
        <v>February</v>
      </c>
      <c r="J839" s="16" t="str">
        <f t="shared" si="66"/>
        <v>Thursday</v>
      </c>
      <c r="K839" s="17">
        <v>0.42917824074074074</v>
      </c>
      <c r="L839" s="16">
        <v>44974</v>
      </c>
      <c r="M839" s="18">
        <f>HOUR(orders!$K839)</f>
        <v>10</v>
      </c>
      <c r="N839" s="16" t="str">
        <f t="shared" si="67"/>
        <v>February</v>
      </c>
      <c r="O839" s="17">
        <v>0.25671296296296298</v>
      </c>
      <c r="P839" s="17" t="str">
        <f>_xlfn.XLOOKUP(B839,[2]customers!$A$2:$A$101,[2]customers!$C$2:$C$101)</f>
        <v>Bilaspur</v>
      </c>
      <c r="Q839" s="14" t="s">
        <v>25</v>
      </c>
      <c r="R839" s="14" t="s">
        <v>23</v>
      </c>
      <c r="S839" s="15">
        <f t="shared" si="68"/>
        <v>3702</v>
      </c>
      <c r="T839" s="19">
        <f t="shared" si="69"/>
        <v>8</v>
      </c>
    </row>
    <row r="840" spans="1:20" x14ac:dyDescent="0.3">
      <c r="A840" s="20">
        <v>839</v>
      </c>
      <c r="B840" s="20" t="s">
        <v>47</v>
      </c>
      <c r="C840" s="20">
        <v>51</v>
      </c>
      <c r="D840" s="20" t="s">
        <v>469</v>
      </c>
      <c r="E840" s="20" t="s">
        <v>445</v>
      </c>
      <c r="F840" s="20">
        <v>4</v>
      </c>
      <c r="G840" s="21">
        <f>_xlfn.XLOOKUP(C840,[1]products!$A$2:$A$71,[1]products!$D$2:$D$71)</f>
        <v>1084</v>
      </c>
      <c r="H840" s="22">
        <v>45232</v>
      </c>
      <c r="I840" s="22" t="str">
        <f t="shared" si="65"/>
        <v>November</v>
      </c>
      <c r="J840" s="22" t="str">
        <f t="shared" si="66"/>
        <v>Thursday</v>
      </c>
      <c r="K840" s="23">
        <v>0.16068287037037035</v>
      </c>
      <c r="L840" s="22">
        <v>45242</v>
      </c>
      <c r="M840" s="24">
        <f>HOUR(orders!$K840)</f>
        <v>3</v>
      </c>
      <c r="N840" s="22" t="str">
        <f t="shared" si="67"/>
        <v>November</v>
      </c>
      <c r="O840" s="23">
        <v>7.6284722222222226E-2</v>
      </c>
      <c r="P840" s="23" t="str">
        <f>_xlfn.XLOOKUP(B840,[2]customers!$A$2:$A$101,[2]customers!$C$2:$C$101)</f>
        <v>Hyderabad</v>
      </c>
      <c r="Q840" s="20" t="s">
        <v>412</v>
      </c>
      <c r="R840" s="20" t="s">
        <v>60</v>
      </c>
      <c r="S840" s="21">
        <f t="shared" si="68"/>
        <v>4336</v>
      </c>
      <c r="T840" s="25">
        <f t="shared" si="69"/>
        <v>10</v>
      </c>
    </row>
    <row r="841" spans="1:20" x14ac:dyDescent="0.3">
      <c r="A841" s="14">
        <v>840</v>
      </c>
      <c r="B841" s="14" t="s">
        <v>95</v>
      </c>
      <c r="C841" s="14">
        <v>67</v>
      </c>
      <c r="D841" s="14" t="s">
        <v>425</v>
      </c>
      <c r="E841" s="14" t="s">
        <v>26</v>
      </c>
      <c r="F841" s="14">
        <v>2</v>
      </c>
      <c r="G841" s="15">
        <f>_xlfn.XLOOKUP(C841,[1]products!$A$2:$A$71,[1]products!$D$2:$D$71)</f>
        <v>1374</v>
      </c>
      <c r="H841" s="16">
        <v>44939</v>
      </c>
      <c r="I841" s="16" t="str">
        <f t="shared" si="65"/>
        <v>January</v>
      </c>
      <c r="J841" s="16" t="str">
        <f t="shared" si="66"/>
        <v>Friday</v>
      </c>
      <c r="K841" s="17">
        <v>0.80526620370370372</v>
      </c>
      <c r="L841" s="16">
        <v>44942</v>
      </c>
      <c r="M841" s="18">
        <f>HOUR(orders!$K841)</f>
        <v>19</v>
      </c>
      <c r="N841" s="16" t="str">
        <f t="shared" si="67"/>
        <v>January</v>
      </c>
      <c r="O841" s="17">
        <v>0.4934027777777778</v>
      </c>
      <c r="P841" s="17" t="str">
        <f>_xlfn.XLOOKUP(B841,[2]customers!$A$2:$A$101,[2]customers!$C$2:$C$101)</f>
        <v>Sasaram</v>
      </c>
      <c r="Q841" s="14" t="s">
        <v>296</v>
      </c>
      <c r="R841" s="14" t="s">
        <v>12</v>
      </c>
      <c r="S841" s="15">
        <f t="shared" si="68"/>
        <v>2748</v>
      </c>
      <c r="T841" s="19">
        <f t="shared" si="69"/>
        <v>3</v>
      </c>
    </row>
    <row r="842" spans="1:20" x14ac:dyDescent="0.3">
      <c r="A842" s="20">
        <v>841</v>
      </c>
      <c r="B842" s="20" t="s">
        <v>56</v>
      </c>
      <c r="C842" s="20">
        <v>26</v>
      </c>
      <c r="D842" s="20" t="s">
        <v>473</v>
      </c>
      <c r="E842" s="20" t="s">
        <v>429</v>
      </c>
      <c r="F842" s="20">
        <v>5</v>
      </c>
      <c r="G842" s="21">
        <f>_xlfn.XLOOKUP(C842,[1]products!$A$2:$A$71,[1]products!$D$2:$D$71)</f>
        <v>289</v>
      </c>
      <c r="H842" s="22">
        <v>44992</v>
      </c>
      <c r="I842" s="22" t="str">
        <f t="shared" si="65"/>
        <v>March</v>
      </c>
      <c r="J842" s="22" t="str">
        <f t="shared" si="66"/>
        <v>Tuesday</v>
      </c>
      <c r="K842" s="23">
        <v>0.26111111111111113</v>
      </c>
      <c r="L842" s="22">
        <v>44997</v>
      </c>
      <c r="M842" s="24">
        <f>HOUR(orders!$K842)</f>
        <v>6</v>
      </c>
      <c r="N842" s="22" t="str">
        <f t="shared" si="67"/>
        <v>March</v>
      </c>
      <c r="O842" s="23">
        <v>0.96989583333333329</v>
      </c>
      <c r="P842" s="23" t="str">
        <f>_xlfn.XLOOKUP(B842,[2]customers!$A$2:$A$101,[2]customers!$C$2:$C$101)</f>
        <v>Karaikudi</v>
      </c>
      <c r="Q842" s="20" t="s">
        <v>270</v>
      </c>
      <c r="R842" s="20" t="s">
        <v>36</v>
      </c>
      <c r="S842" s="21">
        <f t="shared" si="68"/>
        <v>1445</v>
      </c>
      <c r="T842" s="25">
        <f t="shared" si="69"/>
        <v>5</v>
      </c>
    </row>
    <row r="843" spans="1:20" x14ac:dyDescent="0.3">
      <c r="A843" s="14">
        <v>842</v>
      </c>
      <c r="B843" s="14" t="s">
        <v>233</v>
      </c>
      <c r="C843" s="14">
        <v>46</v>
      </c>
      <c r="D843" s="14" t="s">
        <v>493</v>
      </c>
      <c r="E843" s="14" t="s">
        <v>431</v>
      </c>
      <c r="F843" s="14">
        <v>2</v>
      </c>
      <c r="G843" s="15">
        <f>_xlfn.XLOOKUP(C843,[1]products!$A$2:$A$71,[1]products!$D$2:$D$71)</f>
        <v>758</v>
      </c>
      <c r="H843" s="16">
        <v>45289</v>
      </c>
      <c r="I843" s="16" t="str">
        <f t="shared" si="65"/>
        <v>December</v>
      </c>
      <c r="J843" s="16" t="str">
        <f t="shared" si="66"/>
        <v>Friday</v>
      </c>
      <c r="K843" s="17">
        <v>0.71635416666666663</v>
      </c>
      <c r="L843" s="16">
        <v>45292</v>
      </c>
      <c r="M843" s="18">
        <f>HOUR(orders!$K843)</f>
        <v>17</v>
      </c>
      <c r="N843" s="16" t="str">
        <f t="shared" si="67"/>
        <v>January</v>
      </c>
      <c r="O843" s="17">
        <v>0.10261574074074074</v>
      </c>
      <c r="P843" s="17" t="str">
        <f>_xlfn.XLOOKUP(B843,[2]customers!$A$2:$A$101,[2]customers!$C$2:$C$101)</f>
        <v>Raipur</v>
      </c>
      <c r="Q843" s="14" t="s">
        <v>257</v>
      </c>
      <c r="R843" s="14" t="s">
        <v>12</v>
      </c>
      <c r="S843" s="15">
        <f t="shared" si="68"/>
        <v>1516</v>
      </c>
      <c r="T843" s="19">
        <f t="shared" si="69"/>
        <v>3</v>
      </c>
    </row>
    <row r="844" spans="1:20" x14ac:dyDescent="0.3">
      <c r="A844" s="20">
        <v>843</v>
      </c>
      <c r="B844" s="20" t="s">
        <v>220</v>
      </c>
      <c r="C844" s="20">
        <v>68</v>
      </c>
      <c r="D844" s="20" t="s">
        <v>494</v>
      </c>
      <c r="E844" s="20" t="s">
        <v>445</v>
      </c>
      <c r="F844" s="20">
        <v>1</v>
      </c>
      <c r="G844" s="21">
        <f>_xlfn.XLOOKUP(C844,[1]products!$A$2:$A$71,[1]products!$D$2:$D$71)</f>
        <v>597</v>
      </c>
      <c r="H844" s="22">
        <v>44968</v>
      </c>
      <c r="I844" s="22" t="str">
        <f t="shared" si="65"/>
        <v>February</v>
      </c>
      <c r="J844" s="22" t="str">
        <f t="shared" si="66"/>
        <v>Saturday</v>
      </c>
      <c r="K844" s="23">
        <v>0.90697916666666656</v>
      </c>
      <c r="L844" s="22">
        <v>44969</v>
      </c>
      <c r="M844" s="24">
        <f>HOUR(orders!$K844)</f>
        <v>21</v>
      </c>
      <c r="N844" s="22" t="str">
        <f t="shared" si="67"/>
        <v>February</v>
      </c>
      <c r="O844" s="23">
        <v>0.81052083333333336</v>
      </c>
      <c r="P844" s="23" t="str">
        <f>_xlfn.XLOOKUP(B844,[2]customers!$A$2:$A$101,[2]customers!$C$2:$C$101)</f>
        <v>Berhampore</v>
      </c>
      <c r="Q844" s="20" t="s">
        <v>319</v>
      </c>
      <c r="R844" s="20" t="s">
        <v>23</v>
      </c>
      <c r="S844" s="21">
        <f t="shared" si="68"/>
        <v>597</v>
      </c>
      <c r="T844" s="25">
        <f t="shared" si="69"/>
        <v>1</v>
      </c>
    </row>
    <row r="845" spans="1:20" x14ac:dyDescent="0.3">
      <c r="A845" s="14">
        <v>844</v>
      </c>
      <c r="B845" s="14" t="s">
        <v>80</v>
      </c>
      <c r="C845" s="14">
        <v>51</v>
      </c>
      <c r="D845" s="14" t="s">
        <v>469</v>
      </c>
      <c r="E845" s="14" t="s">
        <v>445</v>
      </c>
      <c r="F845" s="14">
        <v>1</v>
      </c>
      <c r="G845" s="15">
        <f>_xlfn.XLOOKUP(C845,[1]products!$A$2:$A$71,[1]products!$D$2:$D$71)</f>
        <v>1084</v>
      </c>
      <c r="H845" s="16">
        <v>45208</v>
      </c>
      <c r="I845" s="16" t="str">
        <f t="shared" si="65"/>
        <v>October</v>
      </c>
      <c r="J845" s="16" t="str">
        <f t="shared" si="66"/>
        <v>Monday</v>
      </c>
      <c r="K845" s="17">
        <v>0.80063657407407407</v>
      </c>
      <c r="L845" s="16">
        <v>45209</v>
      </c>
      <c r="M845" s="18">
        <f>HOUR(orders!$K845)</f>
        <v>19</v>
      </c>
      <c r="N845" s="16" t="str">
        <f t="shared" si="67"/>
        <v>October</v>
      </c>
      <c r="O845" s="17">
        <v>0.40864583333333332</v>
      </c>
      <c r="P845" s="17" t="str">
        <f>_xlfn.XLOOKUP(B845,[2]customers!$A$2:$A$101,[2]customers!$C$2:$C$101)</f>
        <v>Anand</v>
      </c>
      <c r="Q845" s="14" t="s">
        <v>195</v>
      </c>
      <c r="R845" s="14" t="s">
        <v>60</v>
      </c>
      <c r="S845" s="15">
        <f t="shared" si="68"/>
        <v>1084</v>
      </c>
      <c r="T845" s="19">
        <f t="shared" si="69"/>
        <v>1</v>
      </c>
    </row>
    <row r="846" spans="1:20" x14ac:dyDescent="0.3">
      <c r="A846" s="20">
        <v>845</v>
      </c>
      <c r="B846" s="20" t="s">
        <v>146</v>
      </c>
      <c r="C846" s="20">
        <v>57</v>
      </c>
      <c r="D846" s="20" t="s">
        <v>488</v>
      </c>
      <c r="E846" s="20" t="s">
        <v>429</v>
      </c>
      <c r="F846" s="20">
        <v>5</v>
      </c>
      <c r="G846" s="21">
        <f>_xlfn.XLOOKUP(C846,[1]products!$A$2:$A$71,[1]products!$D$2:$D$71)</f>
        <v>1582</v>
      </c>
      <c r="H846" s="22">
        <v>45216</v>
      </c>
      <c r="I846" s="22" t="str">
        <f t="shared" si="65"/>
        <v>October</v>
      </c>
      <c r="J846" s="22" t="str">
        <f t="shared" si="66"/>
        <v>Tuesday</v>
      </c>
      <c r="K846" s="23">
        <v>0.78560185185185183</v>
      </c>
      <c r="L846" s="22">
        <v>45224</v>
      </c>
      <c r="M846" s="24">
        <f>HOUR(orders!$K846)</f>
        <v>18</v>
      </c>
      <c r="N846" s="22" t="str">
        <f t="shared" si="67"/>
        <v>October</v>
      </c>
      <c r="O846" s="23">
        <v>0.1215625</v>
      </c>
      <c r="P846" s="23" t="str">
        <f>_xlfn.XLOOKUP(B846,[2]customers!$A$2:$A$101,[2]customers!$C$2:$C$101)</f>
        <v>Surat</v>
      </c>
      <c r="Q846" s="20" t="s">
        <v>104</v>
      </c>
      <c r="R846" s="20" t="s">
        <v>20</v>
      </c>
      <c r="S846" s="21">
        <f t="shared" si="68"/>
        <v>7910</v>
      </c>
      <c r="T846" s="25">
        <f t="shared" si="69"/>
        <v>8</v>
      </c>
    </row>
    <row r="847" spans="1:20" x14ac:dyDescent="0.3">
      <c r="A847" s="14">
        <v>846</v>
      </c>
      <c r="B847" s="14" t="s">
        <v>41</v>
      </c>
      <c r="C847" s="14">
        <v>15</v>
      </c>
      <c r="D847" s="14" t="s">
        <v>482</v>
      </c>
      <c r="E847" s="14" t="s">
        <v>26</v>
      </c>
      <c r="F847" s="14">
        <v>4</v>
      </c>
      <c r="G847" s="15">
        <f>_xlfn.XLOOKUP(C847,[1]products!$A$2:$A$71,[1]products!$D$2:$D$71)</f>
        <v>1488</v>
      </c>
      <c r="H847" s="16">
        <v>45258</v>
      </c>
      <c r="I847" s="16" t="str">
        <f t="shared" si="65"/>
        <v>November</v>
      </c>
      <c r="J847" s="16" t="str">
        <f t="shared" si="66"/>
        <v>Tuesday</v>
      </c>
      <c r="K847" s="17">
        <v>0.1164236111111111</v>
      </c>
      <c r="L847" s="16">
        <v>45262</v>
      </c>
      <c r="M847" s="18">
        <f>HOUR(orders!$K847)</f>
        <v>2</v>
      </c>
      <c r="N847" s="16" t="str">
        <f t="shared" si="67"/>
        <v>December</v>
      </c>
      <c r="O847" s="17">
        <v>0.28892361111111109</v>
      </c>
      <c r="P847" s="17" t="str">
        <f>_xlfn.XLOOKUP(B847,[2]customers!$A$2:$A$101,[2]customers!$C$2:$C$101)</f>
        <v>Madhyamgram</v>
      </c>
      <c r="Q847" s="14" t="s">
        <v>270</v>
      </c>
      <c r="R847" s="14" t="s">
        <v>12</v>
      </c>
      <c r="S847" s="15">
        <f t="shared" si="68"/>
        <v>5952</v>
      </c>
      <c r="T847" s="19">
        <f t="shared" si="69"/>
        <v>4</v>
      </c>
    </row>
    <row r="848" spans="1:20" x14ac:dyDescent="0.3">
      <c r="A848" s="20">
        <v>847</v>
      </c>
      <c r="B848" s="20" t="s">
        <v>27</v>
      </c>
      <c r="C848" s="20">
        <v>44</v>
      </c>
      <c r="D848" s="20" t="s">
        <v>470</v>
      </c>
      <c r="E848" s="20" t="s">
        <v>447</v>
      </c>
      <c r="F848" s="20">
        <v>4</v>
      </c>
      <c r="G848" s="21">
        <f>_xlfn.XLOOKUP(C848,[1]products!$A$2:$A$71,[1]products!$D$2:$D$71)</f>
        <v>794</v>
      </c>
      <c r="H848" s="22">
        <v>45237</v>
      </c>
      <c r="I848" s="22" t="str">
        <f t="shared" si="65"/>
        <v>November</v>
      </c>
      <c r="J848" s="22" t="str">
        <f t="shared" si="66"/>
        <v>Tuesday</v>
      </c>
      <c r="K848" s="23">
        <v>0.75714120370370364</v>
      </c>
      <c r="L848" s="22">
        <v>45242</v>
      </c>
      <c r="M848" s="24">
        <f>HOUR(orders!$K848)</f>
        <v>18</v>
      </c>
      <c r="N848" s="22" t="str">
        <f t="shared" si="67"/>
        <v>November</v>
      </c>
      <c r="O848" s="23">
        <v>0.43166666666666664</v>
      </c>
      <c r="P848" s="23" t="str">
        <f>_xlfn.XLOOKUP(B848,[2]customers!$A$2:$A$101,[2]customers!$C$2:$C$101)</f>
        <v>Madurai</v>
      </c>
      <c r="Q848" s="20" t="s">
        <v>250</v>
      </c>
      <c r="R848" s="20" t="s">
        <v>15</v>
      </c>
      <c r="S848" s="21">
        <f t="shared" si="68"/>
        <v>3176</v>
      </c>
      <c r="T848" s="25">
        <f t="shared" si="69"/>
        <v>5</v>
      </c>
    </row>
    <row r="849" spans="1:20" x14ac:dyDescent="0.3">
      <c r="A849" s="14">
        <v>848</v>
      </c>
      <c r="B849" s="14" t="s">
        <v>314</v>
      </c>
      <c r="C849" s="14">
        <v>6</v>
      </c>
      <c r="D849" s="14" t="s">
        <v>450</v>
      </c>
      <c r="E849" s="14" t="s">
        <v>431</v>
      </c>
      <c r="F849" s="14">
        <v>1</v>
      </c>
      <c r="G849" s="15">
        <f>_xlfn.XLOOKUP(C849,[1]products!$A$2:$A$71,[1]products!$D$2:$D$71)</f>
        <v>1112</v>
      </c>
      <c r="H849" s="16">
        <v>44991</v>
      </c>
      <c r="I849" s="16" t="str">
        <f t="shared" si="65"/>
        <v>March</v>
      </c>
      <c r="J849" s="16" t="str">
        <f t="shared" si="66"/>
        <v>Monday</v>
      </c>
      <c r="K849" s="17">
        <v>0.70343750000000005</v>
      </c>
      <c r="L849" s="16">
        <v>44995</v>
      </c>
      <c r="M849" s="18">
        <f>HOUR(orders!$K849)</f>
        <v>16</v>
      </c>
      <c r="N849" s="16" t="str">
        <f t="shared" si="67"/>
        <v>March</v>
      </c>
      <c r="O849" s="17">
        <v>0.93527777777777776</v>
      </c>
      <c r="P849" s="17" t="str">
        <f>_xlfn.XLOOKUP(B849,[2]customers!$A$2:$A$101,[2]customers!$C$2:$C$101)</f>
        <v>Kottayam</v>
      </c>
      <c r="Q849" s="14" t="s">
        <v>385</v>
      </c>
      <c r="R849" s="14" t="s">
        <v>36</v>
      </c>
      <c r="S849" s="15">
        <f t="shared" si="68"/>
        <v>1112</v>
      </c>
      <c r="T849" s="19">
        <f t="shared" si="69"/>
        <v>4</v>
      </c>
    </row>
    <row r="850" spans="1:20" x14ac:dyDescent="0.3">
      <c r="A850" s="20">
        <v>849</v>
      </c>
      <c r="B850" s="20" t="s">
        <v>43</v>
      </c>
      <c r="C850" s="20">
        <v>57</v>
      </c>
      <c r="D850" s="20" t="s">
        <v>488</v>
      </c>
      <c r="E850" s="20" t="s">
        <v>429</v>
      </c>
      <c r="F850" s="20">
        <v>1</v>
      </c>
      <c r="G850" s="21">
        <f>_xlfn.XLOOKUP(C850,[1]products!$A$2:$A$71,[1]products!$D$2:$D$71)</f>
        <v>1582</v>
      </c>
      <c r="H850" s="22">
        <v>44997</v>
      </c>
      <c r="I850" s="22" t="str">
        <f t="shared" si="65"/>
        <v>March</v>
      </c>
      <c r="J850" s="22" t="str">
        <f t="shared" si="66"/>
        <v>Sunday</v>
      </c>
      <c r="K850" s="23">
        <v>5.3333333333333337E-2</v>
      </c>
      <c r="L850" s="22">
        <v>44999</v>
      </c>
      <c r="M850" s="24">
        <f>HOUR(orders!$K850)</f>
        <v>1</v>
      </c>
      <c r="N850" s="22" t="str">
        <f t="shared" si="67"/>
        <v>March</v>
      </c>
      <c r="O850" s="23">
        <v>3.4756944444444444E-2</v>
      </c>
      <c r="P850" s="23" t="str">
        <f>_xlfn.XLOOKUP(B850,[2]customers!$A$2:$A$101,[2]customers!$C$2:$C$101)</f>
        <v>Mangalore</v>
      </c>
      <c r="Q850" s="20" t="s">
        <v>62</v>
      </c>
      <c r="R850" s="20" t="s">
        <v>20</v>
      </c>
      <c r="S850" s="21">
        <f t="shared" si="68"/>
        <v>1582</v>
      </c>
      <c r="T850" s="25">
        <f t="shared" si="69"/>
        <v>2</v>
      </c>
    </row>
    <row r="851" spans="1:20" x14ac:dyDescent="0.3">
      <c r="A851" s="14">
        <v>850</v>
      </c>
      <c r="B851" s="14" t="s">
        <v>212</v>
      </c>
      <c r="C851" s="14">
        <v>21</v>
      </c>
      <c r="D851" s="14" t="s">
        <v>436</v>
      </c>
      <c r="E851" s="14" t="s">
        <v>429</v>
      </c>
      <c r="F851" s="14">
        <v>4</v>
      </c>
      <c r="G851" s="15">
        <f>_xlfn.XLOOKUP(C851,[1]products!$A$2:$A$71,[1]products!$D$2:$D$71)</f>
        <v>1561</v>
      </c>
      <c r="H851" s="16">
        <v>45161</v>
      </c>
      <c r="I851" s="16" t="str">
        <f t="shared" si="65"/>
        <v>August</v>
      </c>
      <c r="J851" s="16" t="str">
        <f t="shared" si="66"/>
        <v>Wednesday</v>
      </c>
      <c r="K851" s="17">
        <v>0.96894675925925933</v>
      </c>
      <c r="L851" s="16">
        <v>45163</v>
      </c>
      <c r="M851" s="18">
        <f>HOUR(orders!$K851)</f>
        <v>23</v>
      </c>
      <c r="N851" s="16" t="str">
        <f t="shared" si="67"/>
        <v>August</v>
      </c>
      <c r="O851" s="17">
        <v>0.43820601851851854</v>
      </c>
      <c r="P851" s="17" t="str">
        <f>_xlfn.XLOOKUP(B851,[2]customers!$A$2:$A$101,[2]customers!$C$2:$C$101)</f>
        <v>Dibrugarh</v>
      </c>
      <c r="Q851" s="14" t="s">
        <v>115</v>
      </c>
      <c r="R851" s="14" t="s">
        <v>26</v>
      </c>
      <c r="S851" s="15">
        <f t="shared" si="68"/>
        <v>6244</v>
      </c>
      <c r="T851" s="19">
        <f t="shared" si="69"/>
        <v>2</v>
      </c>
    </row>
    <row r="852" spans="1:20" x14ac:dyDescent="0.3">
      <c r="A852" s="20">
        <v>851</v>
      </c>
      <c r="B852" s="20" t="s">
        <v>188</v>
      </c>
      <c r="C852" s="20">
        <v>13</v>
      </c>
      <c r="D852" s="20" t="s">
        <v>495</v>
      </c>
      <c r="E852" s="20" t="s">
        <v>458</v>
      </c>
      <c r="F852" s="20">
        <v>3</v>
      </c>
      <c r="G852" s="21">
        <f>_xlfn.XLOOKUP(C852,[1]products!$A$2:$A$71,[1]products!$D$2:$D$71)</f>
        <v>1141</v>
      </c>
      <c r="H852" s="22">
        <v>44991</v>
      </c>
      <c r="I852" s="22" t="str">
        <f t="shared" si="65"/>
        <v>March</v>
      </c>
      <c r="J852" s="22" t="str">
        <f t="shared" si="66"/>
        <v>Monday</v>
      </c>
      <c r="K852" s="23">
        <v>0.48052083333333334</v>
      </c>
      <c r="L852" s="22">
        <v>44995</v>
      </c>
      <c r="M852" s="24">
        <f>HOUR(orders!$K852)</f>
        <v>11</v>
      </c>
      <c r="N852" s="22" t="str">
        <f t="shared" si="67"/>
        <v>March</v>
      </c>
      <c r="O852" s="23">
        <v>0.7624305555555555</v>
      </c>
      <c r="P852" s="23" t="str">
        <f>_xlfn.XLOOKUP(B852,[2]customers!$A$2:$A$101,[2]customers!$C$2:$C$101)</f>
        <v>Sambhal</v>
      </c>
      <c r="Q852" s="20" t="s">
        <v>413</v>
      </c>
      <c r="R852" s="20" t="s">
        <v>36</v>
      </c>
      <c r="S852" s="21">
        <f t="shared" si="68"/>
        <v>3423</v>
      </c>
      <c r="T852" s="25">
        <f t="shared" si="69"/>
        <v>4</v>
      </c>
    </row>
    <row r="853" spans="1:20" x14ac:dyDescent="0.3">
      <c r="A853" s="14">
        <v>852</v>
      </c>
      <c r="B853" s="14" t="s">
        <v>180</v>
      </c>
      <c r="C853" s="14">
        <v>44</v>
      </c>
      <c r="D853" s="14" t="s">
        <v>470</v>
      </c>
      <c r="E853" s="14" t="s">
        <v>447</v>
      </c>
      <c r="F853" s="14">
        <v>2</v>
      </c>
      <c r="G853" s="15">
        <f>_xlfn.XLOOKUP(C853,[1]products!$A$2:$A$71,[1]products!$D$2:$D$71)</f>
        <v>794</v>
      </c>
      <c r="H853" s="16">
        <v>45241</v>
      </c>
      <c r="I853" s="16" t="str">
        <f t="shared" si="65"/>
        <v>November</v>
      </c>
      <c r="J853" s="16" t="str">
        <f t="shared" si="66"/>
        <v>Saturday</v>
      </c>
      <c r="K853" s="17">
        <v>0.40400462962962963</v>
      </c>
      <c r="L853" s="16">
        <v>45244</v>
      </c>
      <c r="M853" s="18">
        <f>HOUR(orders!$K853)</f>
        <v>9</v>
      </c>
      <c r="N853" s="16" t="str">
        <f t="shared" si="67"/>
        <v>November</v>
      </c>
      <c r="O853" s="17">
        <v>0.59409722222222217</v>
      </c>
      <c r="P853" s="17" t="str">
        <f>_xlfn.XLOOKUP(B853,[2]customers!$A$2:$A$101,[2]customers!$C$2:$C$101)</f>
        <v>Vellore</v>
      </c>
      <c r="Q853" s="14" t="s">
        <v>165</v>
      </c>
      <c r="R853" s="14" t="s">
        <v>15</v>
      </c>
      <c r="S853" s="15">
        <f t="shared" si="68"/>
        <v>1588</v>
      </c>
      <c r="T853" s="19">
        <f t="shared" si="69"/>
        <v>3</v>
      </c>
    </row>
    <row r="854" spans="1:20" x14ac:dyDescent="0.3">
      <c r="A854" s="20">
        <v>853</v>
      </c>
      <c r="B854" s="20" t="s">
        <v>127</v>
      </c>
      <c r="C854" s="20">
        <v>51</v>
      </c>
      <c r="D854" s="20" t="s">
        <v>469</v>
      </c>
      <c r="E854" s="20" t="s">
        <v>445</v>
      </c>
      <c r="F854" s="20">
        <v>3</v>
      </c>
      <c r="G854" s="21">
        <f>_xlfn.XLOOKUP(C854,[1]products!$A$2:$A$71,[1]products!$D$2:$D$71)</f>
        <v>1084</v>
      </c>
      <c r="H854" s="22">
        <v>45186</v>
      </c>
      <c r="I854" s="22" t="str">
        <f t="shared" si="65"/>
        <v>September</v>
      </c>
      <c r="J854" s="22" t="str">
        <f t="shared" si="66"/>
        <v>Sunday</v>
      </c>
      <c r="K854" s="23">
        <v>0.88533564814814814</v>
      </c>
      <c r="L854" s="22">
        <v>45192</v>
      </c>
      <c r="M854" s="24">
        <f>HOUR(orders!$K854)</f>
        <v>21</v>
      </c>
      <c r="N854" s="22" t="str">
        <f t="shared" si="67"/>
        <v>September</v>
      </c>
      <c r="O854" s="23">
        <v>0.60240740740740739</v>
      </c>
      <c r="P854" s="23" t="str">
        <f>_xlfn.XLOOKUP(B854,[2]customers!$A$2:$A$101,[2]customers!$C$2:$C$101)</f>
        <v>Imphal</v>
      </c>
      <c r="Q854" s="20" t="s">
        <v>119</v>
      </c>
      <c r="R854" s="20" t="s">
        <v>60</v>
      </c>
      <c r="S854" s="21">
        <f t="shared" si="68"/>
        <v>3252</v>
      </c>
      <c r="T854" s="25">
        <f t="shared" si="69"/>
        <v>6</v>
      </c>
    </row>
    <row r="855" spans="1:20" x14ac:dyDescent="0.3">
      <c r="A855" s="14">
        <v>854</v>
      </c>
      <c r="B855" s="14" t="s">
        <v>243</v>
      </c>
      <c r="C855" s="14">
        <v>62</v>
      </c>
      <c r="D855" s="14" t="s">
        <v>442</v>
      </c>
      <c r="E855" s="14" t="s">
        <v>429</v>
      </c>
      <c r="F855" s="14">
        <v>3</v>
      </c>
      <c r="G855" s="15">
        <f>_xlfn.XLOOKUP(C855,[1]products!$A$2:$A$71,[1]products!$D$2:$D$71)</f>
        <v>1356</v>
      </c>
      <c r="H855" s="16">
        <v>44984</v>
      </c>
      <c r="I855" s="16" t="str">
        <f t="shared" si="65"/>
        <v>February</v>
      </c>
      <c r="J855" s="16" t="str">
        <f t="shared" si="66"/>
        <v>Monday</v>
      </c>
      <c r="K855" s="17">
        <v>8.3715277777777777E-2</v>
      </c>
      <c r="L855" s="16">
        <v>44987</v>
      </c>
      <c r="M855" s="18">
        <f>HOUR(orders!$K855)</f>
        <v>2</v>
      </c>
      <c r="N855" s="16" t="str">
        <f t="shared" si="67"/>
        <v>March</v>
      </c>
      <c r="O855" s="17">
        <v>0.11908564814814815</v>
      </c>
      <c r="P855" s="17" t="str">
        <f>_xlfn.XLOOKUP(B855,[2]customers!$A$2:$A$101,[2]customers!$C$2:$C$101)</f>
        <v>Tenali</v>
      </c>
      <c r="Q855" s="14" t="s">
        <v>410</v>
      </c>
      <c r="R855" s="14" t="s">
        <v>36</v>
      </c>
      <c r="S855" s="15">
        <f t="shared" si="68"/>
        <v>4068</v>
      </c>
      <c r="T855" s="19">
        <f t="shared" si="69"/>
        <v>3</v>
      </c>
    </row>
    <row r="856" spans="1:20" x14ac:dyDescent="0.3">
      <c r="A856" s="20">
        <v>855</v>
      </c>
      <c r="B856" s="20" t="s">
        <v>123</v>
      </c>
      <c r="C856" s="20">
        <v>57</v>
      </c>
      <c r="D856" s="20" t="s">
        <v>488</v>
      </c>
      <c r="E856" s="20" t="s">
        <v>429</v>
      </c>
      <c r="F856" s="20">
        <v>5</v>
      </c>
      <c r="G856" s="21">
        <f>_xlfn.XLOOKUP(C856,[1]products!$A$2:$A$71,[1]products!$D$2:$D$71)</f>
        <v>1582</v>
      </c>
      <c r="H856" s="22">
        <v>45145</v>
      </c>
      <c r="I856" s="22" t="str">
        <f t="shared" si="65"/>
        <v>August</v>
      </c>
      <c r="J856" s="22" t="str">
        <f t="shared" si="66"/>
        <v>Monday</v>
      </c>
      <c r="K856" s="23">
        <v>0.99318287037037034</v>
      </c>
      <c r="L856" s="22">
        <v>45155</v>
      </c>
      <c r="M856" s="24">
        <f>HOUR(orders!$K856)</f>
        <v>23</v>
      </c>
      <c r="N856" s="22" t="str">
        <f t="shared" si="67"/>
        <v>August</v>
      </c>
      <c r="O856" s="23">
        <v>0.84424768518518523</v>
      </c>
      <c r="P856" s="23" t="str">
        <f>_xlfn.XLOOKUP(B856,[2]customers!$A$2:$A$101,[2]customers!$C$2:$C$101)</f>
        <v>Indore</v>
      </c>
      <c r="Q856" s="20" t="s">
        <v>204</v>
      </c>
      <c r="R856" s="20" t="s">
        <v>20</v>
      </c>
      <c r="S856" s="21">
        <f t="shared" si="68"/>
        <v>7910</v>
      </c>
      <c r="T856" s="25">
        <f t="shared" si="69"/>
        <v>10</v>
      </c>
    </row>
    <row r="857" spans="1:20" x14ac:dyDescent="0.3">
      <c r="A857" s="14">
        <v>856</v>
      </c>
      <c r="B857" s="14" t="s">
        <v>112</v>
      </c>
      <c r="C857" s="14">
        <v>21</v>
      </c>
      <c r="D857" s="14" t="s">
        <v>436</v>
      </c>
      <c r="E857" s="14" t="s">
        <v>429</v>
      </c>
      <c r="F857" s="14">
        <v>2</v>
      </c>
      <c r="G857" s="15">
        <f>_xlfn.XLOOKUP(C857,[1]products!$A$2:$A$71,[1]products!$D$2:$D$71)</f>
        <v>1561</v>
      </c>
      <c r="H857" s="16">
        <v>45165</v>
      </c>
      <c r="I857" s="16" t="str">
        <f t="shared" si="65"/>
        <v>August</v>
      </c>
      <c r="J857" s="16" t="str">
        <f t="shared" si="66"/>
        <v>Sunday</v>
      </c>
      <c r="K857" s="17">
        <v>0.73623842592592592</v>
      </c>
      <c r="L857" s="16">
        <v>45171</v>
      </c>
      <c r="M857" s="18">
        <f>HOUR(orders!$K857)</f>
        <v>17</v>
      </c>
      <c r="N857" s="16" t="str">
        <f t="shared" si="67"/>
        <v>September</v>
      </c>
      <c r="O857" s="17">
        <v>0.67835648148148142</v>
      </c>
      <c r="P857" s="17" t="str">
        <f>_xlfn.XLOOKUP(B857,[2]customers!$A$2:$A$101,[2]customers!$C$2:$C$101)</f>
        <v>Panchkula</v>
      </c>
      <c r="Q857" s="14" t="s">
        <v>135</v>
      </c>
      <c r="R857" s="14" t="s">
        <v>26</v>
      </c>
      <c r="S857" s="15">
        <f t="shared" si="68"/>
        <v>3122</v>
      </c>
      <c r="T857" s="19">
        <f t="shared" si="69"/>
        <v>6</v>
      </c>
    </row>
    <row r="858" spans="1:20" x14ac:dyDescent="0.3">
      <c r="A858" s="20">
        <v>857</v>
      </c>
      <c r="B858" s="20" t="s">
        <v>142</v>
      </c>
      <c r="C858" s="20">
        <v>63</v>
      </c>
      <c r="D858" s="20" t="s">
        <v>498</v>
      </c>
      <c r="E858" s="20" t="s">
        <v>427</v>
      </c>
      <c r="F858" s="20">
        <v>1</v>
      </c>
      <c r="G858" s="21">
        <f>_xlfn.XLOOKUP(C858,[1]products!$A$2:$A$71,[1]products!$D$2:$D$71)</f>
        <v>1348</v>
      </c>
      <c r="H858" s="22">
        <v>44966</v>
      </c>
      <c r="I858" s="22" t="str">
        <f t="shared" si="65"/>
        <v>February</v>
      </c>
      <c r="J858" s="22" t="str">
        <f t="shared" si="66"/>
        <v>Thursday</v>
      </c>
      <c r="K858" s="23">
        <v>0.39048611111111109</v>
      </c>
      <c r="L858" s="22">
        <v>44975</v>
      </c>
      <c r="M858" s="24">
        <f>HOUR(orders!$K858)</f>
        <v>9</v>
      </c>
      <c r="N858" s="22" t="str">
        <f t="shared" si="67"/>
        <v>February</v>
      </c>
      <c r="O858" s="23">
        <v>0.58384259259259264</v>
      </c>
      <c r="P858" s="23" t="str">
        <f>_xlfn.XLOOKUP(B858,[2]customers!$A$2:$A$101,[2]customers!$C$2:$C$101)</f>
        <v>Bharatpur</v>
      </c>
      <c r="Q858" s="20" t="s">
        <v>250</v>
      </c>
      <c r="R858" s="20" t="s">
        <v>60</v>
      </c>
      <c r="S858" s="21">
        <f t="shared" si="68"/>
        <v>1348</v>
      </c>
      <c r="T858" s="25">
        <f t="shared" si="69"/>
        <v>9</v>
      </c>
    </row>
    <row r="859" spans="1:20" x14ac:dyDescent="0.3">
      <c r="A859" s="14">
        <v>858</v>
      </c>
      <c r="B859" s="14" t="s">
        <v>88</v>
      </c>
      <c r="C859" s="14">
        <v>44</v>
      </c>
      <c r="D859" s="14" t="s">
        <v>470</v>
      </c>
      <c r="E859" s="14" t="s">
        <v>447</v>
      </c>
      <c r="F859" s="14">
        <v>4</v>
      </c>
      <c r="G859" s="15">
        <f>_xlfn.XLOOKUP(C859,[1]products!$A$2:$A$71,[1]products!$D$2:$D$71)</f>
        <v>794</v>
      </c>
      <c r="H859" s="16">
        <v>45238</v>
      </c>
      <c r="I859" s="16" t="str">
        <f t="shared" si="65"/>
        <v>November</v>
      </c>
      <c r="J859" s="16" t="str">
        <f t="shared" si="66"/>
        <v>Wednesday</v>
      </c>
      <c r="K859" s="17">
        <v>7.7638888888888882E-2</v>
      </c>
      <c r="L859" s="16">
        <v>45239</v>
      </c>
      <c r="M859" s="18">
        <f>HOUR(orders!$K859)</f>
        <v>1</v>
      </c>
      <c r="N859" s="16" t="str">
        <f t="shared" si="67"/>
        <v>November</v>
      </c>
      <c r="O859" s="17">
        <v>0.66763888888888889</v>
      </c>
      <c r="P859" s="17" t="str">
        <f>_xlfn.XLOOKUP(B859,[2]customers!$A$2:$A$101,[2]customers!$C$2:$C$101)</f>
        <v>Guna</v>
      </c>
      <c r="Q859" s="14" t="s">
        <v>345</v>
      </c>
      <c r="R859" s="14" t="s">
        <v>15</v>
      </c>
      <c r="S859" s="15">
        <f t="shared" si="68"/>
        <v>3176</v>
      </c>
      <c r="T859" s="19">
        <f t="shared" si="69"/>
        <v>1</v>
      </c>
    </row>
    <row r="860" spans="1:20" x14ac:dyDescent="0.3">
      <c r="A860" s="20">
        <v>859</v>
      </c>
      <c r="B860" s="20" t="s">
        <v>72</v>
      </c>
      <c r="C860" s="20">
        <v>43</v>
      </c>
      <c r="D860" s="20" t="s">
        <v>434</v>
      </c>
      <c r="E860" s="20" t="s">
        <v>26</v>
      </c>
      <c r="F860" s="20">
        <v>1</v>
      </c>
      <c r="G860" s="21">
        <f>_xlfn.XLOOKUP(C860,[1]products!$A$2:$A$71,[1]products!$D$2:$D$71)</f>
        <v>750</v>
      </c>
      <c r="H860" s="22">
        <v>45240</v>
      </c>
      <c r="I860" s="22" t="str">
        <f t="shared" si="65"/>
        <v>November</v>
      </c>
      <c r="J860" s="22" t="str">
        <f t="shared" si="66"/>
        <v>Friday</v>
      </c>
      <c r="K860" s="23">
        <v>0.29607638888888888</v>
      </c>
      <c r="L860" s="22">
        <v>45245</v>
      </c>
      <c r="M860" s="24">
        <f>HOUR(orders!$K860)</f>
        <v>7</v>
      </c>
      <c r="N860" s="22" t="str">
        <f t="shared" si="67"/>
        <v>November</v>
      </c>
      <c r="O860" s="23">
        <v>7.3923611111111107E-2</v>
      </c>
      <c r="P860" s="23" t="str">
        <f>_xlfn.XLOOKUP(B860,[2]customers!$A$2:$A$101,[2]customers!$C$2:$C$101)</f>
        <v>Jorhat</v>
      </c>
      <c r="Q860" s="20" t="s">
        <v>139</v>
      </c>
      <c r="R860" s="20" t="s">
        <v>15</v>
      </c>
      <c r="S860" s="21">
        <f t="shared" si="68"/>
        <v>750</v>
      </c>
      <c r="T860" s="25">
        <f t="shared" si="69"/>
        <v>5</v>
      </c>
    </row>
    <row r="861" spans="1:20" x14ac:dyDescent="0.3">
      <c r="A861" s="14">
        <v>860</v>
      </c>
      <c r="B861" s="14" t="s">
        <v>67</v>
      </c>
      <c r="C861" s="14">
        <v>14</v>
      </c>
      <c r="D861" s="14" t="s">
        <v>428</v>
      </c>
      <c r="E861" s="14" t="s">
        <v>429</v>
      </c>
      <c r="F861" s="14">
        <v>1</v>
      </c>
      <c r="G861" s="15">
        <f>_xlfn.XLOOKUP(C861,[1]products!$A$2:$A$71,[1]products!$D$2:$D$71)</f>
        <v>1915</v>
      </c>
      <c r="H861" s="16">
        <v>44936</v>
      </c>
      <c r="I861" s="16" t="str">
        <f t="shared" si="65"/>
        <v>January</v>
      </c>
      <c r="J861" s="16" t="str">
        <f t="shared" si="66"/>
        <v>Tuesday</v>
      </c>
      <c r="K861" s="17">
        <v>0.81248842592592585</v>
      </c>
      <c r="L861" s="16">
        <v>44939</v>
      </c>
      <c r="M861" s="18">
        <f>HOUR(orders!$K861)</f>
        <v>19</v>
      </c>
      <c r="N861" s="16" t="str">
        <f t="shared" si="67"/>
        <v>January</v>
      </c>
      <c r="O861" s="17">
        <v>0.56284722222222217</v>
      </c>
      <c r="P861" s="17" t="str">
        <f>_xlfn.XLOOKUP(B861,[2]customers!$A$2:$A$101,[2]customers!$C$2:$C$101)</f>
        <v>Srikakulam</v>
      </c>
      <c r="Q861" s="14" t="s">
        <v>389</v>
      </c>
      <c r="R861" s="14" t="s">
        <v>20</v>
      </c>
      <c r="S861" s="15">
        <f t="shared" si="68"/>
        <v>1915</v>
      </c>
      <c r="T861" s="19">
        <f t="shared" si="69"/>
        <v>3</v>
      </c>
    </row>
    <row r="862" spans="1:20" x14ac:dyDescent="0.3">
      <c r="A862" s="20">
        <v>861</v>
      </c>
      <c r="B862" s="20" t="s">
        <v>188</v>
      </c>
      <c r="C862" s="20">
        <v>32</v>
      </c>
      <c r="D862" s="20" t="s">
        <v>444</v>
      </c>
      <c r="E862" s="20" t="s">
        <v>445</v>
      </c>
      <c r="F862" s="20">
        <v>1</v>
      </c>
      <c r="G862" s="21">
        <f>_xlfn.XLOOKUP(C862,[1]products!$A$2:$A$71,[1]products!$D$2:$D$71)</f>
        <v>1792</v>
      </c>
      <c r="H862" s="22">
        <v>44966</v>
      </c>
      <c r="I862" s="22" t="str">
        <f t="shared" si="65"/>
        <v>February</v>
      </c>
      <c r="J862" s="22" t="str">
        <f t="shared" si="66"/>
        <v>Thursday</v>
      </c>
      <c r="K862" s="23">
        <v>0.34688657407407408</v>
      </c>
      <c r="L862" s="22">
        <v>44971</v>
      </c>
      <c r="M862" s="24">
        <f>HOUR(orders!$K862)</f>
        <v>8</v>
      </c>
      <c r="N862" s="22" t="str">
        <f t="shared" si="67"/>
        <v>February</v>
      </c>
      <c r="O862" s="23">
        <v>0.10942129629629631</v>
      </c>
      <c r="P862" s="23" t="str">
        <f>_xlfn.XLOOKUP(B862,[2]customers!$A$2:$A$101,[2]customers!$C$2:$C$101)</f>
        <v>Sambhal</v>
      </c>
      <c r="Q862" s="20" t="s">
        <v>213</v>
      </c>
      <c r="R862" s="20" t="s">
        <v>20</v>
      </c>
      <c r="S862" s="21">
        <f t="shared" si="68"/>
        <v>1792</v>
      </c>
      <c r="T862" s="25">
        <f t="shared" si="69"/>
        <v>5</v>
      </c>
    </row>
    <row r="863" spans="1:20" x14ac:dyDescent="0.3">
      <c r="A863" s="14">
        <v>862</v>
      </c>
      <c r="B863" s="14" t="s">
        <v>218</v>
      </c>
      <c r="C863" s="14">
        <v>6</v>
      </c>
      <c r="D863" s="14" t="s">
        <v>450</v>
      </c>
      <c r="E863" s="14" t="s">
        <v>431</v>
      </c>
      <c r="F863" s="14">
        <v>4</v>
      </c>
      <c r="G863" s="15">
        <f>_xlfn.XLOOKUP(C863,[1]products!$A$2:$A$71,[1]products!$D$2:$D$71)</f>
        <v>1112</v>
      </c>
      <c r="H863" s="16">
        <v>44992</v>
      </c>
      <c r="I863" s="16" t="str">
        <f t="shared" si="65"/>
        <v>March</v>
      </c>
      <c r="J863" s="16" t="str">
        <f t="shared" si="66"/>
        <v>Tuesday</v>
      </c>
      <c r="K863" s="17">
        <v>0.24391203703703704</v>
      </c>
      <c r="L863" s="16">
        <v>45000</v>
      </c>
      <c r="M863" s="18">
        <f>HOUR(orders!$K863)</f>
        <v>5</v>
      </c>
      <c r="N863" s="16" t="str">
        <f t="shared" si="67"/>
        <v>March</v>
      </c>
      <c r="O863" s="17">
        <v>0.34984953703703708</v>
      </c>
      <c r="P863" s="17" t="str">
        <f>_xlfn.XLOOKUP(B863,[2]customers!$A$2:$A$101,[2]customers!$C$2:$C$101)</f>
        <v>Imphal</v>
      </c>
      <c r="Q863" s="14" t="s">
        <v>332</v>
      </c>
      <c r="R863" s="14" t="s">
        <v>36</v>
      </c>
      <c r="S863" s="15">
        <f t="shared" si="68"/>
        <v>4448</v>
      </c>
      <c r="T863" s="19">
        <f t="shared" si="69"/>
        <v>8</v>
      </c>
    </row>
    <row r="864" spans="1:20" x14ac:dyDescent="0.3">
      <c r="A864" s="20">
        <v>863</v>
      </c>
      <c r="B864" s="20" t="s">
        <v>32</v>
      </c>
      <c r="C864" s="20">
        <v>20</v>
      </c>
      <c r="D864" s="20" t="s">
        <v>439</v>
      </c>
      <c r="E864" s="20" t="s">
        <v>429</v>
      </c>
      <c r="F864" s="20">
        <v>3</v>
      </c>
      <c r="G864" s="21">
        <f>_xlfn.XLOOKUP(C864,[1]products!$A$2:$A$71,[1]products!$D$2:$D$71)</f>
        <v>697</v>
      </c>
      <c r="H864" s="22">
        <v>45082</v>
      </c>
      <c r="I864" s="22" t="str">
        <f t="shared" si="65"/>
        <v>June</v>
      </c>
      <c r="J864" s="22" t="str">
        <f t="shared" si="66"/>
        <v>Monday</v>
      </c>
      <c r="K864" s="23">
        <v>0.39449074074074075</v>
      </c>
      <c r="L864" s="22">
        <v>45092</v>
      </c>
      <c r="M864" s="24">
        <f>HOUR(orders!$K864)</f>
        <v>9</v>
      </c>
      <c r="N864" s="22" t="str">
        <f t="shared" si="67"/>
        <v>June</v>
      </c>
      <c r="O864" s="23">
        <v>0.13408564814814813</v>
      </c>
      <c r="P864" s="23" t="str">
        <f>_xlfn.XLOOKUP(B864,[2]customers!$A$2:$A$101,[2]customers!$C$2:$C$101)</f>
        <v>Dhanbad</v>
      </c>
      <c r="Q864" s="20" t="s">
        <v>375</v>
      </c>
      <c r="R864" s="20" t="s">
        <v>12</v>
      </c>
      <c r="S864" s="21">
        <f t="shared" si="68"/>
        <v>2091</v>
      </c>
      <c r="T864" s="25">
        <f t="shared" si="69"/>
        <v>10</v>
      </c>
    </row>
    <row r="865" spans="1:20" x14ac:dyDescent="0.3">
      <c r="A865" s="14">
        <v>864</v>
      </c>
      <c r="B865" s="14" t="s">
        <v>123</v>
      </c>
      <c r="C865" s="14">
        <v>11</v>
      </c>
      <c r="D865" s="14" t="s">
        <v>476</v>
      </c>
      <c r="E865" s="14" t="s">
        <v>458</v>
      </c>
      <c r="F865" s="14">
        <v>1</v>
      </c>
      <c r="G865" s="15">
        <f>_xlfn.XLOOKUP(C865,[1]products!$A$2:$A$71,[1]products!$D$2:$D$71)</f>
        <v>1096</v>
      </c>
      <c r="H865" s="16">
        <v>44968</v>
      </c>
      <c r="I865" s="16" t="str">
        <f t="shared" si="65"/>
        <v>February</v>
      </c>
      <c r="J865" s="16" t="str">
        <f t="shared" si="66"/>
        <v>Saturday</v>
      </c>
      <c r="K865" s="17">
        <v>0.8155324074074074</v>
      </c>
      <c r="L865" s="16">
        <v>44972</v>
      </c>
      <c r="M865" s="18">
        <f>HOUR(orders!$K865)</f>
        <v>19</v>
      </c>
      <c r="N865" s="16" t="str">
        <f t="shared" si="67"/>
        <v>February</v>
      </c>
      <c r="O865" s="17">
        <v>0.33724537037037039</v>
      </c>
      <c r="P865" s="17" t="str">
        <f>_xlfn.XLOOKUP(B865,[2]customers!$A$2:$A$101,[2]customers!$C$2:$C$101)</f>
        <v>Indore</v>
      </c>
      <c r="Q865" s="14" t="s">
        <v>226</v>
      </c>
      <c r="R865" s="14" t="s">
        <v>23</v>
      </c>
      <c r="S865" s="15">
        <f t="shared" si="68"/>
        <v>1096</v>
      </c>
      <c r="T865" s="19">
        <f t="shared" si="69"/>
        <v>4</v>
      </c>
    </row>
    <row r="866" spans="1:20" x14ac:dyDescent="0.3">
      <c r="A866" s="20">
        <v>865</v>
      </c>
      <c r="B866" s="20" t="s">
        <v>146</v>
      </c>
      <c r="C866" s="20">
        <v>19</v>
      </c>
      <c r="D866" s="20" t="s">
        <v>457</v>
      </c>
      <c r="E866" s="20" t="s">
        <v>458</v>
      </c>
      <c r="F866" s="20">
        <v>1</v>
      </c>
      <c r="G866" s="21">
        <f>_xlfn.XLOOKUP(C866,[1]products!$A$2:$A$71,[1]products!$D$2:$D$71)</f>
        <v>1234</v>
      </c>
      <c r="H866" s="22">
        <v>44969</v>
      </c>
      <c r="I866" s="22" t="str">
        <f t="shared" si="65"/>
        <v>February</v>
      </c>
      <c r="J866" s="22" t="str">
        <f t="shared" si="66"/>
        <v>Sunday</v>
      </c>
      <c r="K866" s="23">
        <v>0.75641203703703708</v>
      </c>
      <c r="L866" s="22">
        <v>44970</v>
      </c>
      <c r="M866" s="24">
        <f>HOUR(orders!$K866)</f>
        <v>18</v>
      </c>
      <c r="N866" s="22" t="str">
        <f t="shared" si="67"/>
        <v>February</v>
      </c>
      <c r="O866" s="23">
        <v>0.27638888888888885</v>
      </c>
      <c r="P866" s="23" t="str">
        <f>_xlfn.XLOOKUP(B866,[2]customers!$A$2:$A$101,[2]customers!$C$2:$C$101)</f>
        <v>Surat</v>
      </c>
      <c r="Q866" s="20" t="s">
        <v>207</v>
      </c>
      <c r="R866" s="20" t="s">
        <v>23</v>
      </c>
      <c r="S866" s="21">
        <f t="shared" si="68"/>
        <v>1234</v>
      </c>
      <c r="T866" s="25">
        <f t="shared" si="69"/>
        <v>1</v>
      </c>
    </row>
    <row r="867" spans="1:20" x14ac:dyDescent="0.3">
      <c r="A867" s="14">
        <v>866</v>
      </c>
      <c r="B867" s="14" t="s">
        <v>354</v>
      </c>
      <c r="C867" s="14">
        <v>15</v>
      </c>
      <c r="D867" s="14" t="s">
        <v>482</v>
      </c>
      <c r="E867" s="14" t="s">
        <v>26</v>
      </c>
      <c r="F867" s="14">
        <v>5</v>
      </c>
      <c r="G867" s="15">
        <f>_xlfn.XLOOKUP(C867,[1]products!$A$2:$A$71,[1]products!$D$2:$D$71)</f>
        <v>1488</v>
      </c>
      <c r="H867" s="16">
        <v>45148</v>
      </c>
      <c r="I867" s="16" t="str">
        <f t="shared" si="65"/>
        <v>August</v>
      </c>
      <c r="J867" s="16" t="str">
        <f t="shared" si="66"/>
        <v>Thursday</v>
      </c>
      <c r="K867" s="17">
        <v>0.83792824074074079</v>
      </c>
      <c r="L867" s="16">
        <v>45149</v>
      </c>
      <c r="M867" s="18">
        <f>HOUR(orders!$K867)</f>
        <v>20</v>
      </c>
      <c r="N867" s="16" t="str">
        <f t="shared" si="67"/>
        <v>August</v>
      </c>
      <c r="O867" s="17">
        <v>0.33519675925925929</v>
      </c>
      <c r="P867" s="17" t="str">
        <f>_xlfn.XLOOKUP(B867,[2]customers!$A$2:$A$101,[2]customers!$C$2:$C$101)</f>
        <v>Mehsana</v>
      </c>
      <c r="Q867" s="14" t="s">
        <v>221</v>
      </c>
      <c r="R867" s="14" t="s">
        <v>12</v>
      </c>
      <c r="S867" s="15">
        <f t="shared" si="68"/>
        <v>7440</v>
      </c>
      <c r="T867" s="19">
        <f t="shared" si="69"/>
        <v>1</v>
      </c>
    </row>
    <row r="868" spans="1:20" x14ac:dyDescent="0.3">
      <c r="A868" s="20">
        <v>867</v>
      </c>
      <c r="B868" s="20" t="s">
        <v>99</v>
      </c>
      <c r="C868" s="20">
        <v>48</v>
      </c>
      <c r="D868" s="20" t="s">
        <v>460</v>
      </c>
      <c r="E868" s="20" t="s">
        <v>429</v>
      </c>
      <c r="F868" s="20">
        <v>1</v>
      </c>
      <c r="G868" s="21">
        <f>_xlfn.XLOOKUP(C868,[1]products!$A$2:$A$71,[1]products!$D$2:$D$71)</f>
        <v>433</v>
      </c>
      <c r="H868" s="22">
        <v>45232</v>
      </c>
      <c r="I868" s="22" t="str">
        <f t="shared" si="65"/>
        <v>November</v>
      </c>
      <c r="J868" s="22" t="str">
        <f t="shared" si="66"/>
        <v>Thursday</v>
      </c>
      <c r="K868" s="23">
        <v>0.51534722222222229</v>
      </c>
      <c r="L868" s="22">
        <v>45234</v>
      </c>
      <c r="M868" s="24">
        <f>HOUR(orders!$K868)</f>
        <v>12</v>
      </c>
      <c r="N868" s="22" t="str">
        <f t="shared" si="67"/>
        <v>November</v>
      </c>
      <c r="O868" s="23">
        <v>0.21443287037037037</v>
      </c>
      <c r="P868" s="23" t="str">
        <f>_xlfn.XLOOKUP(B868,[2]customers!$A$2:$A$101,[2]customers!$C$2:$C$101)</f>
        <v>Panvel</v>
      </c>
      <c r="Q868" s="20" t="s">
        <v>258</v>
      </c>
      <c r="R868" s="20" t="s">
        <v>15</v>
      </c>
      <c r="S868" s="21">
        <f t="shared" si="68"/>
        <v>433</v>
      </c>
      <c r="T868" s="25">
        <f t="shared" si="69"/>
        <v>2</v>
      </c>
    </row>
    <row r="869" spans="1:20" x14ac:dyDescent="0.3">
      <c r="A869" s="14">
        <v>868</v>
      </c>
      <c r="B869" s="14" t="s">
        <v>32</v>
      </c>
      <c r="C869" s="14">
        <v>32</v>
      </c>
      <c r="D869" s="14" t="s">
        <v>444</v>
      </c>
      <c r="E869" s="14" t="s">
        <v>445</v>
      </c>
      <c r="F869" s="14">
        <v>1</v>
      </c>
      <c r="G869" s="15">
        <f>_xlfn.XLOOKUP(C869,[1]products!$A$2:$A$71,[1]products!$D$2:$D$71)</f>
        <v>1792</v>
      </c>
      <c r="H869" s="16">
        <v>45160</v>
      </c>
      <c r="I869" s="16" t="str">
        <f t="shared" si="65"/>
        <v>August</v>
      </c>
      <c r="J869" s="16" t="str">
        <f t="shared" si="66"/>
        <v>Tuesday</v>
      </c>
      <c r="K869" s="17">
        <v>4.2557870370370371E-2</v>
      </c>
      <c r="L869" s="16">
        <v>45168</v>
      </c>
      <c r="M869" s="18">
        <f>HOUR(orders!$K869)</f>
        <v>1</v>
      </c>
      <c r="N869" s="16" t="str">
        <f t="shared" si="67"/>
        <v>August</v>
      </c>
      <c r="O869" s="17">
        <v>0.42305555555555552</v>
      </c>
      <c r="P869" s="17" t="str">
        <f>_xlfn.XLOOKUP(B869,[2]customers!$A$2:$A$101,[2]customers!$C$2:$C$101)</f>
        <v>Dhanbad</v>
      </c>
      <c r="Q869" s="14" t="s">
        <v>133</v>
      </c>
      <c r="R869" s="14" t="s">
        <v>20</v>
      </c>
      <c r="S869" s="15">
        <f t="shared" si="68"/>
        <v>1792</v>
      </c>
      <c r="T869" s="19">
        <f t="shared" si="69"/>
        <v>8</v>
      </c>
    </row>
    <row r="870" spans="1:20" x14ac:dyDescent="0.3">
      <c r="A870" s="20">
        <v>869</v>
      </c>
      <c r="B870" s="20" t="s">
        <v>146</v>
      </c>
      <c r="C870" s="20">
        <v>3</v>
      </c>
      <c r="D870" s="20" t="s">
        <v>483</v>
      </c>
      <c r="E870" s="20" t="s">
        <v>429</v>
      </c>
      <c r="F870" s="20">
        <v>5</v>
      </c>
      <c r="G870" s="21">
        <f>_xlfn.XLOOKUP(C870,[1]products!$A$2:$A$71,[1]products!$D$2:$D$71)</f>
        <v>1534</v>
      </c>
      <c r="H870" s="22">
        <v>44963</v>
      </c>
      <c r="I870" s="22" t="str">
        <f t="shared" si="65"/>
        <v>February</v>
      </c>
      <c r="J870" s="22" t="str">
        <f t="shared" si="66"/>
        <v>Monday</v>
      </c>
      <c r="K870" s="23">
        <v>0.41896990740740742</v>
      </c>
      <c r="L870" s="22">
        <v>44968</v>
      </c>
      <c r="M870" s="24">
        <f>HOUR(orders!$K870)</f>
        <v>10</v>
      </c>
      <c r="N870" s="22" t="str">
        <f t="shared" si="67"/>
        <v>February</v>
      </c>
      <c r="O870" s="23">
        <v>0.96976851851851853</v>
      </c>
      <c r="P870" s="23" t="str">
        <f>_xlfn.XLOOKUP(B870,[2]customers!$A$2:$A$101,[2]customers!$C$2:$C$101)</f>
        <v>Surat</v>
      </c>
      <c r="Q870" s="20" t="s">
        <v>357</v>
      </c>
      <c r="R870" s="20" t="s">
        <v>23</v>
      </c>
      <c r="S870" s="21">
        <f t="shared" si="68"/>
        <v>7670</v>
      </c>
      <c r="T870" s="25">
        <f t="shared" si="69"/>
        <v>5</v>
      </c>
    </row>
    <row r="871" spans="1:20" x14ac:dyDescent="0.3">
      <c r="A871" s="14">
        <v>870</v>
      </c>
      <c r="B871" s="14" t="s">
        <v>58</v>
      </c>
      <c r="C871" s="14">
        <v>43</v>
      </c>
      <c r="D871" s="14" t="s">
        <v>434</v>
      </c>
      <c r="E871" s="14" t="s">
        <v>26</v>
      </c>
      <c r="F871" s="14">
        <v>5</v>
      </c>
      <c r="G871" s="15">
        <f>_xlfn.XLOOKUP(C871,[1]products!$A$2:$A$71,[1]products!$D$2:$D$71)</f>
        <v>750</v>
      </c>
      <c r="H871" s="16">
        <v>45235</v>
      </c>
      <c r="I871" s="16" t="str">
        <f t="shared" si="65"/>
        <v>November</v>
      </c>
      <c r="J871" s="16" t="str">
        <f t="shared" si="66"/>
        <v>Sunday</v>
      </c>
      <c r="K871" s="17">
        <v>0.6345601851851852</v>
      </c>
      <c r="L871" s="16">
        <v>45237</v>
      </c>
      <c r="M871" s="18">
        <f>HOUR(orders!$K871)</f>
        <v>15</v>
      </c>
      <c r="N871" s="16" t="str">
        <f t="shared" si="67"/>
        <v>November</v>
      </c>
      <c r="O871" s="17">
        <v>0.28447916666666667</v>
      </c>
      <c r="P871" s="17" t="str">
        <f>_xlfn.XLOOKUP(B871,[2]customers!$A$2:$A$101,[2]customers!$C$2:$C$101)</f>
        <v>Nizamabad</v>
      </c>
      <c r="Q871" s="14" t="s">
        <v>137</v>
      </c>
      <c r="R871" s="14" t="s">
        <v>15</v>
      </c>
      <c r="S871" s="15">
        <f t="shared" si="68"/>
        <v>3750</v>
      </c>
      <c r="T871" s="19">
        <f t="shared" si="69"/>
        <v>2</v>
      </c>
    </row>
    <row r="872" spans="1:20" x14ac:dyDescent="0.3">
      <c r="A872" s="20">
        <v>871</v>
      </c>
      <c r="B872" s="20" t="s">
        <v>136</v>
      </c>
      <c r="C872" s="20">
        <v>15</v>
      </c>
      <c r="D872" s="20" t="s">
        <v>482</v>
      </c>
      <c r="E872" s="20" t="s">
        <v>26</v>
      </c>
      <c r="F872" s="20">
        <v>1</v>
      </c>
      <c r="G872" s="21">
        <f>_xlfn.XLOOKUP(C872,[1]products!$A$2:$A$71,[1]products!$D$2:$D$71)</f>
        <v>1488</v>
      </c>
      <c r="H872" s="22">
        <v>45088</v>
      </c>
      <c r="I872" s="22" t="str">
        <f t="shared" si="65"/>
        <v>June</v>
      </c>
      <c r="J872" s="22" t="str">
        <f t="shared" si="66"/>
        <v>Sunday</v>
      </c>
      <c r="K872" s="23">
        <v>0.25381944444444443</v>
      </c>
      <c r="L872" s="22">
        <v>45092</v>
      </c>
      <c r="M872" s="24">
        <f>HOUR(orders!$K872)</f>
        <v>6</v>
      </c>
      <c r="N872" s="22" t="str">
        <f t="shared" si="67"/>
        <v>June</v>
      </c>
      <c r="O872" s="23">
        <v>0.8728703703703703</v>
      </c>
      <c r="P872" s="23" t="str">
        <f>_xlfn.XLOOKUP(B872,[2]customers!$A$2:$A$101,[2]customers!$C$2:$C$101)</f>
        <v>Nagpur</v>
      </c>
      <c r="Q872" s="20" t="s">
        <v>334</v>
      </c>
      <c r="R872" s="20" t="s">
        <v>12</v>
      </c>
      <c r="S872" s="21">
        <f t="shared" si="68"/>
        <v>1488</v>
      </c>
      <c r="T872" s="25">
        <f t="shared" si="69"/>
        <v>4</v>
      </c>
    </row>
    <row r="873" spans="1:20" x14ac:dyDescent="0.3">
      <c r="A873" s="14">
        <v>872</v>
      </c>
      <c r="B873" s="14" t="s">
        <v>216</v>
      </c>
      <c r="C873" s="14">
        <v>13</v>
      </c>
      <c r="D873" s="14" t="s">
        <v>495</v>
      </c>
      <c r="E873" s="14" t="s">
        <v>458</v>
      </c>
      <c r="F873" s="14">
        <v>2</v>
      </c>
      <c r="G873" s="15">
        <f>_xlfn.XLOOKUP(C873,[1]products!$A$2:$A$71,[1]products!$D$2:$D$71)</f>
        <v>1141</v>
      </c>
      <c r="H873" s="16">
        <v>44990</v>
      </c>
      <c r="I873" s="16" t="str">
        <f t="shared" si="65"/>
        <v>March</v>
      </c>
      <c r="J873" s="16" t="str">
        <f t="shared" si="66"/>
        <v>Sunday</v>
      </c>
      <c r="K873" s="17">
        <v>0.85274305555555552</v>
      </c>
      <c r="L873" s="16">
        <v>44995</v>
      </c>
      <c r="M873" s="18">
        <f>HOUR(orders!$K873)</f>
        <v>20</v>
      </c>
      <c r="N873" s="16" t="str">
        <f t="shared" si="67"/>
        <v>March</v>
      </c>
      <c r="O873" s="17">
        <v>6.4155092592592597E-2</v>
      </c>
      <c r="P873" s="17" t="str">
        <f>_xlfn.XLOOKUP(B873,[2]customers!$A$2:$A$101,[2]customers!$C$2:$C$101)</f>
        <v>Deoghar</v>
      </c>
      <c r="Q873" s="14" t="s">
        <v>199</v>
      </c>
      <c r="R873" s="14" t="s">
        <v>36</v>
      </c>
      <c r="S873" s="15">
        <f t="shared" si="68"/>
        <v>2282</v>
      </c>
      <c r="T873" s="19">
        <f t="shared" si="69"/>
        <v>5</v>
      </c>
    </row>
    <row r="874" spans="1:20" x14ac:dyDescent="0.3">
      <c r="A874" s="20">
        <v>873</v>
      </c>
      <c r="B874" s="20" t="s">
        <v>238</v>
      </c>
      <c r="C874" s="20">
        <v>64</v>
      </c>
      <c r="D874" s="20" t="s">
        <v>492</v>
      </c>
      <c r="E874" s="20" t="s">
        <v>445</v>
      </c>
      <c r="F874" s="20">
        <v>4</v>
      </c>
      <c r="G874" s="21">
        <f>_xlfn.XLOOKUP(C874,[1]products!$A$2:$A$71,[1]products!$D$2:$D$71)</f>
        <v>1878</v>
      </c>
      <c r="H874" s="22">
        <v>45164</v>
      </c>
      <c r="I874" s="22" t="str">
        <f t="shared" si="65"/>
        <v>August</v>
      </c>
      <c r="J874" s="22" t="str">
        <f t="shared" si="66"/>
        <v>Saturday</v>
      </c>
      <c r="K874" s="23">
        <v>0.45624999999999999</v>
      </c>
      <c r="L874" s="22">
        <v>45174</v>
      </c>
      <c r="M874" s="24">
        <f>HOUR(orders!$K874)</f>
        <v>10</v>
      </c>
      <c r="N874" s="22" t="str">
        <f t="shared" si="67"/>
        <v>September</v>
      </c>
      <c r="O874" s="23">
        <v>0.65656250000000005</v>
      </c>
      <c r="P874" s="23" t="str">
        <f>_xlfn.XLOOKUP(B874,[2]customers!$A$2:$A$101,[2]customers!$C$2:$C$101)</f>
        <v>Serampore</v>
      </c>
      <c r="Q874" s="20" t="s">
        <v>70</v>
      </c>
      <c r="R874" s="20" t="s">
        <v>26</v>
      </c>
      <c r="S874" s="21">
        <f t="shared" si="68"/>
        <v>7512</v>
      </c>
      <c r="T874" s="25">
        <f t="shared" si="69"/>
        <v>10</v>
      </c>
    </row>
    <row r="875" spans="1:20" x14ac:dyDescent="0.3">
      <c r="A875" s="14">
        <v>874</v>
      </c>
      <c r="B875" s="14" t="s">
        <v>138</v>
      </c>
      <c r="C875" s="14">
        <v>68</v>
      </c>
      <c r="D875" s="14" t="s">
        <v>494</v>
      </c>
      <c r="E875" s="14" t="s">
        <v>445</v>
      </c>
      <c r="F875" s="14">
        <v>1</v>
      </c>
      <c r="G875" s="15">
        <f>_xlfn.XLOOKUP(C875,[1]products!$A$2:$A$71,[1]products!$D$2:$D$71)</f>
        <v>597</v>
      </c>
      <c r="H875" s="16">
        <v>44968</v>
      </c>
      <c r="I875" s="16" t="str">
        <f t="shared" si="65"/>
        <v>February</v>
      </c>
      <c r="J875" s="16" t="str">
        <f t="shared" si="66"/>
        <v>Saturday</v>
      </c>
      <c r="K875" s="17">
        <v>0.52951388888888895</v>
      </c>
      <c r="L875" s="16">
        <v>44978</v>
      </c>
      <c r="M875" s="18">
        <f>HOUR(orders!$K875)</f>
        <v>12</v>
      </c>
      <c r="N875" s="16" t="str">
        <f t="shared" si="67"/>
        <v>February</v>
      </c>
      <c r="O875" s="17">
        <v>0.73314814814814822</v>
      </c>
      <c r="P875" s="17" t="str">
        <f>_xlfn.XLOOKUP(B875,[2]customers!$A$2:$A$101,[2]customers!$C$2:$C$101)</f>
        <v>Kanpur</v>
      </c>
      <c r="Q875" s="14" t="s">
        <v>205</v>
      </c>
      <c r="R875" s="14" t="s">
        <v>23</v>
      </c>
      <c r="S875" s="15">
        <f t="shared" si="68"/>
        <v>597</v>
      </c>
      <c r="T875" s="19">
        <f t="shared" si="69"/>
        <v>10</v>
      </c>
    </row>
    <row r="876" spans="1:20" x14ac:dyDescent="0.3">
      <c r="A876" s="20">
        <v>875</v>
      </c>
      <c r="B876" s="20" t="s">
        <v>50</v>
      </c>
      <c r="C876" s="20">
        <v>13</v>
      </c>
      <c r="D876" s="20" t="s">
        <v>495</v>
      </c>
      <c r="E876" s="20" t="s">
        <v>458</v>
      </c>
      <c r="F876" s="20">
        <v>1</v>
      </c>
      <c r="G876" s="21">
        <f>_xlfn.XLOOKUP(C876,[1]products!$A$2:$A$71,[1]products!$D$2:$D$71)</f>
        <v>1141</v>
      </c>
      <c r="H876" s="22">
        <v>44990</v>
      </c>
      <c r="I876" s="22" t="str">
        <f t="shared" si="65"/>
        <v>March</v>
      </c>
      <c r="J876" s="22" t="str">
        <f t="shared" si="66"/>
        <v>Sunday</v>
      </c>
      <c r="K876" s="23">
        <v>0.89063657407407415</v>
      </c>
      <c r="L876" s="22">
        <v>44999</v>
      </c>
      <c r="M876" s="24">
        <f>HOUR(orders!$K876)</f>
        <v>21</v>
      </c>
      <c r="N876" s="22" t="str">
        <f t="shared" si="67"/>
        <v>March</v>
      </c>
      <c r="O876" s="23">
        <v>0.83178240740740739</v>
      </c>
      <c r="P876" s="23" t="str">
        <f>_xlfn.XLOOKUP(B876,[2]customers!$A$2:$A$101,[2]customers!$C$2:$C$101)</f>
        <v>Orai</v>
      </c>
      <c r="Q876" s="20" t="s">
        <v>158</v>
      </c>
      <c r="R876" s="20" t="s">
        <v>36</v>
      </c>
      <c r="S876" s="21">
        <f t="shared" si="68"/>
        <v>1141</v>
      </c>
      <c r="T876" s="25">
        <f t="shared" si="69"/>
        <v>9</v>
      </c>
    </row>
    <row r="877" spans="1:20" x14ac:dyDescent="0.3">
      <c r="A877" s="14">
        <v>876</v>
      </c>
      <c r="B877" s="14" t="s">
        <v>243</v>
      </c>
      <c r="C877" s="14">
        <v>4</v>
      </c>
      <c r="D877" s="14" t="s">
        <v>475</v>
      </c>
      <c r="E877" s="14" t="s">
        <v>427</v>
      </c>
      <c r="F877" s="14">
        <v>4</v>
      </c>
      <c r="G877" s="15">
        <f>_xlfn.XLOOKUP(C877,[1]products!$A$2:$A$71,[1]products!$D$2:$D$71)</f>
        <v>1199</v>
      </c>
      <c r="H877" s="16">
        <v>45236</v>
      </c>
      <c r="I877" s="16" t="str">
        <f t="shared" si="65"/>
        <v>November</v>
      </c>
      <c r="J877" s="16" t="str">
        <f t="shared" si="66"/>
        <v>Monday</v>
      </c>
      <c r="K877" s="17">
        <v>0.40180555555555553</v>
      </c>
      <c r="L877" s="16">
        <v>45244</v>
      </c>
      <c r="M877" s="18">
        <f>HOUR(orders!$K877)</f>
        <v>9</v>
      </c>
      <c r="N877" s="16" t="str">
        <f t="shared" si="67"/>
        <v>November</v>
      </c>
      <c r="O877" s="17">
        <v>0.86648148148148152</v>
      </c>
      <c r="P877" s="17" t="str">
        <f>_xlfn.XLOOKUP(B877,[2]customers!$A$2:$A$101,[2]customers!$C$2:$C$101)</f>
        <v>Tenali</v>
      </c>
      <c r="Q877" s="14" t="s">
        <v>399</v>
      </c>
      <c r="R877" s="14" t="s">
        <v>15</v>
      </c>
      <c r="S877" s="15">
        <f t="shared" si="68"/>
        <v>4796</v>
      </c>
      <c r="T877" s="19">
        <f t="shared" si="69"/>
        <v>8</v>
      </c>
    </row>
    <row r="878" spans="1:20" x14ac:dyDescent="0.3">
      <c r="A878" s="20">
        <v>877</v>
      </c>
      <c r="B878" s="20" t="s">
        <v>56</v>
      </c>
      <c r="C878" s="20">
        <v>46</v>
      </c>
      <c r="D878" s="20" t="s">
        <v>493</v>
      </c>
      <c r="E878" s="20" t="s">
        <v>431</v>
      </c>
      <c r="F878" s="20">
        <v>5</v>
      </c>
      <c r="G878" s="21">
        <f>_xlfn.XLOOKUP(C878,[1]products!$A$2:$A$71,[1]products!$D$2:$D$71)</f>
        <v>758</v>
      </c>
      <c r="H878" s="22">
        <v>44994</v>
      </c>
      <c r="I878" s="22" t="str">
        <f t="shared" si="65"/>
        <v>March</v>
      </c>
      <c r="J878" s="22" t="str">
        <f t="shared" si="66"/>
        <v>Thursday</v>
      </c>
      <c r="K878" s="23">
        <v>0.96962962962962962</v>
      </c>
      <c r="L878" s="22">
        <v>45003</v>
      </c>
      <c r="M878" s="24">
        <f>HOUR(orders!$K878)</f>
        <v>23</v>
      </c>
      <c r="N878" s="22" t="str">
        <f t="shared" si="67"/>
        <v>March</v>
      </c>
      <c r="O878" s="23">
        <v>0.51902777777777775</v>
      </c>
      <c r="P878" s="23" t="str">
        <f>_xlfn.XLOOKUP(B878,[2]customers!$A$2:$A$101,[2]customers!$C$2:$C$101)</f>
        <v>Karaikudi</v>
      </c>
      <c r="Q878" s="20" t="s">
        <v>357</v>
      </c>
      <c r="R878" s="20" t="s">
        <v>12</v>
      </c>
      <c r="S878" s="21">
        <f t="shared" si="68"/>
        <v>3790</v>
      </c>
      <c r="T878" s="25">
        <f t="shared" si="69"/>
        <v>9</v>
      </c>
    </row>
    <row r="879" spans="1:20" x14ac:dyDescent="0.3">
      <c r="A879" s="14">
        <v>878</v>
      </c>
      <c r="B879" s="14" t="s">
        <v>130</v>
      </c>
      <c r="C879" s="14">
        <v>4</v>
      </c>
      <c r="D879" s="14" t="s">
        <v>475</v>
      </c>
      <c r="E879" s="14" t="s">
        <v>427</v>
      </c>
      <c r="F879" s="14">
        <v>2</v>
      </c>
      <c r="G879" s="15">
        <f>_xlfn.XLOOKUP(C879,[1]products!$A$2:$A$71,[1]products!$D$2:$D$71)</f>
        <v>1199</v>
      </c>
      <c r="H879" s="16">
        <v>45240</v>
      </c>
      <c r="I879" s="16" t="str">
        <f t="shared" si="65"/>
        <v>November</v>
      </c>
      <c r="J879" s="16" t="str">
        <f t="shared" si="66"/>
        <v>Friday</v>
      </c>
      <c r="K879" s="17">
        <v>0.69234953703703705</v>
      </c>
      <c r="L879" s="16">
        <v>45249</v>
      </c>
      <c r="M879" s="18">
        <f>HOUR(orders!$K879)</f>
        <v>16</v>
      </c>
      <c r="N879" s="16" t="str">
        <f t="shared" si="67"/>
        <v>November</v>
      </c>
      <c r="O879" s="17">
        <v>0.69831018518518517</v>
      </c>
      <c r="P879" s="17" t="str">
        <f>_xlfn.XLOOKUP(B879,[2]customers!$A$2:$A$101,[2]customers!$C$2:$C$101)</f>
        <v>Delhi</v>
      </c>
      <c r="Q879" s="14" t="s">
        <v>413</v>
      </c>
      <c r="R879" s="14" t="s">
        <v>15</v>
      </c>
      <c r="S879" s="15">
        <f t="shared" si="68"/>
        <v>2398</v>
      </c>
      <c r="T879" s="19">
        <f t="shared" si="69"/>
        <v>9</v>
      </c>
    </row>
    <row r="880" spans="1:20" x14ac:dyDescent="0.3">
      <c r="A880" s="20">
        <v>879</v>
      </c>
      <c r="B880" s="20" t="s">
        <v>212</v>
      </c>
      <c r="C880" s="20">
        <v>33</v>
      </c>
      <c r="D880" s="20" t="s">
        <v>490</v>
      </c>
      <c r="E880" s="20" t="s">
        <v>429</v>
      </c>
      <c r="F880" s="20">
        <v>2</v>
      </c>
      <c r="G880" s="21">
        <f>_xlfn.XLOOKUP(C880,[1]products!$A$2:$A$71,[1]products!$D$2:$D$71)</f>
        <v>314</v>
      </c>
      <c r="H880" s="22">
        <v>44964</v>
      </c>
      <c r="I880" s="22" t="str">
        <f t="shared" si="65"/>
        <v>February</v>
      </c>
      <c r="J880" s="22" t="str">
        <f t="shared" si="66"/>
        <v>Tuesday</v>
      </c>
      <c r="K880" s="23">
        <v>0.23233796296296297</v>
      </c>
      <c r="L880" s="22">
        <v>44967</v>
      </c>
      <c r="M880" s="24">
        <f>HOUR(orders!$K880)</f>
        <v>5</v>
      </c>
      <c r="N880" s="22" t="str">
        <f t="shared" si="67"/>
        <v>February</v>
      </c>
      <c r="O880" s="23">
        <v>0.47752314814814811</v>
      </c>
      <c r="P880" s="23" t="str">
        <f>_xlfn.XLOOKUP(B880,[2]customers!$A$2:$A$101,[2]customers!$C$2:$C$101)</f>
        <v>Dibrugarh</v>
      </c>
      <c r="Q880" s="20" t="s">
        <v>173</v>
      </c>
      <c r="R880" s="20" t="s">
        <v>23</v>
      </c>
      <c r="S880" s="21">
        <f t="shared" si="68"/>
        <v>628</v>
      </c>
      <c r="T880" s="25">
        <f t="shared" si="69"/>
        <v>3</v>
      </c>
    </row>
    <row r="881" spans="1:20" x14ac:dyDescent="0.3">
      <c r="A881" s="14">
        <v>880</v>
      </c>
      <c r="B881" s="14" t="s">
        <v>31</v>
      </c>
      <c r="C881" s="14">
        <v>34</v>
      </c>
      <c r="D881" s="14" t="s">
        <v>472</v>
      </c>
      <c r="E881" s="14" t="s">
        <v>445</v>
      </c>
      <c r="F881" s="14">
        <v>5</v>
      </c>
      <c r="G881" s="15">
        <f>_xlfn.XLOOKUP(C881,[1]products!$A$2:$A$71,[1]products!$D$2:$D$71)</f>
        <v>1335</v>
      </c>
      <c r="H881" s="16">
        <v>45167</v>
      </c>
      <c r="I881" s="16" t="str">
        <f t="shared" si="65"/>
        <v>August</v>
      </c>
      <c r="J881" s="16" t="str">
        <f t="shared" si="66"/>
        <v>Tuesday</v>
      </c>
      <c r="K881" s="17">
        <v>0.92668981481481483</v>
      </c>
      <c r="L881" s="16">
        <v>45169</v>
      </c>
      <c r="M881" s="18">
        <f>HOUR(orders!$K881)</f>
        <v>22</v>
      </c>
      <c r="N881" s="16" t="str">
        <f t="shared" si="67"/>
        <v>August</v>
      </c>
      <c r="O881" s="17">
        <v>0.20474537037037036</v>
      </c>
      <c r="P881" s="17" t="str">
        <f>_xlfn.XLOOKUP(B881,[2]customers!$A$2:$A$101,[2]customers!$C$2:$C$101)</f>
        <v>Agra</v>
      </c>
      <c r="Q881" s="14" t="s">
        <v>158</v>
      </c>
      <c r="R881" s="14" t="s">
        <v>26</v>
      </c>
      <c r="S881" s="15">
        <f t="shared" si="68"/>
        <v>6675</v>
      </c>
      <c r="T881" s="19">
        <f t="shared" si="69"/>
        <v>2</v>
      </c>
    </row>
    <row r="882" spans="1:20" x14ac:dyDescent="0.3">
      <c r="A882" s="20">
        <v>881</v>
      </c>
      <c r="B882" s="20" t="s">
        <v>121</v>
      </c>
      <c r="C882" s="20">
        <v>28</v>
      </c>
      <c r="D882" s="20" t="s">
        <v>432</v>
      </c>
      <c r="E882" s="20" t="s">
        <v>427</v>
      </c>
      <c r="F882" s="20">
        <v>4</v>
      </c>
      <c r="G882" s="21">
        <f>_xlfn.XLOOKUP(C882,[1]products!$A$2:$A$71,[1]products!$D$2:$D$71)</f>
        <v>1778</v>
      </c>
      <c r="H882" s="22">
        <v>45159</v>
      </c>
      <c r="I882" s="22" t="str">
        <f t="shared" si="65"/>
        <v>August</v>
      </c>
      <c r="J882" s="22" t="str">
        <f t="shared" si="66"/>
        <v>Monday</v>
      </c>
      <c r="K882" s="23">
        <v>0.6372916666666667</v>
      </c>
      <c r="L882" s="22">
        <v>45166</v>
      </c>
      <c r="M882" s="24">
        <f>HOUR(orders!$K882)</f>
        <v>15</v>
      </c>
      <c r="N882" s="22" t="str">
        <f t="shared" si="67"/>
        <v>August</v>
      </c>
      <c r="O882" s="23">
        <v>0.5414930555555556</v>
      </c>
      <c r="P882" s="23" t="str">
        <f>_xlfn.XLOOKUP(B882,[2]customers!$A$2:$A$101,[2]customers!$C$2:$C$101)</f>
        <v>Kolkata</v>
      </c>
      <c r="Q882" s="20" t="s">
        <v>77</v>
      </c>
      <c r="R882" s="20" t="s">
        <v>26</v>
      </c>
      <c r="S882" s="21">
        <f t="shared" si="68"/>
        <v>7112</v>
      </c>
      <c r="T882" s="25">
        <f t="shared" si="69"/>
        <v>7</v>
      </c>
    </row>
    <row r="883" spans="1:20" x14ac:dyDescent="0.3">
      <c r="A883" s="14">
        <v>882</v>
      </c>
      <c r="B883" s="14" t="s">
        <v>253</v>
      </c>
      <c r="C883" s="14">
        <v>64</v>
      </c>
      <c r="D883" s="14" t="s">
        <v>492</v>
      </c>
      <c r="E883" s="14" t="s">
        <v>445</v>
      </c>
      <c r="F883" s="14">
        <v>2</v>
      </c>
      <c r="G883" s="15">
        <f>_xlfn.XLOOKUP(C883,[1]products!$A$2:$A$71,[1]products!$D$2:$D$71)</f>
        <v>1878</v>
      </c>
      <c r="H883" s="16">
        <v>45167</v>
      </c>
      <c r="I883" s="16" t="str">
        <f t="shared" si="65"/>
        <v>August</v>
      </c>
      <c r="J883" s="16" t="str">
        <f t="shared" si="66"/>
        <v>Tuesday</v>
      </c>
      <c r="K883" s="17">
        <v>0.23101851851851851</v>
      </c>
      <c r="L883" s="16">
        <v>45177</v>
      </c>
      <c r="M883" s="18">
        <f>HOUR(orders!$K883)</f>
        <v>5</v>
      </c>
      <c r="N883" s="16" t="str">
        <f t="shared" si="67"/>
        <v>September</v>
      </c>
      <c r="O883" s="17">
        <v>0.67700231481481488</v>
      </c>
      <c r="P883" s="17" t="str">
        <f>_xlfn.XLOOKUP(B883,[2]customers!$A$2:$A$101,[2]customers!$C$2:$C$101)</f>
        <v>Nellore</v>
      </c>
      <c r="Q883" s="14" t="s">
        <v>244</v>
      </c>
      <c r="R883" s="14" t="s">
        <v>26</v>
      </c>
      <c r="S883" s="15">
        <f t="shared" si="68"/>
        <v>3756</v>
      </c>
      <c r="T883" s="19">
        <f t="shared" si="69"/>
        <v>10</v>
      </c>
    </row>
    <row r="884" spans="1:20" x14ac:dyDescent="0.3">
      <c r="A884" s="20">
        <v>883</v>
      </c>
      <c r="B884" s="20" t="s">
        <v>56</v>
      </c>
      <c r="C884" s="20">
        <v>36</v>
      </c>
      <c r="D884" s="20" t="s">
        <v>468</v>
      </c>
      <c r="E884" s="20" t="s">
        <v>447</v>
      </c>
      <c r="F884" s="20">
        <v>4</v>
      </c>
      <c r="G884" s="21">
        <f>_xlfn.XLOOKUP(C884,[1]products!$A$2:$A$71,[1]products!$D$2:$D$71)</f>
        <v>203</v>
      </c>
      <c r="H884" s="22">
        <v>45123</v>
      </c>
      <c r="I884" s="22" t="str">
        <f t="shared" si="65"/>
        <v>July</v>
      </c>
      <c r="J884" s="22" t="str">
        <f t="shared" si="66"/>
        <v>Sunday</v>
      </c>
      <c r="K884" s="23">
        <v>0.82226851851851857</v>
      </c>
      <c r="L884" s="22">
        <v>45124</v>
      </c>
      <c r="M884" s="24">
        <f>HOUR(orders!$K884)</f>
        <v>19</v>
      </c>
      <c r="N884" s="22" t="str">
        <f t="shared" si="67"/>
        <v>July</v>
      </c>
      <c r="O884" s="23">
        <v>0.8771064814814814</v>
      </c>
      <c r="P884" s="23" t="str">
        <f>_xlfn.XLOOKUP(B884,[2]customers!$A$2:$A$101,[2]customers!$C$2:$C$101)</f>
        <v>Karaikudi</v>
      </c>
      <c r="Q884" s="20" t="s">
        <v>152</v>
      </c>
      <c r="R884" s="20" t="s">
        <v>20</v>
      </c>
      <c r="S884" s="21">
        <f t="shared" si="68"/>
        <v>812</v>
      </c>
      <c r="T884" s="25">
        <f t="shared" si="69"/>
        <v>1</v>
      </c>
    </row>
    <row r="885" spans="1:20" x14ac:dyDescent="0.3">
      <c r="A885" s="14">
        <v>884</v>
      </c>
      <c r="B885" s="14" t="s">
        <v>61</v>
      </c>
      <c r="C885" s="14">
        <v>10</v>
      </c>
      <c r="D885" s="14" t="s">
        <v>452</v>
      </c>
      <c r="E885" s="14" t="s">
        <v>431</v>
      </c>
      <c r="F885" s="14">
        <v>3</v>
      </c>
      <c r="G885" s="15">
        <f>_xlfn.XLOOKUP(C885,[1]products!$A$2:$A$71,[1]products!$D$2:$D$71)</f>
        <v>259</v>
      </c>
      <c r="H885" s="16">
        <v>45003</v>
      </c>
      <c r="I885" s="16" t="str">
        <f t="shared" si="65"/>
        <v>March</v>
      </c>
      <c r="J885" s="16" t="str">
        <f t="shared" si="66"/>
        <v>Saturday</v>
      </c>
      <c r="K885" s="17">
        <v>0.92759259259259252</v>
      </c>
      <c r="L885" s="16">
        <v>45012</v>
      </c>
      <c r="M885" s="18">
        <f>HOUR(orders!$K885)</f>
        <v>22</v>
      </c>
      <c r="N885" s="16" t="str">
        <f t="shared" si="67"/>
        <v>March</v>
      </c>
      <c r="O885" s="17">
        <v>0.79160879629629621</v>
      </c>
      <c r="P885" s="17" t="str">
        <f>_xlfn.XLOOKUP(B885,[2]customers!$A$2:$A$101,[2]customers!$C$2:$C$101)</f>
        <v>New Delhi</v>
      </c>
      <c r="Q885" s="14" t="s">
        <v>308</v>
      </c>
      <c r="R885" s="14" t="s">
        <v>20</v>
      </c>
      <c r="S885" s="15">
        <f t="shared" si="68"/>
        <v>777</v>
      </c>
      <c r="T885" s="19">
        <f t="shared" si="69"/>
        <v>9</v>
      </c>
    </row>
    <row r="886" spans="1:20" x14ac:dyDescent="0.3">
      <c r="A886" s="20">
        <v>885</v>
      </c>
      <c r="B886" s="20" t="s">
        <v>215</v>
      </c>
      <c r="C886" s="20">
        <v>42</v>
      </c>
      <c r="D886" s="20" t="s">
        <v>448</v>
      </c>
      <c r="E886" s="20" t="s">
        <v>427</v>
      </c>
      <c r="F886" s="20">
        <v>2</v>
      </c>
      <c r="G886" s="21">
        <f>_xlfn.XLOOKUP(C886,[1]products!$A$2:$A$71,[1]products!$D$2:$D$71)</f>
        <v>1744</v>
      </c>
      <c r="H886" s="22">
        <v>45216</v>
      </c>
      <c r="I886" s="22" t="str">
        <f t="shared" si="65"/>
        <v>October</v>
      </c>
      <c r="J886" s="22" t="str">
        <f t="shared" si="66"/>
        <v>Tuesday</v>
      </c>
      <c r="K886" s="23">
        <v>0.82844907407407409</v>
      </c>
      <c r="L886" s="22">
        <v>45220</v>
      </c>
      <c r="M886" s="24">
        <f>HOUR(orders!$K886)</f>
        <v>19</v>
      </c>
      <c r="N886" s="22" t="str">
        <f t="shared" si="67"/>
        <v>October</v>
      </c>
      <c r="O886" s="23">
        <v>0.78206018518518527</v>
      </c>
      <c r="P886" s="23" t="str">
        <f>_xlfn.XLOOKUP(B886,[2]customers!$A$2:$A$101,[2]customers!$C$2:$C$101)</f>
        <v>Tiruchirappalli</v>
      </c>
      <c r="Q886" s="20" t="s">
        <v>71</v>
      </c>
      <c r="R886" s="20" t="s">
        <v>60</v>
      </c>
      <c r="S886" s="21">
        <f t="shared" si="68"/>
        <v>3488</v>
      </c>
      <c r="T886" s="25">
        <f t="shared" si="69"/>
        <v>4</v>
      </c>
    </row>
    <row r="887" spans="1:20" x14ac:dyDescent="0.3">
      <c r="A887" s="14">
        <v>886</v>
      </c>
      <c r="B887" s="14" t="s">
        <v>105</v>
      </c>
      <c r="C887" s="14">
        <v>53</v>
      </c>
      <c r="D887" s="14" t="s">
        <v>496</v>
      </c>
      <c r="E887" s="14" t="s">
        <v>427</v>
      </c>
      <c r="F887" s="14">
        <v>3</v>
      </c>
      <c r="G887" s="15">
        <f>_xlfn.XLOOKUP(C887,[1]products!$A$2:$A$71,[1]products!$D$2:$D$71)</f>
        <v>1672</v>
      </c>
      <c r="H887" s="16">
        <v>45159</v>
      </c>
      <c r="I887" s="16" t="str">
        <f t="shared" si="65"/>
        <v>August</v>
      </c>
      <c r="J887" s="16" t="str">
        <f t="shared" si="66"/>
        <v>Monday</v>
      </c>
      <c r="K887" s="17">
        <v>0.34932870370370367</v>
      </c>
      <c r="L887" s="16">
        <v>45163</v>
      </c>
      <c r="M887" s="18">
        <f>HOUR(orders!$K887)</f>
        <v>8</v>
      </c>
      <c r="N887" s="16" t="str">
        <f t="shared" si="67"/>
        <v>August</v>
      </c>
      <c r="O887" s="17">
        <v>0.82818287037037042</v>
      </c>
      <c r="P887" s="17" t="str">
        <f>_xlfn.XLOOKUP(B887,[2]customers!$A$2:$A$101,[2]customers!$C$2:$C$101)</f>
        <v>Maheshtala</v>
      </c>
      <c r="Q887" s="14" t="s">
        <v>28</v>
      </c>
      <c r="R887" s="14" t="s">
        <v>26</v>
      </c>
      <c r="S887" s="15">
        <f t="shared" si="68"/>
        <v>5016</v>
      </c>
      <c r="T887" s="19">
        <f t="shared" si="69"/>
        <v>4</v>
      </c>
    </row>
    <row r="888" spans="1:20" x14ac:dyDescent="0.3">
      <c r="A888" s="20">
        <v>887</v>
      </c>
      <c r="B888" s="20" t="s">
        <v>61</v>
      </c>
      <c r="C888" s="20">
        <v>51</v>
      </c>
      <c r="D888" s="20" t="s">
        <v>469</v>
      </c>
      <c r="E888" s="20" t="s">
        <v>445</v>
      </c>
      <c r="F888" s="20">
        <v>3</v>
      </c>
      <c r="G888" s="21">
        <f>_xlfn.XLOOKUP(C888,[1]products!$A$2:$A$71,[1]products!$D$2:$D$71)</f>
        <v>1084</v>
      </c>
      <c r="H888" s="22">
        <v>45106</v>
      </c>
      <c r="I888" s="22" t="str">
        <f t="shared" si="65"/>
        <v>June</v>
      </c>
      <c r="J888" s="22" t="str">
        <f t="shared" si="66"/>
        <v>Thursday</v>
      </c>
      <c r="K888" s="23">
        <v>0.72255787037037045</v>
      </c>
      <c r="L888" s="22">
        <v>45107</v>
      </c>
      <c r="M888" s="24">
        <f>HOUR(orders!$K888)</f>
        <v>17</v>
      </c>
      <c r="N888" s="22" t="str">
        <f t="shared" si="67"/>
        <v>June</v>
      </c>
      <c r="O888" s="23">
        <v>0.41377314814814814</v>
      </c>
      <c r="P888" s="23" t="str">
        <f>_xlfn.XLOOKUP(B888,[2]customers!$A$2:$A$101,[2]customers!$C$2:$C$101)</f>
        <v>New Delhi</v>
      </c>
      <c r="Q888" s="20" t="s">
        <v>407</v>
      </c>
      <c r="R888" s="20" t="s">
        <v>60</v>
      </c>
      <c r="S888" s="21">
        <f t="shared" si="68"/>
        <v>3252</v>
      </c>
      <c r="T888" s="25">
        <f t="shared" si="69"/>
        <v>1</v>
      </c>
    </row>
    <row r="889" spans="1:20" x14ac:dyDescent="0.3">
      <c r="A889" s="14">
        <v>888</v>
      </c>
      <c r="B889" s="14" t="s">
        <v>99</v>
      </c>
      <c r="C889" s="14">
        <v>69</v>
      </c>
      <c r="D889" s="14" t="s">
        <v>486</v>
      </c>
      <c r="E889" s="14" t="s">
        <v>431</v>
      </c>
      <c r="F889" s="14">
        <v>3</v>
      </c>
      <c r="G889" s="15">
        <f>_xlfn.XLOOKUP(C889,[1]products!$A$2:$A$71,[1]products!$D$2:$D$71)</f>
        <v>998</v>
      </c>
      <c r="H889" s="16">
        <v>44991</v>
      </c>
      <c r="I889" s="16" t="str">
        <f t="shared" si="65"/>
        <v>March</v>
      </c>
      <c r="J889" s="16" t="str">
        <f t="shared" si="66"/>
        <v>Monday</v>
      </c>
      <c r="K889" s="17">
        <v>0.48244212962962968</v>
      </c>
      <c r="L889" s="16">
        <v>44996</v>
      </c>
      <c r="M889" s="18">
        <f>HOUR(orders!$K889)</f>
        <v>11</v>
      </c>
      <c r="N889" s="16" t="str">
        <f t="shared" si="67"/>
        <v>March</v>
      </c>
      <c r="O889" s="17">
        <v>0.63482638888888887</v>
      </c>
      <c r="P889" s="17" t="str">
        <f>_xlfn.XLOOKUP(B889,[2]customers!$A$2:$A$101,[2]customers!$C$2:$C$101)</f>
        <v>Panvel</v>
      </c>
      <c r="Q889" s="14" t="s">
        <v>382</v>
      </c>
      <c r="R889" s="14" t="s">
        <v>36</v>
      </c>
      <c r="S889" s="15">
        <f t="shared" si="68"/>
        <v>2994</v>
      </c>
      <c r="T889" s="19">
        <f t="shared" si="69"/>
        <v>5</v>
      </c>
    </row>
    <row r="890" spans="1:20" x14ac:dyDescent="0.3">
      <c r="A890" s="20">
        <v>889</v>
      </c>
      <c r="B890" s="20" t="s">
        <v>127</v>
      </c>
      <c r="C890" s="20">
        <v>36</v>
      </c>
      <c r="D890" s="20" t="s">
        <v>468</v>
      </c>
      <c r="E890" s="20" t="s">
        <v>447</v>
      </c>
      <c r="F890" s="20">
        <v>3</v>
      </c>
      <c r="G890" s="21">
        <f>_xlfn.XLOOKUP(C890,[1]products!$A$2:$A$71,[1]products!$D$2:$D$71)</f>
        <v>203</v>
      </c>
      <c r="H890" s="22">
        <v>45154</v>
      </c>
      <c r="I890" s="22" t="str">
        <f t="shared" si="65"/>
        <v>August</v>
      </c>
      <c r="J890" s="22" t="str">
        <f t="shared" si="66"/>
        <v>Wednesday</v>
      </c>
      <c r="K890" s="23">
        <v>0.96300925925925929</v>
      </c>
      <c r="L890" s="22">
        <v>45156</v>
      </c>
      <c r="M890" s="24">
        <f>HOUR(orders!$K890)</f>
        <v>23</v>
      </c>
      <c r="N890" s="22" t="str">
        <f t="shared" si="67"/>
        <v>August</v>
      </c>
      <c r="O890" s="23">
        <v>0.42016203703703708</v>
      </c>
      <c r="P890" s="23" t="str">
        <f>_xlfn.XLOOKUP(B890,[2]customers!$A$2:$A$101,[2]customers!$C$2:$C$101)</f>
        <v>Imphal</v>
      </c>
      <c r="Q890" s="20" t="s">
        <v>295</v>
      </c>
      <c r="R890" s="20" t="s">
        <v>20</v>
      </c>
      <c r="S890" s="21">
        <f t="shared" si="68"/>
        <v>609</v>
      </c>
      <c r="T890" s="25">
        <f t="shared" si="69"/>
        <v>2</v>
      </c>
    </row>
    <row r="891" spans="1:20" x14ac:dyDescent="0.3">
      <c r="A891" s="14">
        <v>890</v>
      </c>
      <c r="B891" s="14" t="s">
        <v>67</v>
      </c>
      <c r="C891" s="14">
        <v>45</v>
      </c>
      <c r="D891" s="14" t="s">
        <v>433</v>
      </c>
      <c r="E891" s="14" t="s">
        <v>26</v>
      </c>
      <c r="F891" s="14">
        <v>4</v>
      </c>
      <c r="G891" s="15">
        <f>_xlfn.XLOOKUP(C891,[1]products!$A$2:$A$71,[1]products!$D$2:$D$71)</f>
        <v>722</v>
      </c>
      <c r="H891" s="16">
        <v>45008</v>
      </c>
      <c r="I891" s="16" t="str">
        <f t="shared" si="65"/>
        <v>March</v>
      </c>
      <c r="J891" s="16" t="str">
        <f t="shared" si="66"/>
        <v>Thursday</v>
      </c>
      <c r="K891" s="17">
        <v>0.97592592592592586</v>
      </c>
      <c r="L891" s="16">
        <v>45012</v>
      </c>
      <c r="M891" s="18">
        <f>HOUR(orders!$K891)</f>
        <v>23</v>
      </c>
      <c r="N891" s="16" t="str">
        <f t="shared" si="67"/>
        <v>March</v>
      </c>
      <c r="O891" s="17">
        <v>0.4848958333333333</v>
      </c>
      <c r="P891" s="17" t="str">
        <f>_xlfn.XLOOKUP(B891,[2]customers!$A$2:$A$101,[2]customers!$C$2:$C$101)</f>
        <v>Srikakulam</v>
      </c>
      <c r="Q891" s="14" t="s">
        <v>349</v>
      </c>
      <c r="R891" s="14" t="s">
        <v>20</v>
      </c>
      <c r="S891" s="15">
        <f t="shared" si="68"/>
        <v>2888</v>
      </c>
      <c r="T891" s="19">
        <f t="shared" si="69"/>
        <v>4</v>
      </c>
    </row>
    <row r="892" spans="1:20" x14ac:dyDescent="0.3">
      <c r="A892" s="20">
        <v>891</v>
      </c>
      <c r="B892" s="20" t="s">
        <v>238</v>
      </c>
      <c r="C892" s="20">
        <v>58</v>
      </c>
      <c r="D892" s="20" t="s">
        <v>430</v>
      </c>
      <c r="E892" s="20" t="s">
        <v>431</v>
      </c>
      <c r="F892" s="20">
        <v>2</v>
      </c>
      <c r="G892" s="21">
        <f>_xlfn.XLOOKUP(C892,[1]products!$A$2:$A$71,[1]products!$D$2:$D$71)</f>
        <v>1492</v>
      </c>
      <c r="H892" s="22">
        <v>44965</v>
      </c>
      <c r="I892" s="22" t="str">
        <f t="shared" si="65"/>
        <v>February</v>
      </c>
      <c r="J892" s="22" t="str">
        <f t="shared" si="66"/>
        <v>Wednesday</v>
      </c>
      <c r="K892" s="23">
        <v>0.62271990740740735</v>
      </c>
      <c r="L892" s="22">
        <v>44973</v>
      </c>
      <c r="M892" s="24">
        <f>HOUR(orders!$K892)</f>
        <v>14</v>
      </c>
      <c r="N892" s="22" t="str">
        <f t="shared" si="67"/>
        <v>February</v>
      </c>
      <c r="O892" s="23">
        <v>0.99635416666666676</v>
      </c>
      <c r="P892" s="23" t="str">
        <f>_xlfn.XLOOKUP(B892,[2]customers!$A$2:$A$101,[2]customers!$C$2:$C$101)</f>
        <v>Serampore</v>
      </c>
      <c r="Q892" s="20" t="s">
        <v>132</v>
      </c>
      <c r="R892" s="20" t="s">
        <v>23</v>
      </c>
      <c r="S892" s="21">
        <f t="shared" si="68"/>
        <v>2984</v>
      </c>
      <c r="T892" s="25">
        <f t="shared" si="69"/>
        <v>8</v>
      </c>
    </row>
    <row r="893" spans="1:20" x14ac:dyDescent="0.3">
      <c r="A893" s="14">
        <v>892</v>
      </c>
      <c r="B893" s="14" t="s">
        <v>343</v>
      </c>
      <c r="C893" s="14">
        <v>11</v>
      </c>
      <c r="D893" s="14" t="s">
        <v>476</v>
      </c>
      <c r="E893" s="14" t="s">
        <v>458</v>
      </c>
      <c r="F893" s="14">
        <v>4</v>
      </c>
      <c r="G893" s="15">
        <f>_xlfn.XLOOKUP(C893,[1]products!$A$2:$A$71,[1]products!$D$2:$D$71)</f>
        <v>1096</v>
      </c>
      <c r="H893" s="16">
        <v>44963</v>
      </c>
      <c r="I893" s="16" t="str">
        <f t="shared" si="65"/>
        <v>February</v>
      </c>
      <c r="J893" s="16" t="str">
        <f t="shared" si="66"/>
        <v>Monday</v>
      </c>
      <c r="K893" s="17">
        <v>0.77296296296296296</v>
      </c>
      <c r="L893" s="16">
        <v>44964</v>
      </c>
      <c r="M893" s="18">
        <f>HOUR(orders!$K893)</f>
        <v>18</v>
      </c>
      <c r="N893" s="16" t="str">
        <f t="shared" si="67"/>
        <v>February</v>
      </c>
      <c r="O893" s="17">
        <v>6.0347222222222219E-2</v>
      </c>
      <c r="P893" s="17" t="str">
        <f>_xlfn.XLOOKUP(B893,[2]customers!$A$2:$A$101,[2]customers!$C$2:$C$101)</f>
        <v>Singrauli</v>
      </c>
      <c r="Q893" s="14" t="s">
        <v>126</v>
      </c>
      <c r="R893" s="14" t="s">
        <v>23</v>
      </c>
      <c r="S893" s="15">
        <f t="shared" si="68"/>
        <v>4384</v>
      </c>
      <c r="T893" s="19">
        <f t="shared" si="69"/>
        <v>1</v>
      </c>
    </row>
    <row r="894" spans="1:20" x14ac:dyDescent="0.3">
      <c r="A894" s="20">
        <v>893</v>
      </c>
      <c r="B894" s="20" t="s">
        <v>138</v>
      </c>
      <c r="C894" s="20">
        <v>63</v>
      </c>
      <c r="D894" s="20" t="s">
        <v>498</v>
      </c>
      <c r="E894" s="20" t="s">
        <v>427</v>
      </c>
      <c r="F894" s="20">
        <v>3</v>
      </c>
      <c r="G894" s="21">
        <f>_xlfn.XLOOKUP(C894,[1]products!$A$2:$A$71,[1]products!$D$2:$D$71)</f>
        <v>1348</v>
      </c>
      <c r="H894" s="22">
        <v>45013</v>
      </c>
      <c r="I894" s="22" t="str">
        <f t="shared" si="65"/>
        <v>March</v>
      </c>
      <c r="J894" s="22" t="str">
        <f t="shared" si="66"/>
        <v>Tuesday</v>
      </c>
      <c r="K894" s="23">
        <v>0.65326388888888887</v>
      </c>
      <c r="L894" s="22">
        <v>45023</v>
      </c>
      <c r="M894" s="24">
        <f>HOUR(orders!$K894)</f>
        <v>15</v>
      </c>
      <c r="N894" s="22" t="str">
        <f t="shared" si="67"/>
        <v>April</v>
      </c>
      <c r="O894" s="23">
        <v>0.61762731481481481</v>
      </c>
      <c r="P894" s="23" t="str">
        <f>_xlfn.XLOOKUP(B894,[2]customers!$A$2:$A$101,[2]customers!$C$2:$C$101)</f>
        <v>Kanpur</v>
      </c>
      <c r="Q894" s="20" t="s">
        <v>379</v>
      </c>
      <c r="R894" s="20" t="s">
        <v>60</v>
      </c>
      <c r="S894" s="21">
        <f t="shared" si="68"/>
        <v>4044</v>
      </c>
      <c r="T894" s="25">
        <f t="shared" si="69"/>
        <v>10</v>
      </c>
    </row>
    <row r="895" spans="1:20" x14ac:dyDescent="0.3">
      <c r="A895" s="14">
        <v>894</v>
      </c>
      <c r="B895" s="14" t="s">
        <v>212</v>
      </c>
      <c r="C895" s="14">
        <v>54</v>
      </c>
      <c r="D895" s="14" t="s">
        <v>461</v>
      </c>
      <c r="E895" s="14" t="s">
        <v>431</v>
      </c>
      <c r="F895" s="14">
        <v>4</v>
      </c>
      <c r="G895" s="15">
        <f>_xlfn.XLOOKUP(C895,[1]products!$A$2:$A$71,[1]products!$D$2:$D$71)</f>
        <v>1236</v>
      </c>
      <c r="H895" s="16">
        <v>45213</v>
      </c>
      <c r="I895" s="16" t="str">
        <f t="shared" si="65"/>
        <v>October</v>
      </c>
      <c r="J895" s="16" t="str">
        <f t="shared" si="66"/>
        <v>Saturday</v>
      </c>
      <c r="K895" s="17">
        <v>0.5873032407407407</v>
      </c>
      <c r="L895" s="16">
        <v>45220</v>
      </c>
      <c r="M895" s="18">
        <f>HOUR(orders!$K895)</f>
        <v>14</v>
      </c>
      <c r="N895" s="16" t="str">
        <f t="shared" si="67"/>
        <v>October</v>
      </c>
      <c r="O895" s="17">
        <v>0.96552083333333327</v>
      </c>
      <c r="P895" s="17" t="str">
        <f>_xlfn.XLOOKUP(B895,[2]customers!$A$2:$A$101,[2]customers!$C$2:$C$101)</f>
        <v>Dibrugarh</v>
      </c>
      <c r="Q895" s="14" t="s">
        <v>278</v>
      </c>
      <c r="R895" s="14" t="s">
        <v>12</v>
      </c>
      <c r="S895" s="15">
        <f t="shared" si="68"/>
        <v>4944</v>
      </c>
      <c r="T895" s="19">
        <f t="shared" si="69"/>
        <v>7</v>
      </c>
    </row>
    <row r="896" spans="1:20" x14ac:dyDescent="0.3">
      <c r="A896" s="20">
        <v>895</v>
      </c>
      <c r="B896" s="20" t="s">
        <v>83</v>
      </c>
      <c r="C896" s="20">
        <v>45</v>
      </c>
      <c r="D896" s="20" t="s">
        <v>433</v>
      </c>
      <c r="E896" s="20" t="s">
        <v>26</v>
      </c>
      <c r="F896" s="20">
        <v>1</v>
      </c>
      <c r="G896" s="21">
        <f>_xlfn.XLOOKUP(C896,[1]products!$A$2:$A$71,[1]products!$D$2:$D$71)</f>
        <v>722</v>
      </c>
      <c r="H896" s="22">
        <v>45013</v>
      </c>
      <c r="I896" s="22" t="str">
        <f t="shared" si="65"/>
        <v>March</v>
      </c>
      <c r="J896" s="22" t="str">
        <f t="shared" si="66"/>
        <v>Tuesday</v>
      </c>
      <c r="K896" s="23">
        <v>0.78189814814814806</v>
      </c>
      <c r="L896" s="22">
        <v>45022</v>
      </c>
      <c r="M896" s="24">
        <f>HOUR(orders!$K896)</f>
        <v>18</v>
      </c>
      <c r="N896" s="22" t="str">
        <f t="shared" si="67"/>
        <v>April</v>
      </c>
      <c r="O896" s="23">
        <v>0.12060185185185185</v>
      </c>
      <c r="P896" s="23" t="str">
        <f>_xlfn.XLOOKUP(B896,[2]customers!$A$2:$A$101,[2]customers!$C$2:$C$101)</f>
        <v>Malegaon</v>
      </c>
      <c r="Q896" s="20" t="s">
        <v>219</v>
      </c>
      <c r="R896" s="20" t="s">
        <v>20</v>
      </c>
      <c r="S896" s="21">
        <f t="shared" si="68"/>
        <v>722</v>
      </c>
      <c r="T896" s="25">
        <f t="shared" si="69"/>
        <v>9</v>
      </c>
    </row>
    <row r="897" spans="1:20" x14ac:dyDescent="0.3">
      <c r="A897" s="14">
        <v>896</v>
      </c>
      <c r="B897" s="14" t="s">
        <v>142</v>
      </c>
      <c r="C897" s="14">
        <v>46</v>
      </c>
      <c r="D897" s="14" t="s">
        <v>493</v>
      </c>
      <c r="E897" s="14" t="s">
        <v>431</v>
      </c>
      <c r="F897" s="14">
        <v>1</v>
      </c>
      <c r="G897" s="15">
        <f>_xlfn.XLOOKUP(C897,[1]products!$A$2:$A$71,[1]products!$D$2:$D$71)</f>
        <v>758</v>
      </c>
      <c r="H897" s="16">
        <v>45021</v>
      </c>
      <c r="I897" s="16" t="str">
        <f t="shared" si="65"/>
        <v>April</v>
      </c>
      <c r="J897" s="16" t="str">
        <f t="shared" si="66"/>
        <v>Wednesday</v>
      </c>
      <c r="K897" s="17">
        <v>0.17633101851851851</v>
      </c>
      <c r="L897" s="16">
        <v>45026</v>
      </c>
      <c r="M897" s="18">
        <f>HOUR(orders!$K897)</f>
        <v>4</v>
      </c>
      <c r="N897" s="16" t="str">
        <f t="shared" si="67"/>
        <v>April</v>
      </c>
      <c r="O897" s="17">
        <v>0.53489583333333335</v>
      </c>
      <c r="P897" s="17" t="str">
        <f>_xlfn.XLOOKUP(B897,[2]customers!$A$2:$A$101,[2]customers!$C$2:$C$101)</f>
        <v>Bharatpur</v>
      </c>
      <c r="Q897" s="14" t="s">
        <v>92</v>
      </c>
      <c r="R897" s="14" t="s">
        <v>12</v>
      </c>
      <c r="S897" s="15">
        <f t="shared" si="68"/>
        <v>758</v>
      </c>
      <c r="T897" s="19">
        <f t="shared" si="69"/>
        <v>5</v>
      </c>
    </row>
    <row r="898" spans="1:20" x14ac:dyDescent="0.3">
      <c r="A898" s="20">
        <v>897</v>
      </c>
      <c r="B898" s="20" t="s">
        <v>95</v>
      </c>
      <c r="C898" s="20">
        <v>34</v>
      </c>
      <c r="D898" s="20" t="s">
        <v>472</v>
      </c>
      <c r="E898" s="20" t="s">
        <v>445</v>
      </c>
      <c r="F898" s="20">
        <v>5</v>
      </c>
      <c r="G898" s="21">
        <f>_xlfn.XLOOKUP(C898,[1]products!$A$2:$A$71,[1]products!$D$2:$D$71)</f>
        <v>1335</v>
      </c>
      <c r="H898" s="22">
        <v>45163</v>
      </c>
      <c r="I898" s="22" t="str">
        <f t="shared" si="65"/>
        <v>August</v>
      </c>
      <c r="J898" s="22" t="str">
        <f t="shared" si="66"/>
        <v>Friday</v>
      </c>
      <c r="K898" s="23">
        <v>0.32871527777777776</v>
      </c>
      <c r="L898" s="22">
        <v>45170</v>
      </c>
      <c r="M898" s="24">
        <f>HOUR(orders!$K898)</f>
        <v>7</v>
      </c>
      <c r="N898" s="22" t="str">
        <f t="shared" si="67"/>
        <v>September</v>
      </c>
      <c r="O898" s="23">
        <v>0.58530092592592597</v>
      </c>
      <c r="P898" s="23" t="str">
        <f>_xlfn.XLOOKUP(B898,[2]customers!$A$2:$A$101,[2]customers!$C$2:$C$101)</f>
        <v>Sasaram</v>
      </c>
      <c r="Q898" s="20" t="s">
        <v>401</v>
      </c>
      <c r="R898" s="20" t="s">
        <v>26</v>
      </c>
      <c r="S898" s="21">
        <f t="shared" si="68"/>
        <v>6675</v>
      </c>
      <c r="T898" s="25">
        <f t="shared" si="69"/>
        <v>7</v>
      </c>
    </row>
    <row r="899" spans="1:20" x14ac:dyDescent="0.3">
      <c r="A899" s="14">
        <v>898</v>
      </c>
      <c r="B899" s="14" t="s">
        <v>58</v>
      </c>
      <c r="C899" s="14">
        <v>52</v>
      </c>
      <c r="D899" s="14" t="s">
        <v>443</v>
      </c>
      <c r="E899" s="14" t="s">
        <v>26</v>
      </c>
      <c r="F899" s="14">
        <v>1</v>
      </c>
      <c r="G899" s="15">
        <f>_xlfn.XLOOKUP(C899,[1]products!$A$2:$A$71,[1]products!$D$2:$D$71)</f>
        <v>236</v>
      </c>
      <c r="H899" s="16">
        <v>44966</v>
      </c>
      <c r="I899" s="16" t="str">
        <f t="shared" ref="I899:I962" si="70">TEXT(H899,"mmmm")</f>
        <v>February</v>
      </c>
      <c r="J899" s="16" t="str">
        <f t="shared" ref="J899:J962" si="71">TEXT(H899,"dddd")</f>
        <v>Thursday</v>
      </c>
      <c r="K899" s="17">
        <v>0.26310185185185186</v>
      </c>
      <c r="L899" s="16">
        <v>44970</v>
      </c>
      <c r="M899" s="18">
        <f>HOUR(orders!$K899)</f>
        <v>6</v>
      </c>
      <c r="N899" s="16" t="str">
        <f t="shared" ref="N899:N962" si="72">TEXT(L899,"mmmm")</f>
        <v>February</v>
      </c>
      <c r="O899" s="17">
        <v>0.96784722222222219</v>
      </c>
      <c r="P899" s="17" t="str">
        <f>_xlfn.XLOOKUP(B899,[2]customers!$A$2:$A$101,[2]customers!$C$2:$C$101)</f>
        <v>Nizamabad</v>
      </c>
      <c r="Q899" s="14" t="s">
        <v>414</v>
      </c>
      <c r="R899" s="14" t="s">
        <v>23</v>
      </c>
      <c r="S899" s="15">
        <f t="shared" ref="S899:S962" si="73">G899*F899</f>
        <v>236</v>
      </c>
      <c r="T899" s="19">
        <f t="shared" ref="T899:T962" si="74">L899-H899</f>
        <v>4</v>
      </c>
    </row>
    <row r="900" spans="1:20" x14ac:dyDescent="0.3">
      <c r="A900" s="20">
        <v>899</v>
      </c>
      <c r="B900" s="20" t="s">
        <v>50</v>
      </c>
      <c r="C900" s="20">
        <v>63</v>
      </c>
      <c r="D900" s="20" t="s">
        <v>498</v>
      </c>
      <c r="E900" s="20" t="s">
        <v>427</v>
      </c>
      <c r="F900" s="20">
        <v>1</v>
      </c>
      <c r="G900" s="21">
        <f>_xlfn.XLOOKUP(C900,[1]products!$A$2:$A$71,[1]products!$D$2:$D$71)</f>
        <v>1348</v>
      </c>
      <c r="H900" s="22">
        <v>45277</v>
      </c>
      <c r="I900" s="22" t="str">
        <f t="shared" si="70"/>
        <v>December</v>
      </c>
      <c r="J900" s="22" t="str">
        <f t="shared" si="71"/>
        <v>Sunday</v>
      </c>
      <c r="K900" s="23">
        <v>0.89577546296296295</v>
      </c>
      <c r="L900" s="22">
        <v>45284</v>
      </c>
      <c r="M900" s="24">
        <f>HOUR(orders!$K900)</f>
        <v>21</v>
      </c>
      <c r="N900" s="22" t="str">
        <f t="shared" si="72"/>
        <v>December</v>
      </c>
      <c r="O900" s="23">
        <v>1.1585648148148149E-2</v>
      </c>
      <c r="P900" s="23" t="str">
        <f>_xlfn.XLOOKUP(B900,[2]customers!$A$2:$A$101,[2]customers!$C$2:$C$101)</f>
        <v>Orai</v>
      </c>
      <c r="Q900" s="20" t="s">
        <v>274</v>
      </c>
      <c r="R900" s="20" t="s">
        <v>60</v>
      </c>
      <c r="S900" s="21">
        <f t="shared" si="73"/>
        <v>1348</v>
      </c>
      <c r="T900" s="25">
        <f t="shared" si="74"/>
        <v>7</v>
      </c>
    </row>
    <row r="901" spans="1:20" x14ac:dyDescent="0.3">
      <c r="A901" s="14">
        <v>900</v>
      </c>
      <c r="B901" s="14" t="s">
        <v>238</v>
      </c>
      <c r="C901" s="14">
        <v>57</v>
      </c>
      <c r="D901" s="14" t="s">
        <v>488</v>
      </c>
      <c r="E901" s="14" t="s">
        <v>429</v>
      </c>
      <c r="F901" s="14">
        <v>3</v>
      </c>
      <c r="G901" s="15">
        <f>_xlfn.XLOOKUP(C901,[1]products!$A$2:$A$71,[1]products!$D$2:$D$71)</f>
        <v>1582</v>
      </c>
      <c r="H901" s="16">
        <v>45023</v>
      </c>
      <c r="I901" s="16" t="str">
        <f t="shared" si="70"/>
        <v>April</v>
      </c>
      <c r="J901" s="16" t="str">
        <f t="shared" si="71"/>
        <v>Friday</v>
      </c>
      <c r="K901" s="17">
        <v>0.63124999999999998</v>
      </c>
      <c r="L901" s="16">
        <v>45031</v>
      </c>
      <c r="M901" s="18">
        <f>HOUR(orders!$K901)</f>
        <v>15</v>
      </c>
      <c r="N901" s="16" t="str">
        <f t="shared" si="72"/>
        <v>April</v>
      </c>
      <c r="O901" s="17">
        <v>0.35478009259259258</v>
      </c>
      <c r="P901" s="17" t="str">
        <f>_xlfn.XLOOKUP(B901,[2]customers!$A$2:$A$101,[2]customers!$C$2:$C$101)</f>
        <v>Serampore</v>
      </c>
      <c r="Q901" s="14" t="s">
        <v>364</v>
      </c>
      <c r="R901" s="14" t="s">
        <v>20</v>
      </c>
      <c r="S901" s="15">
        <f t="shared" si="73"/>
        <v>4746</v>
      </c>
      <c r="T901" s="19">
        <f t="shared" si="74"/>
        <v>8</v>
      </c>
    </row>
    <row r="902" spans="1:20" x14ac:dyDescent="0.3">
      <c r="A902" s="20">
        <v>901</v>
      </c>
      <c r="B902" s="20" t="s">
        <v>260</v>
      </c>
      <c r="C902" s="20">
        <v>27</v>
      </c>
      <c r="D902" s="20" t="s">
        <v>435</v>
      </c>
      <c r="E902" s="20" t="s">
        <v>431</v>
      </c>
      <c r="F902" s="20">
        <v>4</v>
      </c>
      <c r="G902" s="21">
        <f>_xlfn.XLOOKUP(C902,[1]products!$A$2:$A$71,[1]products!$D$2:$D$71)</f>
        <v>548</v>
      </c>
      <c r="H902" s="22">
        <v>45160</v>
      </c>
      <c r="I902" s="22" t="str">
        <f t="shared" si="70"/>
        <v>August</v>
      </c>
      <c r="J902" s="22" t="str">
        <f t="shared" si="71"/>
        <v>Tuesday</v>
      </c>
      <c r="K902" s="23">
        <v>0.33030092592592591</v>
      </c>
      <c r="L902" s="22">
        <v>45165</v>
      </c>
      <c r="M902" s="24">
        <f>HOUR(orders!$K902)</f>
        <v>7</v>
      </c>
      <c r="N902" s="22" t="str">
        <f t="shared" si="72"/>
        <v>August</v>
      </c>
      <c r="O902" s="23">
        <v>6.4236111111111105E-2</v>
      </c>
      <c r="P902" s="23" t="str">
        <f>_xlfn.XLOOKUP(B902,[2]customers!$A$2:$A$101,[2]customers!$C$2:$C$101)</f>
        <v>Vellore</v>
      </c>
      <c r="Q902" s="20" t="s">
        <v>231</v>
      </c>
      <c r="R902" s="20" t="s">
        <v>26</v>
      </c>
      <c r="S902" s="21">
        <f t="shared" si="73"/>
        <v>2192</v>
      </c>
      <c r="T902" s="25">
        <f t="shared" si="74"/>
        <v>5</v>
      </c>
    </row>
    <row r="903" spans="1:20" x14ac:dyDescent="0.3">
      <c r="A903" s="14">
        <v>902</v>
      </c>
      <c r="B903" s="14" t="s">
        <v>343</v>
      </c>
      <c r="C903" s="14">
        <v>32</v>
      </c>
      <c r="D903" s="14" t="s">
        <v>444</v>
      </c>
      <c r="E903" s="14" t="s">
        <v>445</v>
      </c>
      <c r="F903" s="14">
        <v>5</v>
      </c>
      <c r="G903" s="15">
        <f>_xlfn.XLOOKUP(C903,[1]products!$A$2:$A$71,[1]products!$D$2:$D$71)</f>
        <v>1792</v>
      </c>
      <c r="H903" s="16">
        <v>45007</v>
      </c>
      <c r="I903" s="16" t="str">
        <f t="shared" si="70"/>
        <v>March</v>
      </c>
      <c r="J903" s="16" t="str">
        <f t="shared" si="71"/>
        <v>Wednesday</v>
      </c>
      <c r="K903" s="17">
        <v>0.56244212962962969</v>
      </c>
      <c r="L903" s="16">
        <v>45009</v>
      </c>
      <c r="M903" s="18">
        <f>HOUR(orders!$K903)</f>
        <v>13</v>
      </c>
      <c r="N903" s="16" t="str">
        <f t="shared" si="72"/>
        <v>March</v>
      </c>
      <c r="O903" s="17">
        <v>0.51667824074074076</v>
      </c>
      <c r="P903" s="17" t="str">
        <f>_xlfn.XLOOKUP(B903,[2]customers!$A$2:$A$101,[2]customers!$C$2:$C$101)</f>
        <v>Singrauli</v>
      </c>
      <c r="Q903" s="14" t="s">
        <v>213</v>
      </c>
      <c r="R903" s="14" t="s">
        <v>20</v>
      </c>
      <c r="S903" s="15">
        <f t="shared" si="73"/>
        <v>8960</v>
      </c>
      <c r="T903" s="19">
        <f t="shared" si="74"/>
        <v>2</v>
      </c>
    </row>
    <row r="904" spans="1:20" x14ac:dyDescent="0.3">
      <c r="A904" s="20">
        <v>903</v>
      </c>
      <c r="B904" s="20" t="s">
        <v>83</v>
      </c>
      <c r="C904" s="20">
        <v>63</v>
      </c>
      <c r="D904" s="20" t="s">
        <v>498</v>
      </c>
      <c r="E904" s="20" t="s">
        <v>427</v>
      </c>
      <c r="F904" s="20">
        <v>2</v>
      </c>
      <c r="G904" s="21">
        <f>_xlfn.XLOOKUP(C904,[1]products!$A$2:$A$71,[1]products!$D$2:$D$71)</f>
        <v>1348</v>
      </c>
      <c r="H904" s="22">
        <v>45184</v>
      </c>
      <c r="I904" s="22" t="str">
        <f t="shared" si="70"/>
        <v>September</v>
      </c>
      <c r="J904" s="22" t="str">
        <f t="shared" si="71"/>
        <v>Friday</v>
      </c>
      <c r="K904" s="23">
        <v>0.73776620370370372</v>
      </c>
      <c r="L904" s="22">
        <v>45191</v>
      </c>
      <c r="M904" s="24">
        <f>HOUR(orders!$K904)</f>
        <v>17</v>
      </c>
      <c r="N904" s="22" t="str">
        <f t="shared" si="72"/>
        <v>September</v>
      </c>
      <c r="O904" s="23">
        <v>0.81155092592592604</v>
      </c>
      <c r="P904" s="23" t="str">
        <f>_xlfn.XLOOKUP(B904,[2]customers!$A$2:$A$101,[2]customers!$C$2:$C$101)</f>
        <v>Malegaon</v>
      </c>
      <c r="Q904" s="20" t="s">
        <v>368</v>
      </c>
      <c r="R904" s="20" t="s">
        <v>60</v>
      </c>
      <c r="S904" s="21">
        <f t="shared" si="73"/>
        <v>2696</v>
      </c>
      <c r="T904" s="25">
        <f t="shared" si="74"/>
        <v>7</v>
      </c>
    </row>
    <row r="905" spans="1:20" x14ac:dyDescent="0.3">
      <c r="A905" s="14">
        <v>904</v>
      </c>
      <c r="B905" s="14" t="s">
        <v>43</v>
      </c>
      <c r="C905" s="14">
        <v>2</v>
      </c>
      <c r="D905" s="14" t="s">
        <v>481</v>
      </c>
      <c r="E905" s="14" t="s">
        <v>447</v>
      </c>
      <c r="F905" s="14">
        <v>4</v>
      </c>
      <c r="G905" s="15">
        <f>_xlfn.XLOOKUP(C905,[1]products!$A$2:$A$71,[1]products!$D$2:$D$71)</f>
        <v>441</v>
      </c>
      <c r="H905" s="16">
        <v>44969</v>
      </c>
      <c r="I905" s="16" t="str">
        <f t="shared" si="70"/>
        <v>February</v>
      </c>
      <c r="J905" s="16" t="str">
        <f t="shared" si="71"/>
        <v>Sunday</v>
      </c>
      <c r="K905" s="17">
        <v>0.92069444444444448</v>
      </c>
      <c r="L905" s="16">
        <v>44974</v>
      </c>
      <c r="M905" s="18">
        <f>HOUR(orders!$K905)</f>
        <v>22</v>
      </c>
      <c r="N905" s="16" t="str">
        <f t="shared" si="72"/>
        <v>February</v>
      </c>
      <c r="O905" s="17">
        <v>4.5567129629629631E-2</v>
      </c>
      <c r="P905" s="17" t="str">
        <f>_xlfn.XLOOKUP(B905,[2]customers!$A$2:$A$101,[2]customers!$C$2:$C$101)</f>
        <v>Mangalore</v>
      </c>
      <c r="Q905" s="14" t="s">
        <v>351</v>
      </c>
      <c r="R905" s="14" t="s">
        <v>23</v>
      </c>
      <c r="S905" s="15">
        <f t="shared" si="73"/>
        <v>1764</v>
      </c>
      <c r="T905" s="19">
        <f t="shared" si="74"/>
        <v>5</v>
      </c>
    </row>
    <row r="906" spans="1:20" x14ac:dyDescent="0.3">
      <c r="A906" s="20">
        <v>905</v>
      </c>
      <c r="B906" s="20" t="s">
        <v>86</v>
      </c>
      <c r="C906" s="20">
        <v>58</v>
      </c>
      <c r="D906" s="20" t="s">
        <v>430</v>
      </c>
      <c r="E906" s="20" t="s">
        <v>431</v>
      </c>
      <c r="F906" s="20">
        <v>1</v>
      </c>
      <c r="G906" s="21">
        <f>_xlfn.XLOOKUP(C906,[1]products!$A$2:$A$71,[1]products!$D$2:$D$71)</f>
        <v>1492</v>
      </c>
      <c r="H906" s="22">
        <v>44967</v>
      </c>
      <c r="I906" s="22" t="str">
        <f t="shared" si="70"/>
        <v>February</v>
      </c>
      <c r="J906" s="22" t="str">
        <f t="shared" si="71"/>
        <v>Friday</v>
      </c>
      <c r="K906" s="23">
        <v>0.81359953703703702</v>
      </c>
      <c r="L906" s="22">
        <v>44973</v>
      </c>
      <c r="M906" s="24">
        <f>HOUR(orders!$K906)</f>
        <v>19</v>
      </c>
      <c r="N906" s="22" t="str">
        <f t="shared" si="72"/>
        <v>February</v>
      </c>
      <c r="O906" s="23">
        <v>0.35571759259259261</v>
      </c>
      <c r="P906" s="23" t="str">
        <f>_xlfn.XLOOKUP(B906,[2]customers!$A$2:$A$101,[2]customers!$C$2:$C$101)</f>
        <v>Bhopal</v>
      </c>
      <c r="Q906" s="20" t="s">
        <v>166</v>
      </c>
      <c r="R906" s="20" t="s">
        <v>23</v>
      </c>
      <c r="S906" s="21">
        <f t="shared" si="73"/>
        <v>1492</v>
      </c>
      <c r="T906" s="25">
        <f t="shared" si="74"/>
        <v>6</v>
      </c>
    </row>
    <row r="907" spans="1:20" x14ac:dyDescent="0.3">
      <c r="A907" s="14">
        <v>906</v>
      </c>
      <c r="B907" s="14" t="s">
        <v>155</v>
      </c>
      <c r="C907" s="14">
        <v>49</v>
      </c>
      <c r="D907" s="14" t="s">
        <v>463</v>
      </c>
      <c r="E907" s="14" t="s">
        <v>429</v>
      </c>
      <c r="F907" s="14">
        <v>3</v>
      </c>
      <c r="G907" s="15">
        <f>_xlfn.XLOOKUP(C907,[1]products!$A$2:$A$71,[1]products!$D$2:$D$71)</f>
        <v>903</v>
      </c>
      <c r="H907" s="16">
        <v>44963</v>
      </c>
      <c r="I907" s="16" t="str">
        <f t="shared" si="70"/>
        <v>February</v>
      </c>
      <c r="J907" s="16" t="str">
        <f t="shared" si="71"/>
        <v>Monday</v>
      </c>
      <c r="K907" s="17">
        <v>5.3009259259259256E-2</v>
      </c>
      <c r="L907" s="16">
        <v>44973</v>
      </c>
      <c r="M907" s="18">
        <f>HOUR(orders!$K907)</f>
        <v>1</v>
      </c>
      <c r="N907" s="16" t="str">
        <f t="shared" si="72"/>
        <v>February</v>
      </c>
      <c r="O907" s="17">
        <v>0.38527777777777777</v>
      </c>
      <c r="P907" s="17" t="str">
        <f>_xlfn.XLOOKUP(B907,[2]customers!$A$2:$A$101,[2]customers!$C$2:$C$101)</f>
        <v>Phagwara</v>
      </c>
      <c r="Q907" s="14" t="s">
        <v>267</v>
      </c>
      <c r="R907" s="14" t="s">
        <v>23</v>
      </c>
      <c r="S907" s="15">
        <f t="shared" si="73"/>
        <v>2709</v>
      </c>
      <c r="T907" s="19">
        <f t="shared" si="74"/>
        <v>10</v>
      </c>
    </row>
    <row r="908" spans="1:20" x14ac:dyDescent="0.3">
      <c r="A908" s="20">
        <v>907</v>
      </c>
      <c r="B908" s="20" t="s">
        <v>88</v>
      </c>
      <c r="C908" s="20">
        <v>30</v>
      </c>
      <c r="D908" s="20" t="s">
        <v>449</v>
      </c>
      <c r="E908" s="20" t="s">
        <v>429</v>
      </c>
      <c r="F908" s="20">
        <v>2</v>
      </c>
      <c r="G908" s="21">
        <f>_xlfn.XLOOKUP(C908,[1]products!$A$2:$A$71,[1]products!$D$2:$D$71)</f>
        <v>751</v>
      </c>
      <c r="H908" s="22">
        <v>45035</v>
      </c>
      <c r="I908" s="22" t="str">
        <f t="shared" si="70"/>
        <v>April</v>
      </c>
      <c r="J908" s="22" t="str">
        <f t="shared" si="71"/>
        <v>Wednesday</v>
      </c>
      <c r="K908" s="23">
        <v>0.90047453703703706</v>
      </c>
      <c r="L908" s="22">
        <v>45041</v>
      </c>
      <c r="M908" s="24">
        <f>HOUR(orders!$K908)</f>
        <v>21</v>
      </c>
      <c r="N908" s="22" t="str">
        <f t="shared" si="72"/>
        <v>April</v>
      </c>
      <c r="O908" s="23">
        <v>0.4667013888888889</v>
      </c>
      <c r="P908" s="23" t="str">
        <f>_xlfn.XLOOKUP(B908,[2]customers!$A$2:$A$101,[2]customers!$C$2:$C$101)</f>
        <v>Guna</v>
      </c>
      <c r="Q908" s="20" t="s">
        <v>162</v>
      </c>
      <c r="R908" s="20" t="s">
        <v>12</v>
      </c>
      <c r="S908" s="21">
        <f t="shared" si="73"/>
        <v>1502</v>
      </c>
      <c r="T908" s="25">
        <f t="shared" si="74"/>
        <v>6</v>
      </c>
    </row>
    <row r="909" spans="1:20" x14ac:dyDescent="0.3">
      <c r="A909" s="14">
        <v>908</v>
      </c>
      <c r="B909" s="14" t="s">
        <v>52</v>
      </c>
      <c r="C909" s="14">
        <v>28</v>
      </c>
      <c r="D909" s="14" t="s">
        <v>432</v>
      </c>
      <c r="E909" s="14" t="s">
        <v>427</v>
      </c>
      <c r="F909" s="14">
        <v>5</v>
      </c>
      <c r="G909" s="15">
        <f>_xlfn.XLOOKUP(C909,[1]products!$A$2:$A$71,[1]products!$D$2:$D$71)</f>
        <v>1778</v>
      </c>
      <c r="H909" s="16">
        <v>45160</v>
      </c>
      <c r="I909" s="16" t="str">
        <f t="shared" si="70"/>
        <v>August</v>
      </c>
      <c r="J909" s="16" t="str">
        <f t="shared" si="71"/>
        <v>Tuesday</v>
      </c>
      <c r="K909" s="17">
        <v>0.66070601851851851</v>
      </c>
      <c r="L909" s="16">
        <v>45162</v>
      </c>
      <c r="M909" s="18">
        <f>HOUR(orders!$K909)</f>
        <v>15</v>
      </c>
      <c r="N909" s="16" t="str">
        <f t="shared" si="72"/>
        <v>August</v>
      </c>
      <c r="O909" s="17">
        <v>0.95148148148148148</v>
      </c>
      <c r="P909" s="17" t="str">
        <f>_xlfn.XLOOKUP(B909,[2]customers!$A$2:$A$101,[2]customers!$C$2:$C$101)</f>
        <v>Anantapuram</v>
      </c>
      <c r="Q909" s="14" t="s">
        <v>165</v>
      </c>
      <c r="R909" s="14" t="s">
        <v>26</v>
      </c>
      <c r="S909" s="15">
        <f t="shared" si="73"/>
        <v>8890</v>
      </c>
      <c r="T909" s="19">
        <f t="shared" si="74"/>
        <v>2</v>
      </c>
    </row>
    <row r="910" spans="1:20" x14ac:dyDescent="0.3">
      <c r="A910" s="20">
        <v>909</v>
      </c>
      <c r="B910" s="20" t="s">
        <v>215</v>
      </c>
      <c r="C910" s="20">
        <v>42</v>
      </c>
      <c r="D910" s="20" t="s">
        <v>448</v>
      </c>
      <c r="E910" s="20" t="s">
        <v>427</v>
      </c>
      <c r="F910" s="20">
        <v>1</v>
      </c>
      <c r="G910" s="21">
        <f>_xlfn.XLOOKUP(C910,[1]products!$A$2:$A$71,[1]products!$D$2:$D$71)</f>
        <v>1744</v>
      </c>
      <c r="H910" s="22">
        <v>45234</v>
      </c>
      <c r="I910" s="22" t="str">
        <f t="shared" si="70"/>
        <v>November</v>
      </c>
      <c r="J910" s="22" t="str">
        <f t="shared" si="71"/>
        <v>Saturday</v>
      </c>
      <c r="K910" s="23">
        <v>0.32211805555555556</v>
      </c>
      <c r="L910" s="22">
        <v>45238</v>
      </c>
      <c r="M910" s="24">
        <f>HOUR(orders!$K910)</f>
        <v>7</v>
      </c>
      <c r="N910" s="22" t="str">
        <f t="shared" si="72"/>
        <v>November</v>
      </c>
      <c r="O910" s="23">
        <v>0.93431712962962965</v>
      </c>
      <c r="P910" s="23" t="str">
        <f>_xlfn.XLOOKUP(B910,[2]customers!$A$2:$A$101,[2]customers!$C$2:$C$101)</f>
        <v>Tiruchirappalli</v>
      </c>
      <c r="Q910" s="20" t="s">
        <v>128</v>
      </c>
      <c r="R910" s="20" t="s">
        <v>60</v>
      </c>
      <c r="S910" s="21">
        <f t="shared" si="73"/>
        <v>1744</v>
      </c>
      <c r="T910" s="25">
        <f t="shared" si="74"/>
        <v>4</v>
      </c>
    </row>
    <row r="911" spans="1:20" x14ac:dyDescent="0.3">
      <c r="A911" s="14">
        <v>910</v>
      </c>
      <c r="B911" s="14" t="s">
        <v>83</v>
      </c>
      <c r="C911" s="14">
        <v>55</v>
      </c>
      <c r="D911" s="14" t="s">
        <v>491</v>
      </c>
      <c r="E911" s="14" t="s">
        <v>445</v>
      </c>
      <c r="F911" s="14">
        <v>4</v>
      </c>
      <c r="G911" s="15">
        <f>_xlfn.XLOOKUP(C911,[1]products!$A$2:$A$71,[1]products!$D$2:$D$71)</f>
        <v>1904</v>
      </c>
      <c r="H911" s="16">
        <v>45164</v>
      </c>
      <c r="I911" s="16" t="str">
        <f t="shared" si="70"/>
        <v>August</v>
      </c>
      <c r="J911" s="16" t="str">
        <f t="shared" si="71"/>
        <v>Saturday</v>
      </c>
      <c r="K911" s="17">
        <v>8.5682870370370368E-2</v>
      </c>
      <c r="L911" s="16">
        <v>45173</v>
      </c>
      <c r="M911" s="18">
        <f>HOUR(orders!$K911)</f>
        <v>2</v>
      </c>
      <c r="N911" s="16" t="str">
        <f t="shared" si="72"/>
        <v>September</v>
      </c>
      <c r="O911" s="17">
        <v>0.71053240740740742</v>
      </c>
      <c r="P911" s="17" t="str">
        <f>_xlfn.XLOOKUP(B911,[2]customers!$A$2:$A$101,[2]customers!$C$2:$C$101)</f>
        <v>Malegaon</v>
      </c>
      <c r="Q911" s="14" t="s">
        <v>228</v>
      </c>
      <c r="R911" s="14" t="s">
        <v>26</v>
      </c>
      <c r="S911" s="15">
        <f t="shared" si="73"/>
        <v>7616</v>
      </c>
      <c r="T911" s="19">
        <f t="shared" si="74"/>
        <v>9</v>
      </c>
    </row>
    <row r="912" spans="1:20" x14ac:dyDescent="0.3">
      <c r="A912" s="20">
        <v>911</v>
      </c>
      <c r="B912" s="20" t="s">
        <v>73</v>
      </c>
      <c r="C912" s="20">
        <v>22</v>
      </c>
      <c r="D912" s="20" t="s">
        <v>465</v>
      </c>
      <c r="E912" s="20" t="s">
        <v>445</v>
      </c>
      <c r="F912" s="20">
        <v>4</v>
      </c>
      <c r="G912" s="21">
        <f>_xlfn.XLOOKUP(C912,[1]products!$A$2:$A$71,[1]products!$D$2:$D$71)</f>
        <v>1639</v>
      </c>
      <c r="H912" s="22">
        <v>44949</v>
      </c>
      <c r="I912" s="22" t="str">
        <f t="shared" si="70"/>
        <v>January</v>
      </c>
      <c r="J912" s="22" t="str">
        <f t="shared" si="71"/>
        <v>Monday</v>
      </c>
      <c r="K912" s="23">
        <v>0.22143518518518521</v>
      </c>
      <c r="L912" s="22">
        <v>44954</v>
      </c>
      <c r="M912" s="24">
        <f>HOUR(orders!$K912)</f>
        <v>5</v>
      </c>
      <c r="N912" s="22" t="str">
        <f t="shared" si="72"/>
        <v>January</v>
      </c>
      <c r="O912" s="23">
        <v>6.6192129629629629E-2</v>
      </c>
      <c r="P912" s="23" t="str">
        <f>_xlfn.XLOOKUP(B912,[2]customers!$A$2:$A$101,[2]customers!$C$2:$C$101)</f>
        <v>Tiruppur</v>
      </c>
      <c r="Q912" s="20" t="s">
        <v>98</v>
      </c>
      <c r="R912" s="20" t="s">
        <v>60</v>
      </c>
      <c r="S912" s="21">
        <f t="shared" si="73"/>
        <v>6556</v>
      </c>
      <c r="T912" s="25">
        <f t="shared" si="74"/>
        <v>5</v>
      </c>
    </row>
    <row r="913" spans="1:20" x14ac:dyDescent="0.3">
      <c r="A913" s="14">
        <v>912</v>
      </c>
      <c r="B913" s="14" t="s">
        <v>136</v>
      </c>
      <c r="C913" s="14">
        <v>9</v>
      </c>
      <c r="D913" s="14" t="s">
        <v>451</v>
      </c>
      <c r="E913" s="14" t="s">
        <v>429</v>
      </c>
      <c r="F913" s="14">
        <v>4</v>
      </c>
      <c r="G913" s="15">
        <f>_xlfn.XLOOKUP(C913,[1]products!$A$2:$A$71,[1]products!$D$2:$D$71)</f>
        <v>1605</v>
      </c>
      <c r="H913" s="16">
        <v>45167</v>
      </c>
      <c r="I913" s="16" t="str">
        <f t="shared" si="70"/>
        <v>August</v>
      </c>
      <c r="J913" s="16" t="str">
        <f t="shared" si="71"/>
        <v>Tuesday</v>
      </c>
      <c r="K913" s="17">
        <v>0.13193287037037035</v>
      </c>
      <c r="L913" s="16">
        <v>45175</v>
      </c>
      <c r="M913" s="18">
        <f>HOUR(orders!$K913)</f>
        <v>3</v>
      </c>
      <c r="N913" s="16" t="str">
        <f t="shared" si="72"/>
        <v>September</v>
      </c>
      <c r="O913" s="17">
        <v>0.48349537037037038</v>
      </c>
      <c r="P913" s="17" t="str">
        <f>_xlfn.XLOOKUP(B913,[2]customers!$A$2:$A$101,[2]customers!$C$2:$C$101)</f>
        <v>Nagpur</v>
      </c>
      <c r="Q913" s="14" t="s">
        <v>336</v>
      </c>
      <c r="R913" s="14" t="s">
        <v>26</v>
      </c>
      <c r="S913" s="15">
        <f t="shared" si="73"/>
        <v>6420</v>
      </c>
      <c r="T913" s="19">
        <f t="shared" si="74"/>
        <v>8</v>
      </c>
    </row>
    <row r="914" spans="1:20" x14ac:dyDescent="0.3">
      <c r="A914" s="20">
        <v>913</v>
      </c>
      <c r="B914" s="20" t="s">
        <v>212</v>
      </c>
      <c r="C914" s="20">
        <v>56</v>
      </c>
      <c r="D914" s="20" t="s">
        <v>436</v>
      </c>
      <c r="E914" s="20" t="s">
        <v>26</v>
      </c>
      <c r="F914" s="20">
        <v>5</v>
      </c>
      <c r="G914" s="21">
        <f>_xlfn.XLOOKUP(C914,[1]products!$A$2:$A$71,[1]products!$D$2:$D$71)</f>
        <v>1272</v>
      </c>
      <c r="H914" s="22">
        <v>45270</v>
      </c>
      <c r="I914" s="22" t="str">
        <f t="shared" si="70"/>
        <v>December</v>
      </c>
      <c r="J914" s="22" t="str">
        <f t="shared" si="71"/>
        <v>Sunday</v>
      </c>
      <c r="K914" s="23">
        <v>0.77736111111111106</v>
      </c>
      <c r="L914" s="22">
        <v>45272</v>
      </c>
      <c r="M914" s="24">
        <f>HOUR(orders!$K914)</f>
        <v>18</v>
      </c>
      <c r="N914" s="22" t="str">
        <f t="shared" si="72"/>
        <v>December</v>
      </c>
      <c r="O914" s="23">
        <v>0.2341087962962963</v>
      </c>
      <c r="P914" s="23" t="str">
        <f>_xlfn.XLOOKUP(B914,[2]customers!$A$2:$A$101,[2]customers!$C$2:$C$101)</f>
        <v>Dibrugarh</v>
      </c>
      <c r="Q914" s="20" t="s">
        <v>203</v>
      </c>
      <c r="R914" s="20" t="s">
        <v>12</v>
      </c>
      <c r="S914" s="21">
        <f t="shared" si="73"/>
        <v>6360</v>
      </c>
      <c r="T914" s="25">
        <f t="shared" si="74"/>
        <v>2</v>
      </c>
    </row>
    <row r="915" spans="1:20" x14ac:dyDescent="0.3">
      <c r="A915" s="14">
        <v>914</v>
      </c>
      <c r="B915" s="14" t="s">
        <v>182</v>
      </c>
      <c r="C915" s="14">
        <v>33</v>
      </c>
      <c r="D915" s="14" t="s">
        <v>490</v>
      </c>
      <c r="E915" s="14" t="s">
        <v>429</v>
      </c>
      <c r="F915" s="14">
        <v>4</v>
      </c>
      <c r="G915" s="15">
        <f>_xlfn.XLOOKUP(C915,[1]products!$A$2:$A$71,[1]products!$D$2:$D$71)</f>
        <v>314</v>
      </c>
      <c r="H915" s="16">
        <v>44966</v>
      </c>
      <c r="I915" s="16" t="str">
        <f t="shared" si="70"/>
        <v>February</v>
      </c>
      <c r="J915" s="16" t="str">
        <f t="shared" si="71"/>
        <v>Thursday</v>
      </c>
      <c r="K915" s="17">
        <v>0.61965277777777772</v>
      </c>
      <c r="L915" s="16">
        <v>44971</v>
      </c>
      <c r="M915" s="18">
        <f>HOUR(orders!$K915)</f>
        <v>14</v>
      </c>
      <c r="N915" s="16" t="str">
        <f t="shared" si="72"/>
        <v>February</v>
      </c>
      <c r="O915" s="17">
        <v>0.40787037037037038</v>
      </c>
      <c r="P915" s="17" t="str">
        <f>_xlfn.XLOOKUP(B915,[2]customers!$A$2:$A$101,[2]customers!$C$2:$C$101)</f>
        <v>Guntakal</v>
      </c>
      <c r="Q915" s="14" t="s">
        <v>219</v>
      </c>
      <c r="R915" s="14" t="s">
        <v>23</v>
      </c>
      <c r="S915" s="15">
        <f t="shared" si="73"/>
        <v>1256</v>
      </c>
      <c r="T915" s="19">
        <f t="shared" si="74"/>
        <v>5</v>
      </c>
    </row>
    <row r="916" spans="1:20" x14ac:dyDescent="0.3">
      <c r="A916" s="20">
        <v>915</v>
      </c>
      <c r="B916" s="20" t="s">
        <v>99</v>
      </c>
      <c r="C916" s="20">
        <v>35</v>
      </c>
      <c r="D916" s="20" t="s">
        <v>462</v>
      </c>
      <c r="E916" s="20" t="s">
        <v>429</v>
      </c>
      <c r="F916" s="20">
        <v>1</v>
      </c>
      <c r="G916" s="21">
        <f>_xlfn.XLOOKUP(C916,[1]products!$A$2:$A$71,[1]products!$D$2:$D$71)</f>
        <v>1865</v>
      </c>
      <c r="H916" s="22">
        <v>44991</v>
      </c>
      <c r="I916" s="22" t="str">
        <f t="shared" si="70"/>
        <v>March</v>
      </c>
      <c r="J916" s="22" t="str">
        <f t="shared" si="71"/>
        <v>Monday</v>
      </c>
      <c r="K916" s="23">
        <v>0.8837962962962963</v>
      </c>
      <c r="L916" s="22">
        <v>44999</v>
      </c>
      <c r="M916" s="24">
        <f>HOUR(orders!$K916)</f>
        <v>21</v>
      </c>
      <c r="N916" s="22" t="str">
        <f t="shared" si="72"/>
        <v>March</v>
      </c>
      <c r="O916" s="23">
        <v>0.23098379629629628</v>
      </c>
      <c r="P916" s="23" t="str">
        <f>_xlfn.XLOOKUP(B916,[2]customers!$A$2:$A$101,[2]customers!$C$2:$C$101)</f>
        <v>Panvel</v>
      </c>
      <c r="Q916" s="20" t="s">
        <v>352</v>
      </c>
      <c r="R916" s="20" t="s">
        <v>36</v>
      </c>
      <c r="S916" s="21">
        <f t="shared" si="73"/>
        <v>1865</v>
      </c>
      <c r="T916" s="25">
        <f t="shared" si="74"/>
        <v>8</v>
      </c>
    </row>
    <row r="917" spans="1:20" x14ac:dyDescent="0.3">
      <c r="A917" s="14">
        <v>916</v>
      </c>
      <c r="B917" s="14" t="s">
        <v>64</v>
      </c>
      <c r="C917" s="14">
        <v>33</v>
      </c>
      <c r="D917" s="14" t="s">
        <v>490</v>
      </c>
      <c r="E917" s="14" t="s">
        <v>429</v>
      </c>
      <c r="F917" s="14">
        <v>2</v>
      </c>
      <c r="G917" s="15">
        <f>_xlfn.XLOOKUP(C917,[1]products!$A$2:$A$71,[1]products!$D$2:$D$71)</f>
        <v>314</v>
      </c>
      <c r="H917" s="16">
        <v>44963</v>
      </c>
      <c r="I917" s="16" t="str">
        <f t="shared" si="70"/>
        <v>February</v>
      </c>
      <c r="J917" s="16" t="str">
        <f t="shared" si="71"/>
        <v>Monday</v>
      </c>
      <c r="K917" s="17">
        <v>0.18274305555555556</v>
      </c>
      <c r="L917" s="16">
        <v>44971</v>
      </c>
      <c r="M917" s="18">
        <f>HOUR(orders!$K917)</f>
        <v>4</v>
      </c>
      <c r="N917" s="16" t="str">
        <f t="shared" si="72"/>
        <v>February</v>
      </c>
      <c r="O917" s="17">
        <v>0.88847222222222222</v>
      </c>
      <c r="P917" s="17" t="str">
        <f>_xlfn.XLOOKUP(B917,[2]customers!$A$2:$A$101,[2]customers!$C$2:$C$101)</f>
        <v>Jamnagar</v>
      </c>
      <c r="Q917" s="14" t="s">
        <v>115</v>
      </c>
      <c r="R917" s="14" t="s">
        <v>23</v>
      </c>
      <c r="S917" s="15">
        <f t="shared" si="73"/>
        <v>628</v>
      </c>
      <c r="T917" s="19">
        <f t="shared" si="74"/>
        <v>8</v>
      </c>
    </row>
    <row r="918" spans="1:20" x14ac:dyDescent="0.3">
      <c r="A918" s="20">
        <v>917</v>
      </c>
      <c r="B918" s="20" t="s">
        <v>288</v>
      </c>
      <c r="C918" s="20">
        <v>12</v>
      </c>
      <c r="D918" s="20" t="s">
        <v>446</v>
      </c>
      <c r="E918" s="20" t="s">
        <v>447</v>
      </c>
      <c r="F918" s="20">
        <v>3</v>
      </c>
      <c r="G918" s="21">
        <f>_xlfn.XLOOKUP(C918,[1]products!$A$2:$A$71,[1]products!$D$2:$D$71)</f>
        <v>672</v>
      </c>
      <c r="H918" s="22">
        <v>44950</v>
      </c>
      <c r="I918" s="22" t="str">
        <f t="shared" si="70"/>
        <v>January</v>
      </c>
      <c r="J918" s="22" t="str">
        <f t="shared" si="71"/>
        <v>Tuesday</v>
      </c>
      <c r="K918" s="23">
        <v>0.24784722222222222</v>
      </c>
      <c r="L918" s="22">
        <v>44955</v>
      </c>
      <c r="M918" s="24">
        <f>HOUR(orders!$K918)</f>
        <v>5</v>
      </c>
      <c r="N918" s="22" t="str">
        <f t="shared" si="72"/>
        <v>January</v>
      </c>
      <c r="O918" s="23">
        <v>0.46137731481481481</v>
      </c>
      <c r="P918" s="23" t="str">
        <f>_xlfn.XLOOKUP(B918,[2]customers!$A$2:$A$101,[2]customers!$C$2:$C$101)</f>
        <v>Dhanbad</v>
      </c>
      <c r="Q918" s="20" t="s">
        <v>250</v>
      </c>
      <c r="R918" s="20" t="s">
        <v>12</v>
      </c>
      <c r="S918" s="21">
        <f t="shared" si="73"/>
        <v>2016</v>
      </c>
      <c r="T918" s="25">
        <f t="shared" si="74"/>
        <v>5</v>
      </c>
    </row>
    <row r="919" spans="1:20" x14ac:dyDescent="0.3">
      <c r="A919" s="14">
        <v>918</v>
      </c>
      <c r="B919" s="14" t="s">
        <v>184</v>
      </c>
      <c r="C919" s="14">
        <v>19</v>
      </c>
      <c r="D919" s="14" t="s">
        <v>457</v>
      </c>
      <c r="E919" s="14" t="s">
        <v>458</v>
      </c>
      <c r="F919" s="14">
        <v>2</v>
      </c>
      <c r="G919" s="15">
        <f>_xlfn.XLOOKUP(C919,[1]products!$A$2:$A$71,[1]products!$D$2:$D$71)</f>
        <v>1234</v>
      </c>
      <c r="H919" s="16">
        <v>44969</v>
      </c>
      <c r="I919" s="16" t="str">
        <f t="shared" si="70"/>
        <v>February</v>
      </c>
      <c r="J919" s="16" t="str">
        <f t="shared" si="71"/>
        <v>Sunday</v>
      </c>
      <c r="K919" s="17">
        <v>0.7590972222222222</v>
      </c>
      <c r="L919" s="16">
        <v>44978</v>
      </c>
      <c r="M919" s="18">
        <f>HOUR(orders!$K919)</f>
        <v>18</v>
      </c>
      <c r="N919" s="16" t="str">
        <f t="shared" si="72"/>
        <v>February</v>
      </c>
      <c r="O919" s="17">
        <v>0.91812499999999997</v>
      </c>
      <c r="P919" s="17" t="str">
        <f>_xlfn.XLOOKUP(B919,[2]customers!$A$2:$A$101,[2]customers!$C$2:$C$101)</f>
        <v>Raurkela Industrial Township</v>
      </c>
      <c r="Q919" s="14" t="s">
        <v>395</v>
      </c>
      <c r="R919" s="14" t="s">
        <v>23</v>
      </c>
      <c r="S919" s="15">
        <f t="shared" si="73"/>
        <v>2468</v>
      </c>
      <c r="T919" s="19">
        <f t="shared" si="74"/>
        <v>9</v>
      </c>
    </row>
    <row r="920" spans="1:20" x14ac:dyDescent="0.3">
      <c r="A920" s="20">
        <v>919</v>
      </c>
      <c r="B920" s="20" t="s">
        <v>144</v>
      </c>
      <c r="C920" s="20">
        <v>35</v>
      </c>
      <c r="D920" s="20" t="s">
        <v>462</v>
      </c>
      <c r="E920" s="20" t="s">
        <v>429</v>
      </c>
      <c r="F920" s="20">
        <v>5</v>
      </c>
      <c r="G920" s="21">
        <f>_xlfn.XLOOKUP(C920,[1]products!$A$2:$A$71,[1]products!$D$2:$D$71)</f>
        <v>1865</v>
      </c>
      <c r="H920" s="22">
        <v>44985</v>
      </c>
      <c r="I920" s="22" t="str">
        <f t="shared" si="70"/>
        <v>February</v>
      </c>
      <c r="J920" s="22" t="str">
        <f t="shared" si="71"/>
        <v>Tuesday</v>
      </c>
      <c r="K920" s="23">
        <v>0.35269675925925931</v>
      </c>
      <c r="L920" s="22">
        <v>44989</v>
      </c>
      <c r="M920" s="24">
        <f>HOUR(orders!$K920)</f>
        <v>8</v>
      </c>
      <c r="N920" s="22" t="str">
        <f t="shared" si="72"/>
        <v>March</v>
      </c>
      <c r="O920" s="23">
        <v>3.8078703703703707E-3</v>
      </c>
      <c r="P920" s="23" t="str">
        <f>_xlfn.XLOOKUP(B920,[2]customers!$A$2:$A$101,[2]customers!$C$2:$C$101)</f>
        <v>Aizawl</v>
      </c>
      <c r="Q920" s="20" t="s">
        <v>96</v>
      </c>
      <c r="R920" s="20" t="s">
        <v>36</v>
      </c>
      <c r="S920" s="21">
        <f t="shared" si="73"/>
        <v>9325</v>
      </c>
      <c r="T920" s="25">
        <f t="shared" si="74"/>
        <v>4</v>
      </c>
    </row>
    <row r="921" spans="1:20" x14ac:dyDescent="0.3">
      <c r="A921" s="14">
        <v>920</v>
      </c>
      <c r="B921" s="14" t="s">
        <v>186</v>
      </c>
      <c r="C921" s="14">
        <v>45</v>
      </c>
      <c r="D921" s="14" t="s">
        <v>433</v>
      </c>
      <c r="E921" s="14" t="s">
        <v>26</v>
      </c>
      <c r="F921" s="14">
        <v>1</v>
      </c>
      <c r="G921" s="15">
        <f>_xlfn.XLOOKUP(C921,[1]products!$A$2:$A$71,[1]products!$D$2:$D$71)</f>
        <v>722</v>
      </c>
      <c r="H921" s="16">
        <v>45106</v>
      </c>
      <c r="I921" s="16" t="str">
        <f t="shared" si="70"/>
        <v>June</v>
      </c>
      <c r="J921" s="16" t="str">
        <f t="shared" si="71"/>
        <v>Thursday</v>
      </c>
      <c r="K921" s="17">
        <v>0.84936342592592595</v>
      </c>
      <c r="L921" s="16">
        <v>45115</v>
      </c>
      <c r="M921" s="18">
        <f>HOUR(orders!$K921)</f>
        <v>20</v>
      </c>
      <c r="N921" s="16" t="str">
        <f t="shared" si="72"/>
        <v>July</v>
      </c>
      <c r="O921" s="17">
        <v>0.98723379629629626</v>
      </c>
      <c r="P921" s="17" t="str">
        <f>_xlfn.XLOOKUP(B921,[2]customers!$A$2:$A$101,[2]customers!$C$2:$C$101)</f>
        <v>Farrukhabad</v>
      </c>
      <c r="Q921" s="14" t="s">
        <v>170</v>
      </c>
      <c r="R921" s="14" t="s">
        <v>20</v>
      </c>
      <c r="S921" s="15">
        <f t="shared" si="73"/>
        <v>722</v>
      </c>
      <c r="T921" s="19">
        <f t="shared" si="74"/>
        <v>9</v>
      </c>
    </row>
    <row r="922" spans="1:20" x14ac:dyDescent="0.3">
      <c r="A922" s="20">
        <v>921</v>
      </c>
      <c r="B922" s="20" t="s">
        <v>21</v>
      </c>
      <c r="C922" s="20">
        <v>23</v>
      </c>
      <c r="D922" s="20" t="s">
        <v>441</v>
      </c>
      <c r="E922" s="20" t="s">
        <v>427</v>
      </c>
      <c r="F922" s="20">
        <v>4</v>
      </c>
      <c r="G922" s="21">
        <f>_xlfn.XLOOKUP(C922,[1]products!$A$2:$A$71,[1]products!$D$2:$D$71)</f>
        <v>1098</v>
      </c>
      <c r="H922" s="22">
        <v>45187</v>
      </c>
      <c r="I922" s="22" t="str">
        <f t="shared" si="70"/>
        <v>September</v>
      </c>
      <c r="J922" s="22" t="str">
        <f t="shared" si="71"/>
        <v>Monday</v>
      </c>
      <c r="K922" s="23">
        <v>0.57824074074074072</v>
      </c>
      <c r="L922" s="22">
        <v>45192</v>
      </c>
      <c r="M922" s="24">
        <f>HOUR(orders!$K922)</f>
        <v>13</v>
      </c>
      <c r="N922" s="22" t="str">
        <f t="shared" si="72"/>
        <v>September</v>
      </c>
      <c r="O922" s="23">
        <v>0.30724537037037036</v>
      </c>
      <c r="P922" s="23" t="str">
        <f>_xlfn.XLOOKUP(B922,[2]customers!$A$2:$A$101,[2]customers!$C$2:$C$101)</f>
        <v>Bhubaneswar</v>
      </c>
      <c r="Q922" s="20" t="s">
        <v>336</v>
      </c>
      <c r="R922" s="20" t="s">
        <v>12</v>
      </c>
      <c r="S922" s="21">
        <f t="shared" si="73"/>
        <v>4392</v>
      </c>
      <c r="T922" s="25">
        <f t="shared" si="74"/>
        <v>5</v>
      </c>
    </row>
    <row r="923" spans="1:20" x14ac:dyDescent="0.3">
      <c r="A923" s="14">
        <v>922</v>
      </c>
      <c r="B923" s="14" t="s">
        <v>27</v>
      </c>
      <c r="C923" s="14">
        <v>23</v>
      </c>
      <c r="D923" s="14" t="s">
        <v>441</v>
      </c>
      <c r="E923" s="14" t="s">
        <v>427</v>
      </c>
      <c r="F923" s="14">
        <v>1</v>
      </c>
      <c r="G923" s="15">
        <f>_xlfn.XLOOKUP(C923,[1]products!$A$2:$A$71,[1]products!$D$2:$D$71)</f>
        <v>1098</v>
      </c>
      <c r="H923" s="16">
        <v>45274</v>
      </c>
      <c r="I923" s="16" t="str">
        <f t="shared" si="70"/>
        <v>December</v>
      </c>
      <c r="J923" s="16" t="str">
        <f t="shared" si="71"/>
        <v>Thursday</v>
      </c>
      <c r="K923" s="17">
        <v>0.38638888888888889</v>
      </c>
      <c r="L923" s="16">
        <v>45278</v>
      </c>
      <c r="M923" s="18">
        <f>HOUR(orders!$K923)</f>
        <v>9</v>
      </c>
      <c r="N923" s="16" t="str">
        <f t="shared" si="72"/>
        <v>December</v>
      </c>
      <c r="O923" s="17">
        <v>0.33584490740740741</v>
      </c>
      <c r="P923" s="17" t="str">
        <f>_xlfn.XLOOKUP(B923,[2]customers!$A$2:$A$101,[2]customers!$C$2:$C$101)</f>
        <v>Madurai</v>
      </c>
      <c r="Q923" s="14" t="s">
        <v>154</v>
      </c>
      <c r="R923" s="14" t="s">
        <v>12</v>
      </c>
      <c r="S923" s="15">
        <f t="shared" si="73"/>
        <v>1098</v>
      </c>
      <c r="T923" s="19">
        <f t="shared" si="74"/>
        <v>4</v>
      </c>
    </row>
    <row r="924" spans="1:20" x14ac:dyDescent="0.3">
      <c r="A924" s="20">
        <v>923</v>
      </c>
      <c r="B924" s="20" t="s">
        <v>331</v>
      </c>
      <c r="C924" s="20">
        <v>7</v>
      </c>
      <c r="D924" s="20" t="s">
        <v>453</v>
      </c>
      <c r="E924" s="20" t="s">
        <v>445</v>
      </c>
      <c r="F924" s="20">
        <v>4</v>
      </c>
      <c r="G924" s="21">
        <f>_xlfn.XLOOKUP(C924,[1]products!$A$2:$A$71,[1]products!$D$2:$D$71)</f>
        <v>409</v>
      </c>
      <c r="H924" s="22">
        <v>44984</v>
      </c>
      <c r="I924" s="22" t="str">
        <f t="shared" si="70"/>
        <v>February</v>
      </c>
      <c r="J924" s="22" t="str">
        <f t="shared" si="71"/>
        <v>Monday</v>
      </c>
      <c r="K924" s="23">
        <v>0.60939814814814819</v>
      </c>
      <c r="L924" s="22">
        <v>44985</v>
      </c>
      <c r="M924" s="24">
        <f>HOUR(orders!$K924)</f>
        <v>14</v>
      </c>
      <c r="N924" s="22" t="str">
        <f t="shared" si="72"/>
        <v>February</v>
      </c>
      <c r="O924" s="23">
        <v>0.91778935185185195</v>
      </c>
      <c r="P924" s="23" t="str">
        <f>_xlfn.XLOOKUP(B924,[2]customers!$A$2:$A$101,[2]customers!$C$2:$C$101)</f>
        <v>Bhatpara</v>
      </c>
      <c r="Q924" s="20" t="s">
        <v>111</v>
      </c>
      <c r="R924" s="20" t="s">
        <v>36</v>
      </c>
      <c r="S924" s="21">
        <f t="shared" si="73"/>
        <v>1636</v>
      </c>
      <c r="T924" s="25">
        <f t="shared" si="74"/>
        <v>1</v>
      </c>
    </row>
    <row r="925" spans="1:20" x14ac:dyDescent="0.3">
      <c r="A925" s="14">
        <v>924</v>
      </c>
      <c r="B925" s="14" t="s">
        <v>43</v>
      </c>
      <c r="C925" s="14">
        <v>17</v>
      </c>
      <c r="D925" s="14" t="s">
        <v>455</v>
      </c>
      <c r="E925" s="14" t="s">
        <v>445</v>
      </c>
      <c r="F925" s="14">
        <v>1</v>
      </c>
      <c r="G925" s="15">
        <f>_xlfn.XLOOKUP(C925,[1]products!$A$2:$A$71,[1]products!$D$2:$D$71)</f>
        <v>1899</v>
      </c>
      <c r="H925" s="16">
        <v>45010</v>
      </c>
      <c r="I925" s="16" t="str">
        <f t="shared" si="70"/>
        <v>March</v>
      </c>
      <c r="J925" s="16" t="str">
        <f t="shared" si="71"/>
        <v>Saturday</v>
      </c>
      <c r="K925" s="17">
        <v>0.40774305555555551</v>
      </c>
      <c r="L925" s="16">
        <v>45020</v>
      </c>
      <c r="M925" s="18">
        <f>HOUR(orders!$K925)</f>
        <v>9</v>
      </c>
      <c r="N925" s="16" t="str">
        <f t="shared" si="72"/>
        <v>April</v>
      </c>
      <c r="O925" s="17">
        <v>0.95561342592592602</v>
      </c>
      <c r="P925" s="17" t="str">
        <f>_xlfn.XLOOKUP(B925,[2]customers!$A$2:$A$101,[2]customers!$C$2:$C$101)</f>
        <v>Mangalore</v>
      </c>
      <c r="Q925" s="14" t="s">
        <v>364</v>
      </c>
      <c r="R925" s="14" t="s">
        <v>12</v>
      </c>
      <c r="S925" s="15">
        <f t="shared" si="73"/>
        <v>1899</v>
      </c>
      <c r="T925" s="19">
        <f t="shared" si="74"/>
        <v>10</v>
      </c>
    </row>
    <row r="926" spans="1:20" x14ac:dyDescent="0.3">
      <c r="A926" s="20">
        <v>925</v>
      </c>
      <c r="B926" s="20" t="s">
        <v>18</v>
      </c>
      <c r="C926" s="20">
        <v>31</v>
      </c>
      <c r="D926" s="20" t="s">
        <v>474</v>
      </c>
      <c r="E926" s="20" t="s">
        <v>429</v>
      </c>
      <c r="F926" s="20">
        <v>1</v>
      </c>
      <c r="G926" s="21">
        <f>_xlfn.XLOOKUP(C926,[1]products!$A$2:$A$71,[1]products!$D$2:$D$71)</f>
        <v>1804</v>
      </c>
      <c r="H926" s="22">
        <v>44934</v>
      </c>
      <c r="I926" s="22" t="str">
        <f t="shared" si="70"/>
        <v>January</v>
      </c>
      <c r="J926" s="22" t="str">
        <f t="shared" si="71"/>
        <v>Sunday</v>
      </c>
      <c r="K926" s="23">
        <v>3.8784722222222227E-2</v>
      </c>
      <c r="L926" s="22">
        <v>44938</v>
      </c>
      <c r="M926" s="24">
        <f>HOUR(orders!$K926)</f>
        <v>0</v>
      </c>
      <c r="N926" s="22" t="str">
        <f t="shared" si="72"/>
        <v>January</v>
      </c>
      <c r="O926" s="23">
        <v>0.27716435185185184</v>
      </c>
      <c r="P926" s="23" t="str">
        <f>_xlfn.XLOOKUP(B926,[2]customers!$A$2:$A$101,[2]customers!$C$2:$C$101)</f>
        <v>Bilaspur</v>
      </c>
      <c r="Q926" s="20" t="s">
        <v>137</v>
      </c>
      <c r="R926" s="20" t="s">
        <v>60</v>
      </c>
      <c r="S926" s="21">
        <f t="shared" si="73"/>
        <v>1804</v>
      </c>
      <c r="T926" s="25">
        <f t="shared" si="74"/>
        <v>4</v>
      </c>
    </row>
    <row r="927" spans="1:20" x14ac:dyDescent="0.3">
      <c r="A927" s="14">
        <v>926</v>
      </c>
      <c r="B927" s="14" t="s">
        <v>218</v>
      </c>
      <c r="C927" s="14">
        <v>40</v>
      </c>
      <c r="D927" s="14" t="s">
        <v>477</v>
      </c>
      <c r="E927" s="14" t="s">
        <v>427</v>
      </c>
      <c r="F927" s="14">
        <v>4</v>
      </c>
      <c r="G927" s="15">
        <f>_xlfn.XLOOKUP(C927,[1]products!$A$2:$A$71,[1]products!$D$2:$D$71)</f>
        <v>1923</v>
      </c>
      <c r="H927" s="16">
        <v>45013</v>
      </c>
      <c r="I927" s="16" t="str">
        <f t="shared" si="70"/>
        <v>March</v>
      </c>
      <c r="J927" s="16" t="str">
        <f t="shared" si="71"/>
        <v>Tuesday</v>
      </c>
      <c r="K927" s="17">
        <v>0.95969907407407407</v>
      </c>
      <c r="L927" s="16">
        <v>45016</v>
      </c>
      <c r="M927" s="18">
        <f>HOUR(orders!$K927)</f>
        <v>23</v>
      </c>
      <c r="N927" s="16" t="str">
        <f t="shared" si="72"/>
        <v>March</v>
      </c>
      <c r="O927" s="17">
        <v>0.99403935185185188</v>
      </c>
      <c r="P927" s="17" t="str">
        <f>_xlfn.XLOOKUP(B927,[2]customers!$A$2:$A$101,[2]customers!$C$2:$C$101)</f>
        <v>Imphal</v>
      </c>
      <c r="Q927" s="14" t="s">
        <v>257</v>
      </c>
      <c r="R927" s="14" t="s">
        <v>12</v>
      </c>
      <c r="S927" s="15">
        <f t="shared" si="73"/>
        <v>7692</v>
      </c>
      <c r="T927" s="19">
        <f t="shared" si="74"/>
        <v>3</v>
      </c>
    </row>
    <row r="928" spans="1:20" x14ac:dyDescent="0.3">
      <c r="A928" s="20">
        <v>927</v>
      </c>
      <c r="B928" s="20" t="s">
        <v>155</v>
      </c>
      <c r="C928" s="20">
        <v>43</v>
      </c>
      <c r="D928" s="20" t="s">
        <v>434</v>
      </c>
      <c r="E928" s="20" t="s">
        <v>26</v>
      </c>
      <c r="F928" s="20">
        <v>4</v>
      </c>
      <c r="G928" s="21">
        <f>_xlfn.XLOOKUP(C928,[1]products!$A$2:$A$71,[1]products!$D$2:$D$71)</f>
        <v>750</v>
      </c>
      <c r="H928" s="22">
        <v>45233</v>
      </c>
      <c r="I928" s="22" t="str">
        <f t="shared" si="70"/>
        <v>November</v>
      </c>
      <c r="J928" s="22" t="str">
        <f t="shared" si="71"/>
        <v>Friday</v>
      </c>
      <c r="K928" s="23">
        <v>0.27656249999999999</v>
      </c>
      <c r="L928" s="22">
        <v>45241</v>
      </c>
      <c r="M928" s="24">
        <f>HOUR(orders!$K928)</f>
        <v>6</v>
      </c>
      <c r="N928" s="22" t="str">
        <f t="shared" si="72"/>
        <v>November</v>
      </c>
      <c r="O928" s="23">
        <v>0.20853009259259259</v>
      </c>
      <c r="P928" s="23" t="str">
        <f>_xlfn.XLOOKUP(B928,[2]customers!$A$2:$A$101,[2]customers!$C$2:$C$101)</f>
        <v>Phagwara</v>
      </c>
      <c r="Q928" s="20" t="s">
        <v>210</v>
      </c>
      <c r="R928" s="20" t="s">
        <v>15</v>
      </c>
      <c r="S928" s="21">
        <f t="shared" si="73"/>
        <v>3000</v>
      </c>
      <c r="T928" s="25">
        <f t="shared" si="74"/>
        <v>8</v>
      </c>
    </row>
    <row r="929" spans="1:20" x14ac:dyDescent="0.3">
      <c r="A929" s="14">
        <v>928</v>
      </c>
      <c r="B929" s="14" t="s">
        <v>18</v>
      </c>
      <c r="C929" s="14">
        <v>23</v>
      </c>
      <c r="D929" s="14" t="s">
        <v>441</v>
      </c>
      <c r="E929" s="14" t="s">
        <v>427</v>
      </c>
      <c r="F929" s="14">
        <v>3</v>
      </c>
      <c r="G929" s="15">
        <f>_xlfn.XLOOKUP(C929,[1]products!$A$2:$A$71,[1]products!$D$2:$D$71)</f>
        <v>1098</v>
      </c>
      <c r="H929" s="16">
        <v>45249</v>
      </c>
      <c r="I929" s="16" t="str">
        <f t="shared" si="70"/>
        <v>November</v>
      </c>
      <c r="J929" s="16" t="str">
        <f t="shared" si="71"/>
        <v>Sunday</v>
      </c>
      <c r="K929" s="17">
        <v>0.46277777777777779</v>
      </c>
      <c r="L929" s="16">
        <v>45257</v>
      </c>
      <c r="M929" s="18">
        <f>HOUR(orders!$K929)</f>
        <v>11</v>
      </c>
      <c r="N929" s="16" t="str">
        <f t="shared" si="72"/>
        <v>November</v>
      </c>
      <c r="O929" s="17">
        <v>0.42791666666666667</v>
      </c>
      <c r="P929" s="17" t="str">
        <f>_xlfn.XLOOKUP(B929,[2]customers!$A$2:$A$101,[2]customers!$C$2:$C$101)</f>
        <v>Bilaspur</v>
      </c>
      <c r="Q929" s="14" t="s">
        <v>415</v>
      </c>
      <c r="R929" s="14" t="s">
        <v>12</v>
      </c>
      <c r="S929" s="15">
        <f t="shared" si="73"/>
        <v>3294</v>
      </c>
      <c r="T929" s="19">
        <f t="shared" si="74"/>
        <v>8</v>
      </c>
    </row>
    <row r="930" spans="1:20" x14ac:dyDescent="0.3">
      <c r="A930" s="20">
        <v>929</v>
      </c>
      <c r="B930" s="20" t="s">
        <v>233</v>
      </c>
      <c r="C930" s="20">
        <v>23</v>
      </c>
      <c r="D930" s="20" t="s">
        <v>441</v>
      </c>
      <c r="E930" s="20" t="s">
        <v>427</v>
      </c>
      <c r="F930" s="20">
        <v>1</v>
      </c>
      <c r="G930" s="21">
        <f>_xlfn.XLOOKUP(C930,[1]products!$A$2:$A$71,[1]products!$D$2:$D$71)</f>
        <v>1098</v>
      </c>
      <c r="H930" s="22">
        <v>45004</v>
      </c>
      <c r="I930" s="22" t="str">
        <f t="shared" si="70"/>
        <v>March</v>
      </c>
      <c r="J930" s="22" t="str">
        <f t="shared" si="71"/>
        <v>Sunday</v>
      </c>
      <c r="K930" s="23">
        <v>0.29226851851851848</v>
      </c>
      <c r="L930" s="22">
        <v>45011</v>
      </c>
      <c r="M930" s="24">
        <f>HOUR(orders!$K930)</f>
        <v>7</v>
      </c>
      <c r="N930" s="22" t="str">
        <f t="shared" si="72"/>
        <v>March</v>
      </c>
      <c r="O930" s="23">
        <v>0.54342592592592587</v>
      </c>
      <c r="P930" s="23" t="str">
        <f>_xlfn.XLOOKUP(B930,[2]customers!$A$2:$A$101,[2]customers!$C$2:$C$101)</f>
        <v>Raipur</v>
      </c>
      <c r="Q930" s="20" t="s">
        <v>333</v>
      </c>
      <c r="R930" s="20" t="s">
        <v>12</v>
      </c>
      <c r="S930" s="21">
        <f t="shared" si="73"/>
        <v>1098</v>
      </c>
      <c r="T930" s="25">
        <f t="shared" si="74"/>
        <v>7</v>
      </c>
    </row>
    <row r="931" spans="1:20" x14ac:dyDescent="0.3">
      <c r="A931" s="14">
        <v>930</v>
      </c>
      <c r="B931" s="14" t="s">
        <v>184</v>
      </c>
      <c r="C931" s="14">
        <v>61</v>
      </c>
      <c r="D931" s="14" t="s">
        <v>464</v>
      </c>
      <c r="E931" s="14" t="s">
        <v>447</v>
      </c>
      <c r="F931" s="14">
        <v>3</v>
      </c>
      <c r="G931" s="15">
        <f>_xlfn.XLOOKUP(C931,[1]products!$A$2:$A$71,[1]products!$D$2:$D$71)</f>
        <v>810</v>
      </c>
      <c r="H931" s="16">
        <v>45080</v>
      </c>
      <c r="I931" s="16" t="str">
        <f t="shared" si="70"/>
        <v>June</v>
      </c>
      <c r="J931" s="16" t="str">
        <f t="shared" si="71"/>
        <v>Saturday</v>
      </c>
      <c r="K931" s="17">
        <v>0.66146990740740741</v>
      </c>
      <c r="L931" s="16">
        <v>45084</v>
      </c>
      <c r="M931" s="18">
        <f>HOUR(orders!$K931)</f>
        <v>15</v>
      </c>
      <c r="N931" s="16" t="str">
        <f t="shared" si="72"/>
        <v>June</v>
      </c>
      <c r="O931" s="17">
        <v>0.8203125</v>
      </c>
      <c r="P931" s="17" t="str">
        <f>_xlfn.XLOOKUP(B931,[2]customers!$A$2:$A$101,[2]customers!$C$2:$C$101)</f>
        <v>Raurkela Industrial Township</v>
      </c>
      <c r="Q931" s="14" t="s">
        <v>340</v>
      </c>
      <c r="R931" s="14" t="s">
        <v>12</v>
      </c>
      <c r="S931" s="15">
        <f t="shared" si="73"/>
        <v>2430</v>
      </c>
      <c r="T931" s="19">
        <f t="shared" si="74"/>
        <v>4</v>
      </c>
    </row>
    <row r="932" spans="1:20" x14ac:dyDescent="0.3">
      <c r="A932" s="20">
        <v>931</v>
      </c>
      <c r="B932" s="20" t="s">
        <v>142</v>
      </c>
      <c r="C932" s="20">
        <v>14</v>
      </c>
      <c r="D932" s="20" t="s">
        <v>428</v>
      </c>
      <c r="E932" s="20" t="s">
        <v>429</v>
      </c>
      <c r="F932" s="20">
        <v>1</v>
      </c>
      <c r="G932" s="21">
        <f>_xlfn.XLOOKUP(C932,[1]products!$A$2:$A$71,[1]products!$D$2:$D$71)</f>
        <v>1915</v>
      </c>
      <c r="H932" s="22">
        <v>45033</v>
      </c>
      <c r="I932" s="22" t="str">
        <f t="shared" si="70"/>
        <v>April</v>
      </c>
      <c r="J932" s="22" t="str">
        <f t="shared" si="71"/>
        <v>Monday</v>
      </c>
      <c r="K932" s="23">
        <v>0.82513888888888898</v>
      </c>
      <c r="L932" s="22">
        <v>45035</v>
      </c>
      <c r="M932" s="24">
        <f>HOUR(orders!$K932)</f>
        <v>19</v>
      </c>
      <c r="N932" s="22" t="str">
        <f t="shared" si="72"/>
        <v>April</v>
      </c>
      <c r="O932" s="23">
        <v>0.43443287037037037</v>
      </c>
      <c r="P932" s="23" t="str">
        <f>_xlfn.XLOOKUP(B932,[2]customers!$A$2:$A$101,[2]customers!$C$2:$C$101)</f>
        <v>Bharatpur</v>
      </c>
      <c r="Q932" s="20" t="s">
        <v>154</v>
      </c>
      <c r="R932" s="20" t="s">
        <v>20</v>
      </c>
      <c r="S932" s="21">
        <f t="shared" si="73"/>
        <v>1915</v>
      </c>
      <c r="T932" s="25">
        <f t="shared" si="74"/>
        <v>2</v>
      </c>
    </row>
    <row r="933" spans="1:20" x14ac:dyDescent="0.3">
      <c r="A933" s="14">
        <v>932</v>
      </c>
      <c r="B933" s="14" t="s">
        <v>144</v>
      </c>
      <c r="C933" s="14">
        <v>63</v>
      </c>
      <c r="D933" s="14" t="s">
        <v>498</v>
      </c>
      <c r="E933" s="14" t="s">
        <v>427</v>
      </c>
      <c r="F933" s="14">
        <v>2</v>
      </c>
      <c r="G933" s="15">
        <f>_xlfn.XLOOKUP(C933,[1]products!$A$2:$A$71,[1]products!$D$2:$D$71)</f>
        <v>1348</v>
      </c>
      <c r="H933" s="16">
        <v>45228</v>
      </c>
      <c r="I933" s="16" t="str">
        <f t="shared" si="70"/>
        <v>October</v>
      </c>
      <c r="J933" s="16" t="str">
        <f t="shared" si="71"/>
        <v>Sunday</v>
      </c>
      <c r="K933" s="17">
        <v>0.68923611111111116</v>
      </c>
      <c r="L933" s="16">
        <v>45232</v>
      </c>
      <c r="M933" s="18">
        <f>HOUR(orders!$K933)</f>
        <v>16</v>
      </c>
      <c r="N933" s="16" t="str">
        <f t="shared" si="72"/>
        <v>November</v>
      </c>
      <c r="O933" s="17">
        <v>0.92859953703703713</v>
      </c>
      <c r="P933" s="17" t="str">
        <f>_xlfn.XLOOKUP(B933,[2]customers!$A$2:$A$101,[2]customers!$C$2:$C$101)</f>
        <v>Aizawl</v>
      </c>
      <c r="Q933" s="14" t="s">
        <v>263</v>
      </c>
      <c r="R933" s="14" t="s">
        <v>60</v>
      </c>
      <c r="S933" s="15">
        <f t="shared" si="73"/>
        <v>2696</v>
      </c>
      <c r="T933" s="19">
        <f t="shared" si="74"/>
        <v>4</v>
      </c>
    </row>
    <row r="934" spans="1:20" x14ac:dyDescent="0.3">
      <c r="A934" s="20">
        <v>933</v>
      </c>
      <c r="B934" s="20" t="s">
        <v>144</v>
      </c>
      <c r="C934" s="20">
        <v>51</v>
      </c>
      <c r="D934" s="20" t="s">
        <v>469</v>
      </c>
      <c r="E934" s="20" t="s">
        <v>445</v>
      </c>
      <c r="F934" s="20">
        <v>3</v>
      </c>
      <c r="G934" s="21">
        <f>_xlfn.XLOOKUP(C934,[1]products!$A$2:$A$71,[1]products!$D$2:$D$71)</f>
        <v>1084</v>
      </c>
      <c r="H934" s="22">
        <v>45244</v>
      </c>
      <c r="I934" s="22" t="str">
        <f t="shared" si="70"/>
        <v>November</v>
      </c>
      <c r="J934" s="22" t="str">
        <f t="shared" si="71"/>
        <v>Tuesday</v>
      </c>
      <c r="K934" s="23">
        <v>0.51181712962962966</v>
      </c>
      <c r="L934" s="22">
        <v>45253</v>
      </c>
      <c r="M934" s="24">
        <f>HOUR(orders!$K934)</f>
        <v>12</v>
      </c>
      <c r="N934" s="22" t="str">
        <f t="shared" si="72"/>
        <v>November</v>
      </c>
      <c r="O934" s="23">
        <v>0.1180787037037037</v>
      </c>
      <c r="P934" s="23" t="str">
        <f>_xlfn.XLOOKUP(B934,[2]customers!$A$2:$A$101,[2]customers!$C$2:$C$101)</f>
        <v>Aizawl</v>
      </c>
      <c r="Q934" s="20" t="s">
        <v>306</v>
      </c>
      <c r="R934" s="20" t="s">
        <v>60</v>
      </c>
      <c r="S934" s="21">
        <f t="shared" si="73"/>
        <v>3252</v>
      </c>
      <c r="T934" s="25">
        <f t="shared" si="74"/>
        <v>9</v>
      </c>
    </row>
    <row r="935" spans="1:20" x14ac:dyDescent="0.3">
      <c r="A935" s="14">
        <v>934</v>
      </c>
      <c r="B935" s="14" t="s">
        <v>200</v>
      </c>
      <c r="C935" s="14">
        <v>27</v>
      </c>
      <c r="D935" s="14" t="s">
        <v>435</v>
      </c>
      <c r="E935" s="14" t="s">
        <v>431</v>
      </c>
      <c r="F935" s="14">
        <v>5</v>
      </c>
      <c r="G935" s="15">
        <f>_xlfn.XLOOKUP(C935,[1]products!$A$2:$A$71,[1]products!$D$2:$D$71)</f>
        <v>548</v>
      </c>
      <c r="H935" s="16">
        <v>45160</v>
      </c>
      <c r="I935" s="16" t="str">
        <f t="shared" si="70"/>
        <v>August</v>
      </c>
      <c r="J935" s="16" t="str">
        <f t="shared" si="71"/>
        <v>Tuesday</v>
      </c>
      <c r="K935" s="17">
        <v>2.8518518518518523E-2</v>
      </c>
      <c r="L935" s="16">
        <v>45161</v>
      </c>
      <c r="M935" s="18">
        <f>HOUR(orders!$K935)</f>
        <v>0</v>
      </c>
      <c r="N935" s="16" t="str">
        <f t="shared" si="72"/>
        <v>August</v>
      </c>
      <c r="O935" s="17">
        <v>0.36032407407407407</v>
      </c>
      <c r="P935" s="17" t="str">
        <f>_xlfn.XLOOKUP(B935,[2]customers!$A$2:$A$101,[2]customers!$C$2:$C$101)</f>
        <v>Khandwa</v>
      </c>
      <c r="Q935" s="14" t="s">
        <v>102</v>
      </c>
      <c r="R935" s="14" t="s">
        <v>26</v>
      </c>
      <c r="S935" s="15">
        <f t="shared" si="73"/>
        <v>2740</v>
      </c>
      <c r="T935" s="19">
        <f t="shared" si="74"/>
        <v>1</v>
      </c>
    </row>
    <row r="936" spans="1:20" x14ac:dyDescent="0.3">
      <c r="A936" s="20">
        <v>935</v>
      </c>
      <c r="B936" s="20" t="s">
        <v>88</v>
      </c>
      <c r="C936" s="20">
        <v>27</v>
      </c>
      <c r="D936" s="20" t="s">
        <v>435</v>
      </c>
      <c r="E936" s="20" t="s">
        <v>431</v>
      </c>
      <c r="F936" s="20">
        <v>5</v>
      </c>
      <c r="G936" s="21">
        <f>_xlfn.XLOOKUP(C936,[1]products!$A$2:$A$71,[1]products!$D$2:$D$71)</f>
        <v>548</v>
      </c>
      <c r="H936" s="22">
        <v>45158</v>
      </c>
      <c r="I936" s="22" t="str">
        <f t="shared" si="70"/>
        <v>August</v>
      </c>
      <c r="J936" s="22" t="str">
        <f t="shared" si="71"/>
        <v>Sunday</v>
      </c>
      <c r="K936" s="23">
        <v>0.40156249999999999</v>
      </c>
      <c r="L936" s="22">
        <v>45167</v>
      </c>
      <c r="M936" s="24">
        <f>HOUR(orders!$K936)</f>
        <v>9</v>
      </c>
      <c r="N936" s="22" t="str">
        <f t="shared" si="72"/>
        <v>August</v>
      </c>
      <c r="O936" s="23">
        <v>0.7212615740740741</v>
      </c>
      <c r="P936" s="23" t="str">
        <f>_xlfn.XLOOKUP(B936,[2]customers!$A$2:$A$101,[2]customers!$C$2:$C$101)</f>
        <v>Guna</v>
      </c>
      <c r="Q936" s="20" t="s">
        <v>353</v>
      </c>
      <c r="R936" s="20" t="s">
        <v>26</v>
      </c>
      <c r="S936" s="21">
        <f t="shared" si="73"/>
        <v>2740</v>
      </c>
      <c r="T936" s="25">
        <f t="shared" si="74"/>
        <v>9</v>
      </c>
    </row>
    <row r="937" spans="1:20" x14ac:dyDescent="0.3">
      <c r="A937" s="14">
        <v>936</v>
      </c>
      <c r="B937" s="14" t="s">
        <v>105</v>
      </c>
      <c r="C937" s="14">
        <v>43</v>
      </c>
      <c r="D937" s="14" t="s">
        <v>434</v>
      </c>
      <c r="E937" s="14" t="s">
        <v>26</v>
      </c>
      <c r="F937" s="14">
        <v>4</v>
      </c>
      <c r="G937" s="15">
        <f>_xlfn.XLOOKUP(C937,[1]products!$A$2:$A$71,[1]products!$D$2:$D$71)</f>
        <v>750</v>
      </c>
      <c r="H937" s="16">
        <v>45232</v>
      </c>
      <c r="I937" s="16" t="str">
        <f t="shared" si="70"/>
        <v>November</v>
      </c>
      <c r="J937" s="16" t="str">
        <f t="shared" si="71"/>
        <v>Thursday</v>
      </c>
      <c r="K937" s="17">
        <v>0.89341435185185192</v>
      </c>
      <c r="L937" s="16">
        <v>45238</v>
      </c>
      <c r="M937" s="18">
        <f>HOUR(orders!$K937)</f>
        <v>21</v>
      </c>
      <c r="N937" s="16" t="str">
        <f t="shared" si="72"/>
        <v>November</v>
      </c>
      <c r="O937" s="17">
        <v>0.41912037037037037</v>
      </c>
      <c r="P937" s="17" t="str">
        <f>_xlfn.XLOOKUP(B937,[2]customers!$A$2:$A$101,[2]customers!$C$2:$C$101)</f>
        <v>Maheshtala</v>
      </c>
      <c r="Q937" s="14" t="s">
        <v>11</v>
      </c>
      <c r="R937" s="14" t="s">
        <v>15</v>
      </c>
      <c r="S937" s="15">
        <f t="shared" si="73"/>
        <v>3000</v>
      </c>
      <c r="T937" s="19">
        <f t="shared" si="74"/>
        <v>6</v>
      </c>
    </row>
    <row r="938" spans="1:20" x14ac:dyDescent="0.3">
      <c r="A938" s="20">
        <v>937</v>
      </c>
      <c r="B938" s="20" t="s">
        <v>29</v>
      </c>
      <c r="C938" s="20">
        <v>51</v>
      </c>
      <c r="D938" s="20" t="s">
        <v>469</v>
      </c>
      <c r="E938" s="20" t="s">
        <v>445</v>
      </c>
      <c r="F938" s="20">
        <v>2</v>
      </c>
      <c r="G938" s="21">
        <f>_xlfn.XLOOKUP(C938,[1]products!$A$2:$A$71,[1]products!$D$2:$D$71)</f>
        <v>1084</v>
      </c>
      <c r="H938" s="22">
        <v>44996</v>
      </c>
      <c r="I938" s="22" t="str">
        <f t="shared" si="70"/>
        <v>March</v>
      </c>
      <c r="J938" s="22" t="str">
        <f t="shared" si="71"/>
        <v>Saturday</v>
      </c>
      <c r="K938" s="23">
        <v>0.16508101851851853</v>
      </c>
      <c r="L938" s="22">
        <v>45000</v>
      </c>
      <c r="M938" s="24">
        <f>HOUR(orders!$K938)</f>
        <v>3</v>
      </c>
      <c r="N938" s="22" t="str">
        <f t="shared" si="72"/>
        <v>March</v>
      </c>
      <c r="O938" s="23">
        <v>0.81056712962962962</v>
      </c>
      <c r="P938" s="23" t="str">
        <f>_xlfn.XLOOKUP(B938,[2]customers!$A$2:$A$101,[2]customers!$C$2:$C$101)</f>
        <v>Sri Ganganagar</v>
      </c>
      <c r="Q938" s="20" t="s">
        <v>156</v>
      </c>
      <c r="R938" s="20" t="s">
        <v>60</v>
      </c>
      <c r="S938" s="21">
        <f t="shared" si="73"/>
        <v>2168</v>
      </c>
      <c r="T938" s="25">
        <f t="shared" si="74"/>
        <v>4</v>
      </c>
    </row>
    <row r="939" spans="1:20" x14ac:dyDescent="0.3">
      <c r="A939" s="14">
        <v>938</v>
      </c>
      <c r="B939" s="14" t="s">
        <v>314</v>
      </c>
      <c r="C939" s="14">
        <v>59</v>
      </c>
      <c r="D939" s="14" t="s">
        <v>489</v>
      </c>
      <c r="E939" s="14" t="s">
        <v>431</v>
      </c>
      <c r="F939" s="14">
        <v>3</v>
      </c>
      <c r="G939" s="15">
        <f>_xlfn.XLOOKUP(C939,[1]products!$A$2:$A$71,[1]products!$D$2:$D$71)</f>
        <v>811</v>
      </c>
      <c r="H939" s="16">
        <v>45167</v>
      </c>
      <c r="I939" s="16" t="str">
        <f t="shared" si="70"/>
        <v>August</v>
      </c>
      <c r="J939" s="16" t="str">
        <f t="shared" si="71"/>
        <v>Tuesday</v>
      </c>
      <c r="K939" s="17">
        <v>0.75890046296296287</v>
      </c>
      <c r="L939" s="16">
        <v>45177</v>
      </c>
      <c r="M939" s="18">
        <f>HOUR(orders!$K939)</f>
        <v>18</v>
      </c>
      <c r="N939" s="16" t="str">
        <f t="shared" si="72"/>
        <v>September</v>
      </c>
      <c r="O939" s="17">
        <v>5.3854166666666668E-2</v>
      </c>
      <c r="P939" s="17" t="str">
        <f>_xlfn.XLOOKUP(B939,[2]customers!$A$2:$A$101,[2]customers!$C$2:$C$101)</f>
        <v>Kottayam</v>
      </c>
      <c r="Q939" s="14" t="s">
        <v>107</v>
      </c>
      <c r="R939" s="14" t="s">
        <v>26</v>
      </c>
      <c r="S939" s="15">
        <f t="shared" si="73"/>
        <v>2433</v>
      </c>
      <c r="T939" s="19">
        <f t="shared" si="74"/>
        <v>10</v>
      </c>
    </row>
    <row r="940" spans="1:20" x14ac:dyDescent="0.3">
      <c r="A940" s="20">
        <v>939</v>
      </c>
      <c r="B940" s="20" t="s">
        <v>215</v>
      </c>
      <c r="C940" s="20">
        <v>9</v>
      </c>
      <c r="D940" s="20" t="s">
        <v>451</v>
      </c>
      <c r="E940" s="20" t="s">
        <v>429</v>
      </c>
      <c r="F940" s="20">
        <v>4</v>
      </c>
      <c r="G940" s="21">
        <f>_xlfn.XLOOKUP(C940,[1]products!$A$2:$A$71,[1]products!$D$2:$D$71)</f>
        <v>1605</v>
      </c>
      <c r="H940" s="22">
        <v>45158</v>
      </c>
      <c r="I940" s="22" t="str">
        <f t="shared" si="70"/>
        <v>August</v>
      </c>
      <c r="J940" s="22" t="str">
        <f t="shared" si="71"/>
        <v>Sunday</v>
      </c>
      <c r="K940" s="23">
        <v>0.8715856481481481</v>
      </c>
      <c r="L940" s="22">
        <v>45159</v>
      </c>
      <c r="M940" s="24">
        <f>HOUR(orders!$K940)</f>
        <v>20</v>
      </c>
      <c r="N940" s="22" t="str">
        <f t="shared" si="72"/>
        <v>August</v>
      </c>
      <c r="O940" s="23">
        <v>0.19182870370370372</v>
      </c>
      <c r="P940" s="23" t="str">
        <f>_xlfn.XLOOKUP(B940,[2]customers!$A$2:$A$101,[2]customers!$C$2:$C$101)</f>
        <v>Tiruchirappalli</v>
      </c>
      <c r="Q940" s="20" t="s">
        <v>234</v>
      </c>
      <c r="R940" s="20" t="s">
        <v>26</v>
      </c>
      <c r="S940" s="21">
        <f t="shared" si="73"/>
        <v>6420</v>
      </c>
      <c r="T940" s="25">
        <f t="shared" si="74"/>
        <v>1</v>
      </c>
    </row>
    <row r="941" spans="1:20" x14ac:dyDescent="0.3">
      <c r="A941" s="14">
        <v>940</v>
      </c>
      <c r="B941" s="14" t="s">
        <v>167</v>
      </c>
      <c r="C941" s="14">
        <v>57</v>
      </c>
      <c r="D941" s="14" t="s">
        <v>488</v>
      </c>
      <c r="E941" s="14" t="s">
        <v>429</v>
      </c>
      <c r="F941" s="14">
        <v>4</v>
      </c>
      <c r="G941" s="15">
        <f>_xlfn.XLOOKUP(C941,[1]products!$A$2:$A$71,[1]products!$D$2:$D$71)</f>
        <v>1582</v>
      </c>
      <c r="H941" s="16">
        <v>44937</v>
      </c>
      <c r="I941" s="16" t="str">
        <f t="shared" si="70"/>
        <v>January</v>
      </c>
      <c r="J941" s="16" t="str">
        <f t="shared" si="71"/>
        <v>Wednesday</v>
      </c>
      <c r="K941" s="17">
        <v>0.98501157407407414</v>
      </c>
      <c r="L941" s="16">
        <v>44938</v>
      </c>
      <c r="M941" s="18">
        <f>HOUR(orders!$K941)</f>
        <v>23</v>
      </c>
      <c r="N941" s="16" t="str">
        <f t="shared" si="72"/>
        <v>January</v>
      </c>
      <c r="O941" s="17">
        <v>0.17005787037037037</v>
      </c>
      <c r="P941" s="17" t="str">
        <f>_xlfn.XLOOKUP(B941,[2]customers!$A$2:$A$101,[2]customers!$C$2:$C$101)</f>
        <v>Ahmednagar</v>
      </c>
      <c r="Q941" s="14" t="s">
        <v>261</v>
      </c>
      <c r="R941" s="14" t="s">
        <v>20</v>
      </c>
      <c r="S941" s="15">
        <f t="shared" si="73"/>
        <v>6328</v>
      </c>
      <c r="T941" s="19">
        <f t="shared" si="74"/>
        <v>1</v>
      </c>
    </row>
    <row r="942" spans="1:20" x14ac:dyDescent="0.3">
      <c r="A942" s="20">
        <v>941</v>
      </c>
      <c r="B942" s="20" t="s">
        <v>116</v>
      </c>
      <c r="C942" s="20">
        <v>18</v>
      </c>
      <c r="D942" s="20" t="s">
        <v>484</v>
      </c>
      <c r="E942" s="20" t="s">
        <v>447</v>
      </c>
      <c r="F942" s="20">
        <v>4</v>
      </c>
      <c r="G942" s="21">
        <f>_xlfn.XLOOKUP(C942,[1]products!$A$2:$A$71,[1]products!$D$2:$D$71)</f>
        <v>781</v>
      </c>
      <c r="H942" s="22">
        <v>45065</v>
      </c>
      <c r="I942" s="22" t="str">
        <f t="shared" si="70"/>
        <v>May</v>
      </c>
      <c r="J942" s="22" t="str">
        <f t="shared" si="71"/>
        <v>Friday</v>
      </c>
      <c r="K942" s="23">
        <v>0.38619212962962962</v>
      </c>
      <c r="L942" s="22">
        <v>45068</v>
      </c>
      <c r="M942" s="24">
        <f>HOUR(orders!$K942)</f>
        <v>9</v>
      </c>
      <c r="N942" s="22" t="str">
        <f t="shared" si="72"/>
        <v>May</v>
      </c>
      <c r="O942" s="23">
        <v>0.43612268518518515</v>
      </c>
      <c r="P942" s="23" t="str">
        <f>_xlfn.XLOOKUP(B942,[2]customers!$A$2:$A$101,[2]customers!$C$2:$C$101)</f>
        <v>Guntakal</v>
      </c>
      <c r="Q942" s="20" t="s">
        <v>213</v>
      </c>
      <c r="R942" s="20" t="s">
        <v>20</v>
      </c>
      <c r="S942" s="21">
        <f t="shared" si="73"/>
        <v>3124</v>
      </c>
      <c r="T942" s="25">
        <f t="shared" si="74"/>
        <v>3</v>
      </c>
    </row>
    <row r="943" spans="1:20" x14ac:dyDescent="0.3">
      <c r="A943" s="14">
        <v>942</v>
      </c>
      <c r="B943" s="14" t="s">
        <v>38</v>
      </c>
      <c r="C943" s="14">
        <v>51</v>
      </c>
      <c r="D943" s="14" t="s">
        <v>469</v>
      </c>
      <c r="E943" s="14" t="s">
        <v>445</v>
      </c>
      <c r="F943" s="14">
        <v>1</v>
      </c>
      <c r="G943" s="15">
        <f>_xlfn.XLOOKUP(C943,[1]products!$A$2:$A$71,[1]products!$D$2:$D$71)</f>
        <v>1084</v>
      </c>
      <c r="H943" s="16">
        <v>45283</v>
      </c>
      <c r="I943" s="16" t="str">
        <f t="shared" si="70"/>
        <v>December</v>
      </c>
      <c r="J943" s="16" t="str">
        <f t="shared" si="71"/>
        <v>Saturday</v>
      </c>
      <c r="K943" s="17">
        <v>0.20813657407407407</v>
      </c>
      <c r="L943" s="16">
        <v>45286</v>
      </c>
      <c r="M943" s="18">
        <f>HOUR(orders!$K943)</f>
        <v>4</v>
      </c>
      <c r="N943" s="16" t="str">
        <f t="shared" si="72"/>
        <v>December</v>
      </c>
      <c r="O943" s="17">
        <v>0.66414351851851849</v>
      </c>
      <c r="P943" s="17" t="str">
        <f>_xlfn.XLOOKUP(B943,[2]customers!$A$2:$A$101,[2]customers!$C$2:$C$101)</f>
        <v>Kavali</v>
      </c>
      <c r="Q943" s="14" t="s">
        <v>273</v>
      </c>
      <c r="R943" s="14" t="s">
        <v>60</v>
      </c>
      <c r="S943" s="15">
        <f t="shared" si="73"/>
        <v>1084</v>
      </c>
      <c r="T943" s="19">
        <f t="shared" si="74"/>
        <v>3</v>
      </c>
    </row>
    <row r="944" spans="1:20" x14ac:dyDescent="0.3">
      <c r="A944" s="20">
        <v>943</v>
      </c>
      <c r="B944" s="20" t="s">
        <v>186</v>
      </c>
      <c r="C944" s="20">
        <v>22</v>
      </c>
      <c r="D944" s="20" t="s">
        <v>465</v>
      </c>
      <c r="E944" s="20" t="s">
        <v>445</v>
      </c>
      <c r="F944" s="20">
        <v>4</v>
      </c>
      <c r="G944" s="21">
        <f>_xlfn.XLOOKUP(C944,[1]products!$A$2:$A$71,[1]products!$D$2:$D$71)</f>
        <v>1639</v>
      </c>
      <c r="H944" s="22">
        <v>44976</v>
      </c>
      <c r="I944" s="22" t="str">
        <f t="shared" si="70"/>
        <v>February</v>
      </c>
      <c r="J944" s="22" t="str">
        <f t="shared" si="71"/>
        <v>Sunday</v>
      </c>
      <c r="K944" s="23">
        <v>0.60218749999999999</v>
      </c>
      <c r="L944" s="22">
        <v>44979</v>
      </c>
      <c r="M944" s="24">
        <f>HOUR(orders!$K944)</f>
        <v>14</v>
      </c>
      <c r="N944" s="22" t="str">
        <f t="shared" si="72"/>
        <v>February</v>
      </c>
      <c r="O944" s="23">
        <v>0.79582175925925924</v>
      </c>
      <c r="P944" s="23" t="str">
        <f>_xlfn.XLOOKUP(B944,[2]customers!$A$2:$A$101,[2]customers!$C$2:$C$101)</f>
        <v>Farrukhabad</v>
      </c>
      <c r="Q944" s="20" t="s">
        <v>160</v>
      </c>
      <c r="R944" s="20" t="s">
        <v>60</v>
      </c>
      <c r="S944" s="21">
        <f t="shared" si="73"/>
        <v>6556</v>
      </c>
      <c r="T944" s="25">
        <f t="shared" si="74"/>
        <v>3</v>
      </c>
    </row>
    <row r="945" spans="1:20" x14ac:dyDescent="0.3">
      <c r="A945" s="14">
        <v>944</v>
      </c>
      <c r="B945" s="14" t="s">
        <v>38</v>
      </c>
      <c r="C945" s="14">
        <v>67</v>
      </c>
      <c r="D945" s="14" t="s">
        <v>425</v>
      </c>
      <c r="E945" s="14" t="s">
        <v>26</v>
      </c>
      <c r="F945" s="14">
        <v>4</v>
      </c>
      <c r="G945" s="15">
        <f>_xlfn.XLOOKUP(C945,[1]products!$A$2:$A$71,[1]products!$D$2:$D$71)</f>
        <v>1374</v>
      </c>
      <c r="H945" s="16">
        <v>45247</v>
      </c>
      <c r="I945" s="16" t="str">
        <f t="shared" si="70"/>
        <v>November</v>
      </c>
      <c r="J945" s="16" t="str">
        <f t="shared" si="71"/>
        <v>Friday</v>
      </c>
      <c r="K945" s="17">
        <v>0.85732638888888879</v>
      </c>
      <c r="L945" s="16">
        <v>45251</v>
      </c>
      <c r="M945" s="18">
        <f>HOUR(orders!$K945)</f>
        <v>20</v>
      </c>
      <c r="N945" s="16" t="str">
        <f t="shared" si="72"/>
        <v>November</v>
      </c>
      <c r="O945" s="17">
        <v>0.69490740740740742</v>
      </c>
      <c r="P945" s="17" t="str">
        <f>_xlfn.XLOOKUP(B945,[2]customers!$A$2:$A$101,[2]customers!$C$2:$C$101)</f>
        <v>Kavali</v>
      </c>
      <c r="Q945" s="14" t="s">
        <v>113</v>
      </c>
      <c r="R945" s="14" t="s">
        <v>12</v>
      </c>
      <c r="S945" s="15">
        <f t="shared" si="73"/>
        <v>5496</v>
      </c>
      <c r="T945" s="19">
        <f t="shared" si="74"/>
        <v>4</v>
      </c>
    </row>
    <row r="946" spans="1:20" x14ac:dyDescent="0.3">
      <c r="A946" s="20">
        <v>945</v>
      </c>
      <c r="B946" s="20" t="s">
        <v>144</v>
      </c>
      <c r="C946" s="20">
        <v>18</v>
      </c>
      <c r="D946" s="20" t="s">
        <v>484</v>
      </c>
      <c r="E946" s="20" t="s">
        <v>447</v>
      </c>
      <c r="F946" s="20">
        <v>2</v>
      </c>
      <c r="G946" s="21">
        <f>_xlfn.XLOOKUP(C946,[1]products!$A$2:$A$71,[1]products!$D$2:$D$71)</f>
        <v>781</v>
      </c>
      <c r="H946" s="22">
        <v>45137</v>
      </c>
      <c r="I946" s="22" t="str">
        <f t="shared" si="70"/>
        <v>July</v>
      </c>
      <c r="J946" s="22" t="str">
        <f t="shared" si="71"/>
        <v>Sunday</v>
      </c>
      <c r="K946" s="23">
        <v>0.50002314814814819</v>
      </c>
      <c r="L946" s="22">
        <v>45144</v>
      </c>
      <c r="M946" s="24">
        <f>HOUR(orders!$K946)</f>
        <v>12</v>
      </c>
      <c r="N946" s="22" t="str">
        <f t="shared" si="72"/>
        <v>August</v>
      </c>
      <c r="O946" s="23">
        <v>0.53112268518518524</v>
      </c>
      <c r="P946" s="23" t="str">
        <f>_xlfn.XLOOKUP(B946,[2]customers!$A$2:$A$101,[2]customers!$C$2:$C$101)</f>
        <v>Aizawl</v>
      </c>
      <c r="Q946" s="20" t="s">
        <v>299</v>
      </c>
      <c r="R946" s="20" t="s">
        <v>20</v>
      </c>
      <c r="S946" s="21">
        <f t="shared" si="73"/>
        <v>1562</v>
      </c>
      <c r="T946" s="25">
        <f t="shared" si="74"/>
        <v>7</v>
      </c>
    </row>
    <row r="947" spans="1:20" x14ac:dyDescent="0.3">
      <c r="A947" s="14">
        <v>946</v>
      </c>
      <c r="B947" s="14" t="s">
        <v>127</v>
      </c>
      <c r="C947" s="14">
        <v>17</v>
      </c>
      <c r="D947" s="14" t="s">
        <v>455</v>
      </c>
      <c r="E947" s="14" t="s">
        <v>445</v>
      </c>
      <c r="F947" s="14">
        <v>4</v>
      </c>
      <c r="G947" s="15">
        <f>_xlfn.XLOOKUP(C947,[1]products!$A$2:$A$71,[1]products!$D$2:$D$71)</f>
        <v>1899</v>
      </c>
      <c r="H947" s="16">
        <v>45262</v>
      </c>
      <c r="I947" s="16" t="str">
        <f t="shared" si="70"/>
        <v>December</v>
      </c>
      <c r="J947" s="16" t="str">
        <f t="shared" si="71"/>
        <v>Saturday</v>
      </c>
      <c r="K947" s="17">
        <v>0.46353009259259265</v>
      </c>
      <c r="L947" s="16">
        <v>45269</v>
      </c>
      <c r="M947" s="18">
        <f>HOUR(orders!$K947)</f>
        <v>11</v>
      </c>
      <c r="N947" s="16" t="str">
        <f t="shared" si="72"/>
        <v>December</v>
      </c>
      <c r="O947" s="17">
        <v>0.7383912037037037</v>
      </c>
      <c r="P947" s="17" t="str">
        <f>_xlfn.XLOOKUP(B947,[2]customers!$A$2:$A$101,[2]customers!$C$2:$C$101)</f>
        <v>Imphal</v>
      </c>
      <c r="Q947" s="14" t="s">
        <v>107</v>
      </c>
      <c r="R947" s="14" t="s">
        <v>12</v>
      </c>
      <c r="S947" s="15">
        <f t="shared" si="73"/>
        <v>7596</v>
      </c>
      <c r="T947" s="19">
        <f t="shared" si="74"/>
        <v>7</v>
      </c>
    </row>
    <row r="948" spans="1:20" x14ac:dyDescent="0.3">
      <c r="A948" s="20">
        <v>947</v>
      </c>
      <c r="B948" s="20" t="s">
        <v>155</v>
      </c>
      <c r="C948" s="20">
        <v>38</v>
      </c>
      <c r="D948" s="20" t="s">
        <v>438</v>
      </c>
      <c r="E948" s="20" t="s">
        <v>431</v>
      </c>
      <c r="F948" s="20">
        <v>3</v>
      </c>
      <c r="G948" s="21">
        <f>_xlfn.XLOOKUP(C948,[1]products!$A$2:$A$71,[1]products!$D$2:$D$71)</f>
        <v>562</v>
      </c>
      <c r="H948" s="22">
        <v>45205</v>
      </c>
      <c r="I948" s="22" t="str">
        <f t="shared" si="70"/>
        <v>October</v>
      </c>
      <c r="J948" s="22" t="str">
        <f t="shared" si="71"/>
        <v>Friday</v>
      </c>
      <c r="K948" s="23">
        <v>0.80299768518518511</v>
      </c>
      <c r="L948" s="22">
        <v>45207</v>
      </c>
      <c r="M948" s="24">
        <f>HOUR(orders!$K948)</f>
        <v>19</v>
      </c>
      <c r="N948" s="22" t="str">
        <f t="shared" si="72"/>
        <v>October</v>
      </c>
      <c r="O948" s="23">
        <v>0.97554398148148147</v>
      </c>
      <c r="P948" s="23" t="str">
        <f>_xlfn.XLOOKUP(B948,[2]customers!$A$2:$A$101,[2]customers!$C$2:$C$101)</f>
        <v>Phagwara</v>
      </c>
      <c r="Q948" s="20" t="s">
        <v>279</v>
      </c>
      <c r="R948" s="20" t="s">
        <v>20</v>
      </c>
      <c r="S948" s="21">
        <f t="shared" si="73"/>
        <v>1686</v>
      </c>
      <c r="T948" s="25">
        <f t="shared" si="74"/>
        <v>2</v>
      </c>
    </row>
    <row r="949" spans="1:20" x14ac:dyDescent="0.3">
      <c r="A949" s="14">
        <v>948</v>
      </c>
      <c r="B949" s="14" t="s">
        <v>153</v>
      </c>
      <c r="C949" s="14">
        <v>26</v>
      </c>
      <c r="D949" s="14" t="s">
        <v>473</v>
      </c>
      <c r="E949" s="14" t="s">
        <v>429</v>
      </c>
      <c r="F949" s="14">
        <v>3</v>
      </c>
      <c r="G949" s="15">
        <f>_xlfn.XLOOKUP(C949,[1]products!$A$2:$A$71,[1]products!$D$2:$D$71)</f>
        <v>289</v>
      </c>
      <c r="H949" s="16">
        <v>44989</v>
      </c>
      <c r="I949" s="16" t="str">
        <f t="shared" si="70"/>
        <v>March</v>
      </c>
      <c r="J949" s="16" t="str">
        <f t="shared" si="71"/>
        <v>Saturday</v>
      </c>
      <c r="K949" s="17">
        <v>0.76517361111111104</v>
      </c>
      <c r="L949" s="16">
        <v>44992</v>
      </c>
      <c r="M949" s="18">
        <f>HOUR(orders!$K949)</f>
        <v>18</v>
      </c>
      <c r="N949" s="16" t="str">
        <f t="shared" si="72"/>
        <v>March</v>
      </c>
      <c r="O949" s="17">
        <v>0.5496064814814815</v>
      </c>
      <c r="P949" s="17" t="str">
        <f>_xlfn.XLOOKUP(B949,[2]customers!$A$2:$A$101,[2]customers!$C$2:$C$101)</f>
        <v>Kavali</v>
      </c>
      <c r="Q949" s="14" t="s">
        <v>262</v>
      </c>
      <c r="R949" s="14" t="s">
        <v>36</v>
      </c>
      <c r="S949" s="15">
        <f t="shared" si="73"/>
        <v>867</v>
      </c>
      <c r="T949" s="19">
        <f t="shared" si="74"/>
        <v>3</v>
      </c>
    </row>
    <row r="950" spans="1:20" x14ac:dyDescent="0.3">
      <c r="A950" s="20">
        <v>949</v>
      </c>
      <c r="B950" s="20" t="s">
        <v>97</v>
      </c>
      <c r="C950" s="20">
        <v>6</v>
      </c>
      <c r="D950" s="20" t="s">
        <v>450</v>
      </c>
      <c r="E950" s="20" t="s">
        <v>431</v>
      </c>
      <c r="F950" s="20">
        <v>4</v>
      </c>
      <c r="G950" s="21">
        <f>_xlfn.XLOOKUP(C950,[1]products!$A$2:$A$71,[1]products!$D$2:$D$71)</f>
        <v>1112</v>
      </c>
      <c r="H950" s="22">
        <v>44984</v>
      </c>
      <c r="I950" s="22" t="str">
        <f t="shared" si="70"/>
        <v>February</v>
      </c>
      <c r="J950" s="22" t="str">
        <f t="shared" si="71"/>
        <v>Monday</v>
      </c>
      <c r="K950" s="23">
        <v>0.87153935185185183</v>
      </c>
      <c r="L950" s="22">
        <v>44991</v>
      </c>
      <c r="M950" s="24">
        <f>HOUR(orders!$K950)</f>
        <v>20</v>
      </c>
      <c r="N950" s="22" t="str">
        <f t="shared" si="72"/>
        <v>March</v>
      </c>
      <c r="O950" s="23">
        <v>0.39950231481481485</v>
      </c>
      <c r="P950" s="23" t="str">
        <f>_xlfn.XLOOKUP(B950,[2]customers!$A$2:$A$101,[2]customers!$C$2:$C$101)</f>
        <v>Machilipatnam</v>
      </c>
      <c r="Q950" s="20" t="s">
        <v>247</v>
      </c>
      <c r="R950" s="20" t="s">
        <v>36</v>
      </c>
      <c r="S950" s="21">
        <f t="shared" si="73"/>
        <v>4448</v>
      </c>
      <c r="T950" s="25">
        <f t="shared" si="74"/>
        <v>7</v>
      </c>
    </row>
    <row r="951" spans="1:20" x14ac:dyDescent="0.3">
      <c r="A951" s="14">
        <v>950</v>
      </c>
      <c r="B951" s="14" t="s">
        <v>99</v>
      </c>
      <c r="C951" s="14">
        <v>39</v>
      </c>
      <c r="D951" s="14" t="s">
        <v>478</v>
      </c>
      <c r="E951" s="14" t="s">
        <v>458</v>
      </c>
      <c r="F951" s="14">
        <v>3</v>
      </c>
      <c r="G951" s="15">
        <f>_xlfn.XLOOKUP(C951,[1]products!$A$2:$A$71,[1]products!$D$2:$D$71)</f>
        <v>387</v>
      </c>
      <c r="H951" s="16">
        <v>45215</v>
      </c>
      <c r="I951" s="16" t="str">
        <f t="shared" si="70"/>
        <v>October</v>
      </c>
      <c r="J951" s="16" t="str">
        <f t="shared" si="71"/>
        <v>Monday</v>
      </c>
      <c r="K951" s="17">
        <v>0.81319444444444444</v>
      </c>
      <c r="L951" s="16">
        <v>45217</v>
      </c>
      <c r="M951" s="18">
        <f>HOUR(orders!$K951)</f>
        <v>19</v>
      </c>
      <c r="N951" s="16" t="str">
        <f t="shared" si="72"/>
        <v>October</v>
      </c>
      <c r="O951" s="17">
        <v>0.88148148148148142</v>
      </c>
      <c r="P951" s="17" t="str">
        <f>_xlfn.XLOOKUP(B951,[2]customers!$A$2:$A$101,[2]customers!$C$2:$C$101)</f>
        <v>Panvel</v>
      </c>
      <c r="Q951" s="14" t="s">
        <v>312</v>
      </c>
      <c r="R951" s="14" t="s">
        <v>60</v>
      </c>
      <c r="S951" s="15">
        <f t="shared" si="73"/>
        <v>1161</v>
      </c>
      <c r="T951" s="19">
        <f t="shared" si="74"/>
        <v>2</v>
      </c>
    </row>
    <row r="952" spans="1:20" x14ac:dyDescent="0.3">
      <c r="A952" s="20">
        <v>951</v>
      </c>
      <c r="B952" s="20" t="s">
        <v>38</v>
      </c>
      <c r="C952" s="20">
        <v>20</v>
      </c>
      <c r="D952" s="20" t="s">
        <v>439</v>
      </c>
      <c r="E952" s="20" t="s">
        <v>429</v>
      </c>
      <c r="F952" s="20">
        <v>1</v>
      </c>
      <c r="G952" s="21">
        <f>_xlfn.XLOOKUP(C952,[1]products!$A$2:$A$71,[1]products!$D$2:$D$71)</f>
        <v>697</v>
      </c>
      <c r="H952" s="22">
        <v>45253</v>
      </c>
      <c r="I952" s="22" t="str">
        <f t="shared" si="70"/>
        <v>November</v>
      </c>
      <c r="J952" s="22" t="str">
        <f t="shared" si="71"/>
        <v>Thursday</v>
      </c>
      <c r="K952" s="23">
        <v>0.64871527777777771</v>
      </c>
      <c r="L952" s="22">
        <v>45255</v>
      </c>
      <c r="M952" s="24">
        <f>HOUR(orders!$K952)</f>
        <v>15</v>
      </c>
      <c r="N952" s="22" t="str">
        <f t="shared" si="72"/>
        <v>November</v>
      </c>
      <c r="O952" s="23">
        <v>0.7941435185185185</v>
      </c>
      <c r="P952" s="23" t="str">
        <f>_xlfn.XLOOKUP(B952,[2]customers!$A$2:$A$101,[2]customers!$C$2:$C$101)</f>
        <v>Kavali</v>
      </c>
      <c r="Q952" s="20" t="s">
        <v>369</v>
      </c>
      <c r="R952" s="20" t="s">
        <v>12</v>
      </c>
      <c r="S952" s="21">
        <f t="shared" si="73"/>
        <v>697</v>
      </c>
      <c r="T952" s="25">
        <f t="shared" si="74"/>
        <v>2</v>
      </c>
    </row>
    <row r="953" spans="1:20" x14ac:dyDescent="0.3">
      <c r="A953" s="14">
        <v>952</v>
      </c>
      <c r="B953" s="14" t="s">
        <v>238</v>
      </c>
      <c r="C953" s="14">
        <v>49</v>
      </c>
      <c r="D953" s="14" t="s">
        <v>463</v>
      </c>
      <c r="E953" s="14" t="s">
        <v>429</v>
      </c>
      <c r="F953" s="14">
        <v>4</v>
      </c>
      <c r="G953" s="15">
        <f>_xlfn.XLOOKUP(C953,[1]products!$A$2:$A$71,[1]products!$D$2:$D$71)</f>
        <v>903</v>
      </c>
      <c r="H953" s="16">
        <v>44969</v>
      </c>
      <c r="I953" s="16" t="str">
        <f t="shared" si="70"/>
        <v>February</v>
      </c>
      <c r="J953" s="16" t="str">
        <f t="shared" si="71"/>
        <v>Sunday</v>
      </c>
      <c r="K953" s="17">
        <v>0.11674768518518519</v>
      </c>
      <c r="L953" s="16">
        <v>44979</v>
      </c>
      <c r="M953" s="18">
        <f>HOUR(orders!$K953)</f>
        <v>2</v>
      </c>
      <c r="N953" s="16" t="str">
        <f t="shared" si="72"/>
        <v>February</v>
      </c>
      <c r="O953" s="17">
        <v>0.38829861111111108</v>
      </c>
      <c r="P953" s="17" t="str">
        <f>_xlfn.XLOOKUP(B953,[2]customers!$A$2:$A$101,[2]customers!$C$2:$C$101)</f>
        <v>Serampore</v>
      </c>
      <c r="Q953" s="14" t="s">
        <v>213</v>
      </c>
      <c r="R953" s="14" t="s">
        <v>23</v>
      </c>
      <c r="S953" s="15">
        <f t="shared" si="73"/>
        <v>3612</v>
      </c>
      <c r="T953" s="19">
        <f t="shared" si="74"/>
        <v>10</v>
      </c>
    </row>
    <row r="954" spans="1:20" x14ac:dyDescent="0.3">
      <c r="A954" s="20">
        <v>953</v>
      </c>
      <c r="B954" s="20" t="s">
        <v>268</v>
      </c>
      <c r="C954" s="20">
        <v>40</v>
      </c>
      <c r="D954" s="20" t="s">
        <v>477</v>
      </c>
      <c r="E954" s="20" t="s">
        <v>427</v>
      </c>
      <c r="F954" s="20">
        <v>1</v>
      </c>
      <c r="G954" s="21">
        <f>_xlfn.XLOOKUP(C954,[1]products!$A$2:$A$71,[1]products!$D$2:$D$71)</f>
        <v>1923</v>
      </c>
      <c r="H954" s="22">
        <v>45172</v>
      </c>
      <c r="I954" s="22" t="str">
        <f t="shared" si="70"/>
        <v>September</v>
      </c>
      <c r="J954" s="22" t="str">
        <f t="shared" si="71"/>
        <v>Sunday</v>
      </c>
      <c r="K954" s="23">
        <v>1.8067129629629631E-2</v>
      </c>
      <c r="L954" s="22">
        <v>45173</v>
      </c>
      <c r="M954" s="24">
        <f>HOUR(orders!$K954)</f>
        <v>0</v>
      </c>
      <c r="N954" s="22" t="str">
        <f t="shared" si="72"/>
        <v>September</v>
      </c>
      <c r="O954" s="23">
        <v>0.31516203703703705</v>
      </c>
      <c r="P954" s="23" t="str">
        <f>_xlfn.XLOOKUP(B954,[2]customers!$A$2:$A$101,[2]customers!$C$2:$C$101)</f>
        <v>Gaya</v>
      </c>
      <c r="Q954" s="20" t="s">
        <v>139</v>
      </c>
      <c r="R954" s="20" t="s">
        <v>12</v>
      </c>
      <c r="S954" s="21">
        <f t="shared" si="73"/>
        <v>1923</v>
      </c>
      <c r="T954" s="25">
        <f t="shared" si="74"/>
        <v>1</v>
      </c>
    </row>
    <row r="955" spans="1:20" x14ac:dyDescent="0.3">
      <c r="A955" s="14">
        <v>954</v>
      </c>
      <c r="B955" s="14" t="s">
        <v>64</v>
      </c>
      <c r="C955" s="14">
        <v>44</v>
      </c>
      <c r="D955" s="14" t="s">
        <v>470</v>
      </c>
      <c r="E955" s="14" t="s">
        <v>447</v>
      </c>
      <c r="F955" s="14">
        <v>3</v>
      </c>
      <c r="G955" s="15">
        <f>_xlfn.XLOOKUP(C955,[1]products!$A$2:$A$71,[1]products!$D$2:$D$71)</f>
        <v>794</v>
      </c>
      <c r="H955" s="16">
        <v>45232</v>
      </c>
      <c r="I955" s="16" t="str">
        <f t="shared" si="70"/>
        <v>November</v>
      </c>
      <c r="J955" s="16" t="str">
        <f t="shared" si="71"/>
        <v>Thursday</v>
      </c>
      <c r="K955" s="17">
        <v>0.1678587962962963</v>
      </c>
      <c r="L955" s="16">
        <v>45233</v>
      </c>
      <c r="M955" s="18">
        <f>HOUR(orders!$K955)</f>
        <v>4</v>
      </c>
      <c r="N955" s="16" t="str">
        <f t="shared" si="72"/>
        <v>November</v>
      </c>
      <c r="O955" s="17">
        <v>0.76459490740740732</v>
      </c>
      <c r="P955" s="17" t="str">
        <f>_xlfn.XLOOKUP(B955,[2]customers!$A$2:$A$101,[2]customers!$C$2:$C$101)</f>
        <v>Jamnagar</v>
      </c>
      <c r="Q955" s="14" t="s">
        <v>303</v>
      </c>
      <c r="R955" s="14" t="s">
        <v>15</v>
      </c>
      <c r="S955" s="15">
        <f t="shared" si="73"/>
        <v>2382</v>
      </c>
      <c r="T955" s="19">
        <f t="shared" si="74"/>
        <v>1</v>
      </c>
    </row>
    <row r="956" spans="1:20" x14ac:dyDescent="0.3">
      <c r="A956" s="20">
        <v>955</v>
      </c>
      <c r="B956" s="20" t="s">
        <v>121</v>
      </c>
      <c r="C956" s="20">
        <v>24</v>
      </c>
      <c r="D956" s="20" t="s">
        <v>485</v>
      </c>
      <c r="E956" s="20" t="s">
        <v>458</v>
      </c>
      <c r="F956" s="20">
        <v>4</v>
      </c>
      <c r="G956" s="21">
        <f>_xlfn.XLOOKUP(C956,[1]products!$A$2:$A$71,[1]products!$D$2:$D$71)</f>
        <v>535</v>
      </c>
      <c r="H956" s="22">
        <v>45080</v>
      </c>
      <c r="I956" s="22" t="str">
        <f t="shared" si="70"/>
        <v>June</v>
      </c>
      <c r="J956" s="22" t="str">
        <f t="shared" si="71"/>
        <v>Saturday</v>
      </c>
      <c r="K956" s="23">
        <v>2.1388888888888888E-2</v>
      </c>
      <c r="L956" s="22">
        <v>45084</v>
      </c>
      <c r="M956" s="24">
        <f>HOUR(orders!$K956)</f>
        <v>0</v>
      </c>
      <c r="N956" s="22" t="str">
        <f t="shared" si="72"/>
        <v>June</v>
      </c>
      <c r="O956" s="23">
        <v>0.38016203703703705</v>
      </c>
      <c r="P956" s="23" t="str">
        <f>_xlfn.XLOOKUP(B956,[2]customers!$A$2:$A$101,[2]customers!$C$2:$C$101)</f>
        <v>Kolkata</v>
      </c>
      <c r="Q956" s="20" t="s">
        <v>413</v>
      </c>
      <c r="R956" s="20" t="s">
        <v>20</v>
      </c>
      <c r="S956" s="21">
        <f t="shared" si="73"/>
        <v>2140</v>
      </c>
      <c r="T956" s="25">
        <f t="shared" si="74"/>
        <v>4</v>
      </c>
    </row>
    <row r="957" spans="1:20" x14ac:dyDescent="0.3">
      <c r="A957" s="14">
        <v>956</v>
      </c>
      <c r="B957" s="14" t="s">
        <v>10</v>
      </c>
      <c r="C957" s="14">
        <v>34</v>
      </c>
      <c r="D957" s="14" t="s">
        <v>472</v>
      </c>
      <c r="E957" s="14" t="s">
        <v>445</v>
      </c>
      <c r="F957" s="14">
        <v>5</v>
      </c>
      <c r="G957" s="15">
        <f>_xlfn.XLOOKUP(C957,[1]products!$A$2:$A$71,[1]products!$D$2:$D$71)</f>
        <v>1335</v>
      </c>
      <c r="H957" s="16">
        <v>45167</v>
      </c>
      <c r="I957" s="16" t="str">
        <f t="shared" si="70"/>
        <v>August</v>
      </c>
      <c r="J957" s="16" t="str">
        <f t="shared" si="71"/>
        <v>Tuesday</v>
      </c>
      <c r="K957" s="17">
        <v>0.20305555555555554</v>
      </c>
      <c r="L957" s="16">
        <v>45172</v>
      </c>
      <c r="M957" s="18">
        <f>HOUR(orders!$K957)</f>
        <v>4</v>
      </c>
      <c r="N957" s="16" t="str">
        <f t="shared" si="72"/>
        <v>September</v>
      </c>
      <c r="O957" s="17">
        <v>0.62046296296296299</v>
      </c>
      <c r="P957" s="17" t="str">
        <f>_xlfn.XLOOKUP(B957,[2]customers!$A$2:$A$101,[2]customers!$C$2:$C$101)</f>
        <v>Davanagere</v>
      </c>
      <c r="Q957" s="14" t="s">
        <v>364</v>
      </c>
      <c r="R957" s="14" t="s">
        <v>26</v>
      </c>
      <c r="S957" s="15">
        <f t="shared" si="73"/>
        <v>6675</v>
      </c>
      <c r="T957" s="19">
        <f t="shared" si="74"/>
        <v>5</v>
      </c>
    </row>
    <row r="958" spans="1:20" x14ac:dyDescent="0.3">
      <c r="A958" s="20">
        <v>957</v>
      </c>
      <c r="B958" s="20" t="s">
        <v>144</v>
      </c>
      <c r="C958" s="20">
        <v>23</v>
      </c>
      <c r="D958" s="20" t="s">
        <v>441</v>
      </c>
      <c r="E958" s="20" t="s">
        <v>427</v>
      </c>
      <c r="F958" s="20">
        <v>1</v>
      </c>
      <c r="G958" s="21">
        <f>_xlfn.XLOOKUP(C958,[1]products!$A$2:$A$71,[1]products!$D$2:$D$71)</f>
        <v>1098</v>
      </c>
      <c r="H958" s="22">
        <v>45275</v>
      </c>
      <c r="I958" s="22" t="str">
        <f t="shared" si="70"/>
        <v>December</v>
      </c>
      <c r="J958" s="22" t="str">
        <f t="shared" si="71"/>
        <v>Friday</v>
      </c>
      <c r="K958" s="23">
        <v>8.099537037037037E-2</v>
      </c>
      <c r="L958" s="22">
        <v>45277</v>
      </c>
      <c r="M958" s="24">
        <f>HOUR(orders!$K958)</f>
        <v>1</v>
      </c>
      <c r="N958" s="22" t="str">
        <f t="shared" si="72"/>
        <v>December</v>
      </c>
      <c r="O958" s="23">
        <v>0.88049768518518512</v>
      </c>
      <c r="P958" s="23" t="str">
        <f>_xlfn.XLOOKUP(B958,[2]customers!$A$2:$A$101,[2]customers!$C$2:$C$101)</f>
        <v>Aizawl</v>
      </c>
      <c r="Q958" s="20" t="s">
        <v>135</v>
      </c>
      <c r="R958" s="20" t="s">
        <v>12</v>
      </c>
      <c r="S958" s="21">
        <f t="shared" si="73"/>
        <v>1098</v>
      </c>
      <c r="T958" s="25">
        <f t="shared" si="74"/>
        <v>2</v>
      </c>
    </row>
    <row r="959" spans="1:20" x14ac:dyDescent="0.3">
      <c r="A959" s="14">
        <v>958</v>
      </c>
      <c r="B959" s="14" t="s">
        <v>27</v>
      </c>
      <c r="C959" s="14">
        <v>16</v>
      </c>
      <c r="D959" s="14" t="s">
        <v>437</v>
      </c>
      <c r="E959" s="14" t="s">
        <v>427</v>
      </c>
      <c r="F959" s="14">
        <v>3</v>
      </c>
      <c r="G959" s="15">
        <f>_xlfn.XLOOKUP(C959,[1]products!$A$2:$A$71,[1]products!$D$2:$D$71)</f>
        <v>1721</v>
      </c>
      <c r="H959" s="16">
        <v>44992</v>
      </c>
      <c r="I959" s="16" t="str">
        <f t="shared" si="70"/>
        <v>March</v>
      </c>
      <c r="J959" s="16" t="str">
        <f t="shared" si="71"/>
        <v>Tuesday</v>
      </c>
      <c r="K959" s="17">
        <v>0.58538194444444447</v>
      </c>
      <c r="L959" s="16">
        <v>44999</v>
      </c>
      <c r="M959" s="18">
        <f>HOUR(orders!$K959)</f>
        <v>14</v>
      </c>
      <c r="N959" s="16" t="str">
        <f t="shared" si="72"/>
        <v>March</v>
      </c>
      <c r="O959" s="17">
        <v>0.91991898148148143</v>
      </c>
      <c r="P959" s="17" t="str">
        <f>_xlfn.XLOOKUP(B959,[2]customers!$A$2:$A$101,[2]customers!$C$2:$C$101)</f>
        <v>Madurai</v>
      </c>
      <c r="Q959" s="14" t="s">
        <v>415</v>
      </c>
      <c r="R959" s="14" t="s">
        <v>36</v>
      </c>
      <c r="S959" s="15">
        <f t="shared" si="73"/>
        <v>5163</v>
      </c>
      <c r="T959" s="19">
        <f t="shared" si="74"/>
        <v>7</v>
      </c>
    </row>
    <row r="960" spans="1:20" x14ac:dyDescent="0.3">
      <c r="A960" s="20">
        <v>959</v>
      </c>
      <c r="B960" s="20" t="s">
        <v>264</v>
      </c>
      <c r="C960" s="20">
        <v>40</v>
      </c>
      <c r="D960" s="20" t="s">
        <v>477</v>
      </c>
      <c r="E960" s="20" t="s">
        <v>427</v>
      </c>
      <c r="F960" s="20">
        <v>1</v>
      </c>
      <c r="G960" s="21">
        <f>_xlfn.XLOOKUP(C960,[1]products!$A$2:$A$71,[1]products!$D$2:$D$71)</f>
        <v>1923</v>
      </c>
      <c r="H960" s="22">
        <v>45281</v>
      </c>
      <c r="I960" s="22" t="str">
        <f t="shared" si="70"/>
        <v>December</v>
      </c>
      <c r="J960" s="22" t="str">
        <f t="shared" si="71"/>
        <v>Thursday</v>
      </c>
      <c r="K960" s="23">
        <v>7.9699074074074075E-2</v>
      </c>
      <c r="L960" s="22">
        <v>45286</v>
      </c>
      <c r="M960" s="24">
        <f>HOUR(orders!$K960)</f>
        <v>1</v>
      </c>
      <c r="N960" s="22" t="str">
        <f t="shared" si="72"/>
        <v>December</v>
      </c>
      <c r="O960" s="23">
        <v>0.87899305555555562</v>
      </c>
      <c r="P960" s="23" t="str">
        <f>_xlfn.XLOOKUP(B960,[2]customers!$A$2:$A$101,[2]customers!$C$2:$C$101)</f>
        <v>Cuttack</v>
      </c>
      <c r="Q960" s="20" t="s">
        <v>299</v>
      </c>
      <c r="R960" s="20" t="s">
        <v>12</v>
      </c>
      <c r="S960" s="21">
        <f t="shared" si="73"/>
        <v>1923</v>
      </c>
      <c r="T960" s="25">
        <f t="shared" si="74"/>
        <v>5</v>
      </c>
    </row>
    <row r="961" spans="1:20" x14ac:dyDescent="0.3">
      <c r="A961" s="14">
        <v>960</v>
      </c>
      <c r="B961" s="14" t="s">
        <v>146</v>
      </c>
      <c r="C961" s="14">
        <v>48</v>
      </c>
      <c r="D961" s="14" t="s">
        <v>460</v>
      </c>
      <c r="E961" s="14" t="s">
        <v>429</v>
      </c>
      <c r="F961" s="14">
        <v>3</v>
      </c>
      <c r="G961" s="15">
        <f>_xlfn.XLOOKUP(C961,[1]products!$A$2:$A$71,[1]products!$D$2:$D$71)</f>
        <v>433</v>
      </c>
      <c r="H961" s="16">
        <v>45235</v>
      </c>
      <c r="I961" s="16" t="str">
        <f t="shared" si="70"/>
        <v>November</v>
      </c>
      <c r="J961" s="16" t="str">
        <f t="shared" si="71"/>
        <v>Sunday</v>
      </c>
      <c r="K961" s="17">
        <v>0.22626157407407407</v>
      </c>
      <c r="L961" s="16">
        <v>45238</v>
      </c>
      <c r="M961" s="18">
        <f>HOUR(orders!$K961)</f>
        <v>5</v>
      </c>
      <c r="N961" s="16" t="str">
        <f t="shared" si="72"/>
        <v>November</v>
      </c>
      <c r="O961" s="17">
        <v>0.41408564814814813</v>
      </c>
      <c r="P961" s="17" t="str">
        <f>_xlfn.XLOOKUP(B961,[2]customers!$A$2:$A$101,[2]customers!$C$2:$C$101)</f>
        <v>Surat</v>
      </c>
      <c r="Q961" s="14" t="s">
        <v>279</v>
      </c>
      <c r="R961" s="14" t="s">
        <v>15</v>
      </c>
      <c r="S961" s="15">
        <f t="shared" si="73"/>
        <v>1299</v>
      </c>
      <c r="T961" s="19">
        <f t="shared" si="74"/>
        <v>3</v>
      </c>
    </row>
    <row r="962" spans="1:20" x14ac:dyDescent="0.3">
      <c r="A962" s="20">
        <v>961</v>
      </c>
      <c r="B962" s="20" t="s">
        <v>243</v>
      </c>
      <c r="C962" s="20">
        <v>1</v>
      </c>
      <c r="D962" s="20" t="s">
        <v>479</v>
      </c>
      <c r="E962" s="20" t="s">
        <v>445</v>
      </c>
      <c r="F962" s="20">
        <v>5</v>
      </c>
      <c r="G962" s="21">
        <f>_xlfn.XLOOKUP(C962,[1]products!$A$2:$A$71,[1]products!$D$2:$D$71)</f>
        <v>1935</v>
      </c>
      <c r="H962" s="22">
        <v>44958</v>
      </c>
      <c r="I962" s="22" t="str">
        <f t="shared" si="70"/>
        <v>February</v>
      </c>
      <c r="J962" s="22" t="str">
        <f t="shared" si="71"/>
        <v>Wednesday</v>
      </c>
      <c r="K962" s="23">
        <v>0.28435185185185186</v>
      </c>
      <c r="L962" s="22">
        <v>44967</v>
      </c>
      <c r="M962" s="24">
        <f>HOUR(orders!$K962)</f>
        <v>6</v>
      </c>
      <c r="N962" s="22" t="str">
        <f t="shared" si="72"/>
        <v>February</v>
      </c>
      <c r="O962" s="23">
        <v>0.87127314814814805</v>
      </c>
      <c r="P962" s="23" t="str">
        <f>_xlfn.XLOOKUP(B962,[2]customers!$A$2:$A$101,[2]customers!$C$2:$C$101)</f>
        <v>Tenali</v>
      </c>
      <c r="Q962" s="20" t="s">
        <v>185</v>
      </c>
      <c r="R962" s="20" t="s">
        <v>60</v>
      </c>
      <c r="S962" s="21">
        <f t="shared" si="73"/>
        <v>9675</v>
      </c>
      <c r="T962" s="25">
        <f t="shared" si="74"/>
        <v>9</v>
      </c>
    </row>
    <row r="963" spans="1:20" x14ac:dyDescent="0.3">
      <c r="A963" s="14">
        <v>962</v>
      </c>
      <c r="B963" s="14" t="s">
        <v>134</v>
      </c>
      <c r="C963" s="14">
        <v>17</v>
      </c>
      <c r="D963" s="14" t="s">
        <v>455</v>
      </c>
      <c r="E963" s="14" t="s">
        <v>445</v>
      </c>
      <c r="F963" s="14">
        <v>5</v>
      </c>
      <c r="G963" s="15">
        <f>_xlfn.XLOOKUP(C963,[1]products!$A$2:$A$71,[1]products!$D$2:$D$71)</f>
        <v>1899</v>
      </c>
      <c r="H963" s="16">
        <v>45198</v>
      </c>
      <c r="I963" s="16" t="str">
        <f t="shared" ref="I963:I1001" si="75">TEXT(H963,"mmmm")</f>
        <v>September</v>
      </c>
      <c r="J963" s="16" t="str">
        <f t="shared" ref="J963:J1001" si="76">TEXT(H963,"dddd")</f>
        <v>Friday</v>
      </c>
      <c r="K963" s="17">
        <v>0.49714120370370374</v>
      </c>
      <c r="L963" s="16">
        <v>45200</v>
      </c>
      <c r="M963" s="18">
        <f>HOUR(orders!$K963)</f>
        <v>11</v>
      </c>
      <c r="N963" s="16" t="str">
        <f t="shared" ref="N963:N1001" si="77">TEXT(L963,"mmmm")</f>
        <v>October</v>
      </c>
      <c r="O963" s="17">
        <v>0.6771759259259259</v>
      </c>
      <c r="P963" s="17" t="str">
        <f>_xlfn.XLOOKUP(B963,[2]customers!$A$2:$A$101,[2]customers!$C$2:$C$101)</f>
        <v>Noida</v>
      </c>
      <c r="Q963" s="14" t="s">
        <v>143</v>
      </c>
      <c r="R963" s="14" t="s">
        <v>12</v>
      </c>
      <c r="S963" s="15">
        <f t="shared" ref="S963:S1001" si="78">G963*F963</f>
        <v>9495</v>
      </c>
      <c r="T963" s="19">
        <f t="shared" ref="T963:T1001" si="79">L963-H963</f>
        <v>2</v>
      </c>
    </row>
    <row r="964" spans="1:20" x14ac:dyDescent="0.3">
      <c r="A964" s="20">
        <v>963</v>
      </c>
      <c r="B964" s="20" t="s">
        <v>343</v>
      </c>
      <c r="C964" s="20">
        <v>29</v>
      </c>
      <c r="D964" s="20" t="s">
        <v>497</v>
      </c>
      <c r="E964" s="20" t="s">
        <v>429</v>
      </c>
      <c r="F964" s="20">
        <v>1</v>
      </c>
      <c r="G964" s="21">
        <f>_xlfn.XLOOKUP(C964,[1]products!$A$2:$A$71,[1]products!$D$2:$D$71)</f>
        <v>1252</v>
      </c>
      <c r="H964" s="22">
        <v>44988</v>
      </c>
      <c r="I964" s="22" t="str">
        <f t="shared" si="75"/>
        <v>March</v>
      </c>
      <c r="J964" s="22" t="str">
        <f t="shared" si="76"/>
        <v>Friday</v>
      </c>
      <c r="K964" s="23">
        <v>0.36410879629629633</v>
      </c>
      <c r="L964" s="22">
        <v>44991</v>
      </c>
      <c r="M964" s="24">
        <f>HOUR(orders!$K964)</f>
        <v>8</v>
      </c>
      <c r="N964" s="22" t="str">
        <f t="shared" si="77"/>
        <v>March</v>
      </c>
      <c r="O964" s="23">
        <v>0.44219907407407405</v>
      </c>
      <c r="P964" s="23" t="str">
        <f>_xlfn.XLOOKUP(B964,[2]customers!$A$2:$A$101,[2]customers!$C$2:$C$101)</f>
        <v>Singrauli</v>
      </c>
      <c r="Q964" s="20" t="s">
        <v>248</v>
      </c>
      <c r="R964" s="20" t="s">
        <v>36</v>
      </c>
      <c r="S964" s="21">
        <f t="shared" si="78"/>
        <v>1252</v>
      </c>
      <c r="T964" s="25">
        <f t="shared" si="79"/>
        <v>3</v>
      </c>
    </row>
    <row r="965" spans="1:20" x14ac:dyDescent="0.3">
      <c r="A965" s="14">
        <v>964</v>
      </c>
      <c r="B965" s="14" t="s">
        <v>264</v>
      </c>
      <c r="C965" s="14">
        <v>32</v>
      </c>
      <c r="D965" s="14" t="s">
        <v>444</v>
      </c>
      <c r="E965" s="14" t="s">
        <v>445</v>
      </c>
      <c r="F965" s="14">
        <v>4</v>
      </c>
      <c r="G965" s="15">
        <f>_xlfn.XLOOKUP(C965,[1]products!$A$2:$A$71,[1]products!$D$2:$D$71)</f>
        <v>1792</v>
      </c>
      <c r="H965" s="16">
        <v>45218</v>
      </c>
      <c r="I965" s="16" t="str">
        <f t="shared" si="75"/>
        <v>October</v>
      </c>
      <c r="J965" s="16" t="str">
        <f t="shared" si="76"/>
        <v>Thursday</v>
      </c>
      <c r="K965" s="17">
        <v>0.27755787037037033</v>
      </c>
      <c r="L965" s="16">
        <v>45222</v>
      </c>
      <c r="M965" s="18">
        <f>HOUR(orders!$K965)</f>
        <v>6</v>
      </c>
      <c r="N965" s="16" t="str">
        <f t="shared" si="77"/>
        <v>October</v>
      </c>
      <c r="O965" s="17">
        <v>0.93239583333333342</v>
      </c>
      <c r="P965" s="17" t="str">
        <f>_xlfn.XLOOKUP(B965,[2]customers!$A$2:$A$101,[2]customers!$C$2:$C$101)</f>
        <v>Cuttack</v>
      </c>
      <c r="Q965" s="14" t="s">
        <v>284</v>
      </c>
      <c r="R965" s="14" t="s">
        <v>20</v>
      </c>
      <c r="S965" s="15">
        <f t="shared" si="78"/>
        <v>7168</v>
      </c>
      <c r="T965" s="19">
        <f t="shared" si="79"/>
        <v>4</v>
      </c>
    </row>
    <row r="966" spans="1:20" x14ac:dyDescent="0.3">
      <c r="A966" s="20">
        <v>965</v>
      </c>
      <c r="B966" s="20" t="s">
        <v>86</v>
      </c>
      <c r="C966" s="20">
        <v>62</v>
      </c>
      <c r="D966" s="20" t="s">
        <v>442</v>
      </c>
      <c r="E966" s="20" t="s">
        <v>429</v>
      </c>
      <c r="F966" s="20">
        <v>1</v>
      </c>
      <c r="G966" s="21">
        <f>_xlfn.XLOOKUP(C966,[1]products!$A$2:$A$71,[1]products!$D$2:$D$71)</f>
        <v>1356</v>
      </c>
      <c r="H966" s="22">
        <v>44987</v>
      </c>
      <c r="I966" s="22" t="str">
        <f t="shared" si="75"/>
        <v>March</v>
      </c>
      <c r="J966" s="22" t="str">
        <f t="shared" si="76"/>
        <v>Thursday</v>
      </c>
      <c r="K966" s="23">
        <v>0.13553240740740741</v>
      </c>
      <c r="L966" s="22">
        <v>44991</v>
      </c>
      <c r="M966" s="24">
        <f>HOUR(orders!$K966)</f>
        <v>3</v>
      </c>
      <c r="N966" s="22" t="str">
        <f t="shared" si="77"/>
        <v>March</v>
      </c>
      <c r="O966" s="23">
        <v>0.72247685185185195</v>
      </c>
      <c r="P966" s="23" t="str">
        <f>_xlfn.XLOOKUP(B966,[2]customers!$A$2:$A$101,[2]customers!$C$2:$C$101)</f>
        <v>Bhopal</v>
      </c>
      <c r="Q966" s="20" t="s">
        <v>390</v>
      </c>
      <c r="R966" s="20" t="s">
        <v>36</v>
      </c>
      <c r="S966" s="21">
        <f t="shared" si="78"/>
        <v>1356</v>
      </c>
      <c r="T966" s="25">
        <f t="shared" si="79"/>
        <v>4</v>
      </c>
    </row>
    <row r="967" spans="1:20" x14ac:dyDescent="0.3">
      <c r="A967" s="14">
        <v>966</v>
      </c>
      <c r="B967" s="14" t="s">
        <v>153</v>
      </c>
      <c r="C967" s="14">
        <v>13</v>
      </c>
      <c r="D967" s="14" t="s">
        <v>495</v>
      </c>
      <c r="E967" s="14" t="s">
        <v>458</v>
      </c>
      <c r="F967" s="14">
        <v>2</v>
      </c>
      <c r="G967" s="15">
        <f>_xlfn.XLOOKUP(C967,[1]products!$A$2:$A$71,[1]products!$D$2:$D$71)</f>
        <v>1141</v>
      </c>
      <c r="H967" s="16">
        <v>44986</v>
      </c>
      <c r="I967" s="16" t="str">
        <f t="shared" si="75"/>
        <v>March</v>
      </c>
      <c r="J967" s="16" t="str">
        <f t="shared" si="76"/>
        <v>Wednesday</v>
      </c>
      <c r="K967" s="17">
        <v>9.7986111111111107E-2</v>
      </c>
      <c r="L967" s="16">
        <v>44995</v>
      </c>
      <c r="M967" s="18">
        <f>HOUR(orders!$K967)</f>
        <v>2</v>
      </c>
      <c r="N967" s="16" t="str">
        <f t="shared" si="77"/>
        <v>March</v>
      </c>
      <c r="O967" s="17">
        <v>0.43255787037037036</v>
      </c>
      <c r="P967" s="17" t="str">
        <f>_xlfn.XLOOKUP(B967,[2]customers!$A$2:$A$101,[2]customers!$C$2:$C$101)</f>
        <v>Kavali</v>
      </c>
      <c r="Q967" s="14" t="s">
        <v>235</v>
      </c>
      <c r="R967" s="14" t="s">
        <v>36</v>
      </c>
      <c r="S967" s="15">
        <f t="shared" si="78"/>
        <v>2282</v>
      </c>
      <c r="T967" s="19">
        <f t="shared" si="79"/>
        <v>9</v>
      </c>
    </row>
    <row r="968" spans="1:20" x14ac:dyDescent="0.3">
      <c r="A968" s="20">
        <v>967</v>
      </c>
      <c r="B968" s="20" t="s">
        <v>56</v>
      </c>
      <c r="C968" s="20">
        <v>68</v>
      </c>
      <c r="D968" s="20" t="s">
        <v>494</v>
      </c>
      <c r="E968" s="20" t="s">
        <v>445</v>
      </c>
      <c r="F968" s="20">
        <v>4</v>
      </c>
      <c r="G968" s="21">
        <f>_xlfn.XLOOKUP(C968,[1]products!$A$2:$A$71,[1]products!$D$2:$D$71)</f>
        <v>597</v>
      </c>
      <c r="H968" s="22">
        <v>44969</v>
      </c>
      <c r="I968" s="22" t="str">
        <f t="shared" si="75"/>
        <v>February</v>
      </c>
      <c r="J968" s="22" t="str">
        <f t="shared" si="76"/>
        <v>Sunday</v>
      </c>
      <c r="K968" s="23">
        <v>1.4849537037037036E-2</v>
      </c>
      <c r="L968" s="22">
        <v>44977</v>
      </c>
      <c r="M968" s="24">
        <f>HOUR(orders!$K968)</f>
        <v>0</v>
      </c>
      <c r="N968" s="22" t="str">
        <f t="shared" si="77"/>
        <v>February</v>
      </c>
      <c r="O968" s="23">
        <v>0.77069444444444446</v>
      </c>
      <c r="P968" s="23" t="str">
        <f>_xlfn.XLOOKUP(B968,[2]customers!$A$2:$A$101,[2]customers!$C$2:$C$101)</f>
        <v>Karaikudi</v>
      </c>
      <c r="Q968" s="20" t="s">
        <v>201</v>
      </c>
      <c r="R968" s="20" t="s">
        <v>23</v>
      </c>
      <c r="S968" s="21">
        <f t="shared" si="78"/>
        <v>2388</v>
      </c>
      <c r="T968" s="25">
        <f t="shared" si="79"/>
        <v>8</v>
      </c>
    </row>
    <row r="969" spans="1:20" x14ac:dyDescent="0.3">
      <c r="A969" s="14">
        <v>968</v>
      </c>
      <c r="B969" s="14" t="s">
        <v>339</v>
      </c>
      <c r="C969" s="14">
        <v>9</v>
      </c>
      <c r="D969" s="14" t="s">
        <v>451</v>
      </c>
      <c r="E969" s="14" t="s">
        <v>429</v>
      </c>
      <c r="F969" s="14">
        <v>2</v>
      </c>
      <c r="G969" s="15">
        <f>_xlfn.XLOOKUP(C969,[1]products!$A$2:$A$71,[1]products!$D$2:$D$71)</f>
        <v>1605</v>
      </c>
      <c r="H969" s="16">
        <v>45163</v>
      </c>
      <c r="I969" s="16" t="str">
        <f t="shared" si="75"/>
        <v>August</v>
      </c>
      <c r="J969" s="16" t="str">
        <f t="shared" si="76"/>
        <v>Friday</v>
      </c>
      <c r="K969" s="17">
        <v>0.99678240740740742</v>
      </c>
      <c r="L969" s="16">
        <v>45170</v>
      </c>
      <c r="M969" s="18">
        <f>HOUR(orders!$K969)</f>
        <v>23</v>
      </c>
      <c r="N969" s="16" t="str">
        <f t="shared" si="77"/>
        <v>September</v>
      </c>
      <c r="O969" s="17">
        <v>0.85012731481481485</v>
      </c>
      <c r="P969" s="17" t="str">
        <f>_xlfn.XLOOKUP(B969,[2]customers!$A$2:$A$101,[2]customers!$C$2:$C$101)</f>
        <v>Bulandshahr</v>
      </c>
      <c r="Q969" s="14" t="s">
        <v>399</v>
      </c>
      <c r="R969" s="14" t="s">
        <v>26</v>
      </c>
      <c r="S969" s="15">
        <f t="shared" si="78"/>
        <v>3210</v>
      </c>
      <c r="T969" s="19">
        <f t="shared" si="79"/>
        <v>7</v>
      </c>
    </row>
    <row r="970" spans="1:20" x14ac:dyDescent="0.3">
      <c r="A970" s="20">
        <v>969</v>
      </c>
      <c r="B970" s="20" t="s">
        <v>251</v>
      </c>
      <c r="C970" s="20">
        <v>42</v>
      </c>
      <c r="D970" s="20" t="s">
        <v>448</v>
      </c>
      <c r="E970" s="20" t="s">
        <v>427</v>
      </c>
      <c r="F970" s="20">
        <v>4</v>
      </c>
      <c r="G970" s="21">
        <f>_xlfn.XLOOKUP(C970,[1]products!$A$2:$A$71,[1]products!$D$2:$D$71)</f>
        <v>1744</v>
      </c>
      <c r="H970" s="22">
        <v>45168</v>
      </c>
      <c r="I970" s="22" t="str">
        <f t="shared" si="75"/>
        <v>August</v>
      </c>
      <c r="J970" s="22" t="str">
        <f t="shared" si="76"/>
        <v>Wednesday</v>
      </c>
      <c r="K970" s="23">
        <v>0.95594907407407403</v>
      </c>
      <c r="L970" s="22">
        <v>45172</v>
      </c>
      <c r="M970" s="24">
        <f>HOUR(orders!$K970)</f>
        <v>22</v>
      </c>
      <c r="N970" s="22" t="str">
        <f t="shared" si="77"/>
        <v>September</v>
      </c>
      <c r="O970" s="23">
        <v>0.14096064814814815</v>
      </c>
      <c r="P970" s="23" t="str">
        <f>_xlfn.XLOOKUP(B970,[2]customers!$A$2:$A$101,[2]customers!$C$2:$C$101)</f>
        <v>Miryalaguda</v>
      </c>
      <c r="Q970" s="20" t="s">
        <v>44</v>
      </c>
      <c r="R970" s="20" t="s">
        <v>60</v>
      </c>
      <c r="S970" s="21">
        <f t="shared" si="78"/>
        <v>6976</v>
      </c>
      <c r="T970" s="25">
        <f t="shared" si="79"/>
        <v>4</v>
      </c>
    </row>
    <row r="971" spans="1:20" x14ac:dyDescent="0.3">
      <c r="A971" s="14">
        <v>970</v>
      </c>
      <c r="B971" s="14" t="s">
        <v>97</v>
      </c>
      <c r="C971" s="14">
        <v>54</v>
      </c>
      <c r="D971" s="14" t="s">
        <v>461</v>
      </c>
      <c r="E971" s="14" t="s">
        <v>431</v>
      </c>
      <c r="F971" s="14">
        <v>4</v>
      </c>
      <c r="G971" s="15">
        <f>_xlfn.XLOOKUP(C971,[1]products!$A$2:$A$71,[1]products!$D$2:$D$71)</f>
        <v>1236</v>
      </c>
      <c r="H971" s="16">
        <v>45029</v>
      </c>
      <c r="I971" s="16" t="str">
        <f t="shared" si="75"/>
        <v>April</v>
      </c>
      <c r="J971" s="16" t="str">
        <f t="shared" si="76"/>
        <v>Thursday</v>
      </c>
      <c r="K971" s="17">
        <v>0.1434375</v>
      </c>
      <c r="L971" s="16">
        <v>45037</v>
      </c>
      <c r="M971" s="18">
        <f>HOUR(orders!$K971)</f>
        <v>3</v>
      </c>
      <c r="N971" s="16" t="str">
        <f t="shared" si="77"/>
        <v>April</v>
      </c>
      <c r="O971" s="17">
        <v>0.90089120370370368</v>
      </c>
      <c r="P971" s="17" t="str">
        <f>_xlfn.XLOOKUP(B971,[2]customers!$A$2:$A$101,[2]customers!$C$2:$C$101)</f>
        <v>Machilipatnam</v>
      </c>
      <c r="Q971" s="14" t="s">
        <v>201</v>
      </c>
      <c r="R971" s="14" t="s">
        <v>12</v>
      </c>
      <c r="S971" s="15">
        <f t="shared" si="78"/>
        <v>4944</v>
      </c>
      <c r="T971" s="19">
        <f t="shared" si="79"/>
        <v>8</v>
      </c>
    </row>
    <row r="972" spans="1:20" x14ac:dyDescent="0.3">
      <c r="A972" s="20">
        <v>971</v>
      </c>
      <c r="B972" s="20" t="s">
        <v>238</v>
      </c>
      <c r="C972" s="20">
        <v>47</v>
      </c>
      <c r="D972" s="20" t="s">
        <v>480</v>
      </c>
      <c r="E972" s="20" t="s">
        <v>429</v>
      </c>
      <c r="F972" s="20">
        <v>1</v>
      </c>
      <c r="G972" s="21">
        <f>_xlfn.XLOOKUP(C972,[1]products!$A$2:$A$71,[1]products!$D$2:$D$71)</f>
        <v>1638</v>
      </c>
      <c r="H972" s="22">
        <v>44987</v>
      </c>
      <c r="I972" s="22" t="str">
        <f t="shared" si="75"/>
        <v>March</v>
      </c>
      <c r="J972" s="22" t="str">
        <f t="shared" si="76"/>
        <v>Thursday</v>
      </c>
      <c r="K972" s="23">
        <v>0.16820601851851849</v>
      </c>
      <c r="L972" s="22">
        <v>44995</v>
      </c>
      <c r="M972" s="24">
        <f>HOUR(orders!$K972)</f>
        <v>4</v>
      </c>
      <c r="N972" s="22" t="str">
        <f t="shared" si="77"/>
        <v>March</v>
      </c>
      <c r="O972" s="23">
        <v>0.80388888888888888</v>
      </c>
      <c r="P972" s="23" t="str">
        <f>_xlfn.XLOOKUP(B972,[2]customers!$A$2:$A$101,[2]customers!$C$2:$C$101)</f>
        <v>Serampore</v>
      </c>
      <c r="Q972" s="20" t="s">
        <v>408</v>
      </c>
      <c r="R972" s="20" t="s">
        <v>36</v>
      </c>
      <c r="S972" s="21">
        <f t="shared" si="78"/>
        <v>1638</v>
      </c>
      <c r="T972" s="25">
        <f t="shared" si="79"/>
        <v>8</v>
      </c>
    </row>
    <row r="973" spans="1:20" x14ac:dyDescent="0.3">
      <c r="A973" s="14">
        <v>972</v>
      </c>
      <c r="B973" s="14" t="s">
        <v>186</v>
      </c>
      <c r="C973" s="14">
        <v>30</v>
      </c>
      <c r="D973" s="14" t="s">
        <v>449</v>
      </c>
      <c r="E973" s="14" t="s">
        <v>429</v>
      </c>
      <c r="F973" s="14">
        <v>2</v>
      </c>
      <c r="G973" s="15">
        <f>_xlfn.XLOOKUP(C973,[1]products!$A$2:$A$71,[1]products!$D$2:$D$71)</f>
        <v>751</v>
      </c>
      <c r="H973" s="16">
        <v>45046</v>
      </c>
      <c r="I973" s="16" t="str">
        <f t="shared" si="75"/>
        <v>April</v>
      </c>
      <c r="J973" s="16" t="str">
        <f t="shared" si="76"/>
        <v>Sunday</v>
      </c>
      <c r="K973" s="17">
        <v>6.5671296296296297E-2</v>
      </c>
      <c r="L973" s="16">
        <v>45048</v>
      </c>
      <c r="M973" s="18">
        <f>HOUR(orders!$K973)</f>
        <v>1</v>
      </c>
      <c r="N973" s="16" t="str">
        <f t="shared" si="77"/>
        <v>May</v>
      </c>
      <c r="O973" s="17">
        <v>0.22724537037037038</v>
      </c>
      <c r="P973" s="17" t="str">
        <f>_xlfn.XLOOKUP(B973,[2]customers!$A$2:$A$101,[2]customers!$C$2:$C$101)</f>
        <v>Farrukhabad</v>
      </c>
      <c r="Q973" s="14" t="s">
        <v>225</v>
      </c>
      <c r="R973" s="14" t="s">
        <v>12</v>
      </c>
      <c r="S973" s="15">
        <f t="shared" si="78"/>
        <v>1502</v>
      </c>
      <c r="T973" s="19">
        <f t="shared" si="79"/>
        <v>2</v>
      </c>
    </row>
    <row r="974" spans="1:20" x14ac:dyDescent="0.3">
      <c r="A974" s="20">
        <v>973</v>
      </c>
      <c r="B974" s="20" t="s">
        <v>95</v>
      </c>
      <c r="C974" s="20">
        <v>66</v>
      </c>
      <c r="D974" s="20" t="s">
        <v>456</v>
      </c>
      <c r="E974" s="20" t="s">
        <v>429</v>
      </c>
      <c r="F974" s="20">
        <v>3</v>
      </c>
      <c r="G974" s="21">
        <f>_xlfn.XLOOKUP(C974,[1]products!$A$2:$A$71,[1]products!$D$2:$D$71)</f>
        <v>610</v>
      </c>
      <c r="H974" s="22">
        <v>44983</v>
      </c>
      <c r="I974" s="22" t="str">
        <f t="shared" si="75"/>
        <v>February</v>
      </c>
      <c r="J974" s="22" t="str">
        <f t="shared" si="76"/>
        <v>Sunday</v>
      </c>
      <c r="K974" s="23">
        <v>0.44160879629629629</v>
      </c>
      <c r="L974" s="22">
        <v>44992</v>
      </c>
      <c r="M974" s="24">
        <f>HOUR(orders!$K974)</f>
        <v>10</v>
      </c>
      <c r="N974" s="22" t="str">
        <f t="shared" si="77"/>
        <v>March</v>
      </c>
      <c r="O974" s="23">
        <v>0.15722222222222224</v>
      </c>
      <c r="P974" s="23" t="str">
        <f>_xlfn.XLOOKUP(B974,[2]customers!$A$2:$A$101,[2]customers!$C$2:$C$101)</f>
        <v>Sasaram</v>
      </c>
      <c r="Q974" s="20" t="s">
        <v>224</v>
      </c>
      <c r="R974" s="20" t="s">
        <v>36</v>
      </c>
      <c r="S974" s="21">
        <f t="shared" si="78"/>
        <v>1830</v>
      </c>
      <c r="T974" s="25">
        <f t="shared" si="79"/>
        <v>9</v>
      </c>
    </row>
    <row r="975" spans="1:20" x14ac:dyDescent="0.3">
      <c r="A975" s="14">
        <v>974</v>
      </c>
      <c r="B975" s="14" t="s">
        <v>99</v>
      </c>
      <c r="C975" s="14">
        <v>17</v>
      </c>
      <c r="D975" s="14" t="s">
        <v>455</v>
      </c>
      <c r="E975" s="14" t="s">
        <v>445</v>
      </c>
      <c r="F975" s="14">
        <v>4</v>
      </c>
      <c r="G975" s="15">
        <f>_xlfn.XLOOKUP(C975,[1]products!$A$2:$A$71,[1]products!$D$2:$D$71)</f>
        <v>1899</v>
      </c>
      <c r="H975" s="16">
        <v>45234</v>
      </c>
      <c r="I975" s="16" t="str">
        <f t="shared" si="75"/>
        <v>November</v>
      </c>
      <c r="J975" s="16" t="str">
        <f t="shared" si="76"/>
        <v>Saturday</v>
      </c>
      <c r="K975" s="17">
        <v>0.80346064814814822</v>
      </c>
      <c r="L975" s="16">
        <v>45237</v>
      </c>
      <c r="M975" s="18">
        <f>HOUR(orders!$K975)</f>
        <v>19</v>
      </c>
      <c r="N975" s="16" t="str">
        <f t="shared" si="77"/>
        <v>November</v>
      </c>
      <c r="O975" s="17">
        <v>0.67461805555555554</v>
      </c>
      <c r="P975" s="17" t="str">
        <f>_xlfn.XLOOKUP(B975,[2]customers!$A$2:$A$101,[2]customers!$C$2:$C$101)</f>
        <v>Panvel</v>
      </c>
      <c r="Q975" s="14" t="s">
        <v>137</v>
      </c>
      <c r="R975" s="14" t="s">
        <v>12</v>
      </c>
      <c r="S975" s="15">
        <f t="shared" si="78"/>
        <v>7596</v>
      </c>
      <c r="T975" s="19">
        <f t="shared" si="79"/>
        <v>3</v>
      </c>
    </row>
    <row r="976" spans="1:20" x14ac:dyDescent="0.3">
      <c r="A976" s="20">
        <v>975</v>
      </c>
      <c r="B976" s="20" t="s">
        <v>112</v>
      </c>
      <c r="C976" s="20">
        <v>62</v>
      </c>
      <c r="D976" s="20" t="s">
        <v>442</v>
      </c>
      <c r="E976" s="20" t="s">
        <v>429</v>
      </c>
      <c r="F976" s="20">
        <v>2</v>
      </c>
      <c r="G976" s="21">
        <f>_xlfn.XLOOKUP(C976,[1]products!$A$2:$A$71,[1]products!$D$2:$D$71)</f>
        <v>1356</v>
      </c>
      <c r="H976" s="22">
        <v>44989</v>
      </c>
      <c r="I976" s="22" t="str">
        <f t="shared" si="75"/>
        <v>March</v>
      </c>
      <c r="J976" s="22" t="str">
        <f t="shared" si="76"/>
        <v>Saturday</v>
      </c>
      <c r="K976" s="23">
        <v>1.8425925925925925E-2</v>
      </c>
      <c r="L976" s="22">
        <v>44997</v>
      </c>
      <c r="M976" s="24">
        <f>HOUR(orders!$K976)</f>
        <v>0</v>
      </c>
      <c r="N976" s="22" t="str">
        <f t="shared" si="77"/>
        <v>March</v>
      </c>
      <c r="O976" s="23">
        <v>0.33590277777777783</v>
      </c>
      <c r="P976" s="23" t="str">
        <f>_xlfn.XLOOKUP(B976,[2]customers!$A$2:$A$101,[2]customers!$C$2:$C$101)</f>
        <v>Panchkula</v>
      </c>
      <c r="Q976" s="20" t="s">
        <v>408</v>
      </c>
      <c r="R976" s="20" t="s">
        <v>36</v>
      </c>
      <c r="S976" s="21">
        <f t="shared" si="78"/>
        <v>2712</v>
      </c>
      <c r="T976" s="25">
        <f t="shared" si="79"/>
        <v>8</v>
      </c>
    </row>
    <row r="977" spans="1:20" x14ac:dyDescent="0.3">
      <c r="A977" s="14">
        <v>976</v>
      </c>
      <c r="B977" s="14" t="s">
        <v>125</v>
      </c>
      <c r="C977" s="14">
        <v>17</v>
      </c>
      <c r="D977" s="14" t="s">
        <v>455</v>
      </c>
      <c r="E977" s="14" t="s">
        <v>445</v>
      </c>
      <c r="F977" s="14">
        <v>2</v>
      </c>
      <c r="G977" s="15">
        <f>_xlfn.XLOOKUP(C977,[1]products!$A$2:$A$71,[1]products!$D$2:$D$71)</f>
        <v>1899</v>
      </c>
      <c r="H977" s="16">
        <v>45065</v>
      </c>
      <c r="I977" s="16" t="str">
        <f t="shared" si="75"/>
        <v>May</v>
      </c>
      <c r="J977" s="16" t="str">
        <f t="shared" si="76"/>
        <v>Friday</v>
      </c>
      <c r="K977" s="17">
        <v>0.29940972222222223</v>
      </c>
      <c r="L977" s="16">
        <v>45066</v>
      </c>
      <c r="M977" s="18">
        <f>HOUR(orders!$K977)</f>
        <v>7</v>
      </c>
      <c r="N977" s="16" t="str">
        <f t="shared" si="77"/>
        <v>May</v>
      </c>
      <c r="O977" s="17">
        <v>0.36004629629629631</v>
      </c>
      <c r="P977" s="17" t="str">
        <f>_xlfn.XLOOKUP(B977,[2]customers!$A$2:$A$101,[2]customers!$C$2:$C$101)</f>
        <v>Gangtok</v>
      </c>
      <c r="Q977" s="14" t="s">
        <v>398</v>
      </c>
      <c r="R977" s="14" t="s">
        <v>12</v>
      </c>
      <c r="S977" s="15">
        <f t="shared" si="78"/>
        <v>3798</v>
      </c>
      <c r="T977" s="19">
        <f t="shared" si="79"/>
        <v>1</v>
      </c>
    </row>
    <row r="978" spans="1:20" x14ac:dyDescent="0.3">
      <c r="A978" s="20">
        <v>977</v>
      </c>
      <c r="B978" s="20" t="s">
        <v>314</v>
      </c>
      <c r="C978" s="20">
        <v>47</v>
      </c>
      <c r="D978" s="20" t="s">
        <v>480</v>
      </c>
      <c r="E978" s="20" t="s">
        <v>429</v>
      </c>
      <c r="F978" s="20">
        <v>2</v>
      </c>
      <c r="G978" s="21">
        <f>_xlfn.XLOOKUP(C978,[1]products!$A$2:$A$71,[1]products!$D$2:$D$71)</f>
        <v>1638</v>
      </c>
      <c r="H978" s="22">
        <v>44990</v>
      </c>
      <c r="I978" s="22" t="str">
        <f t="shared" si="75"/>
        <v>March</v>
      </c>
      <c r="J978" s="22" t="str">
        <f t="shared" si="76"/>
        <v>Sunday</v>
      </c>
      <c r="K978" s="23">
        <v>0.5232754629629629</v>
      </c>
      <c r="L978" s="22">
        <v>44992</v>
      </c>
      <c r="M978" s="24">
        <f>HOUR(orders!$K978)</f>
        <v>12</v>
      </c>
      <c r="N978" s="22" t="str">
        <f t="shared" si="77"/>
        <v>March</v>
      </c>
      <c r="O978" s="23">
        <v>0.98592592592592598</v>
      </c>
      <c r="P978" s="23" t="str">
        <f>_xlfn.XLOOKUP(B978,[2]customers!$A$2:$A$101,[2]customers!$C$2:$C$101)</f>
        <v>Kottayam</v>
      </c>
      <c r="Q978" s="20" t="s">
        <v>400</v>
      </c>
      <c r="R978" s="20" t="s">
        <v>36</v>
      </c>
      <c r="S978" s="21">
        <f t="shared" si="78"/>
        <v>3276</v>
      </c>
      <c r="T978" s="25">
        <f t="shared" si="79"/>
        <v>2</v>
      </c>
    </row>
    <row r="979" spans="1:20" x14ac:dyDescent="0.3">
      <c r="A979" s="14">
        <v>978</v>
      </c>
      <c r="B979" s="14" t="s">
        <v>13</v>
      </c>
      <c r="C979" s="14">
        <v>29</v>
      </c>
      <c r="D979" s="14" t="s">
        <v>497</v>
      </c>
      <c r="E979" s="14" t="s">
        <v>429</v>
      </c>
      <c r="F979" s="14">
        <v>4</v>
      </c>
      <c r="G979" s="15">
        <f>_xlfn.XLOOKUP(C979,[1]products!$A$2:$A$71,[1]products!$D$2:$D$71)</f>
        <v>1252</v>
      </c>
      <c r="H979" s="16">
        <v>44985</v>
      </c>
      <c r="I979" s="16" t="str">
        <f t="shared" si="75"/>
        <v>February</v>
      </c>
      <c r="J979" s="16" t="str">
        <f t="shared" si="76"/>
        <v>Tuesday</v>
      </c>
      <c r="K979" s="17">
        <v>0.3744791666666667</v>
      </c>
      <c r="L979" s="16">
        <v>44994</v>
      </c>
      <c r="M979" s="18">
        <f>HOUR(orders!$K979)</f>
        <v>8</v>
      </c>
      <c r="N979" s="16" t="str">
        <f t="shared" si="77"/>
        <v>March</v>
      </c>
      <c r="O979" s="17">
        <v>0.27160879629629631</v>
      </c>
      <c r="P979" s="17" t="str">
        <f>_xlfn.XLOOKUP(B979,[2]customers!$A$2:$A$101,[2]customers!$C$2:$C$101)</f>
        <v>Danapur</v>
      </c>
      <c r="Q979" s="14" t="s">
        <v>224</v>
      </c>
      <c r="R979" s="14" t="s">
        <v>36</v>
      </c>
      <c r="S979" s="15">
        <f t="shared" si="78"/>
        <v>5008</v>
      </c>
      <c r="T979" s="19">
        <f t="shared" si="79"/>
        <v>9</v>
      </c>
    </row>
    <row r="980" spans="1:20" x14ac:dyDescent="0.3">
      <c r="A980" s="20">
        <v>979</v>
      </c>
      <c r="B980" s="20" t="s">
        <v>188</v>
      </c>
      <c r="C980" s="20">
        <v>9</v>
      </c>
      <c r="D980" s="20" t="s">
        <v>451</v>
      </c>
      <c r="E980" s="20" t="s">
        <v>429</v>
      </c>
      <c r="F980" s="20">
        <v>4</v>
      </c>
      <c r="G980" s="21">
        <f>_xlfn.XLOOKUP(C980,[1]products!$A$2:$A$71,[1]products!$D$2:$D$71)</f>
        <v>1605</v>
      </c>
      <c r="H980" s="22">
        <v>45166</v>
      </c>
      <c r="I980" s="22" t="str">
        <f t="shared" si="75"/>
        <v>August</v>
      </c>
      <c r="J980" s="22" t="str">
        <f t="shared" si="76"/>
        <v>Monday</v>
      </c>
      <c r="K980" s="23">
        <v>0.77990740740740738</v>
      </c>
      <c r="L980" s="22">
        <v>45169</v>
      </c>
      <c r="M980" s="24">
        <f>HOUR(orders!$K980)</f>
        <v>18</v>
      </c>
      <c r="N980" s="22" t="str">
        <f t="shared" si="77"/>
        <v>August</v>
      </c>
      <c r="O980" s="23">
        <v>0.84233796296296293</v>
      </c>
      <c r="P980" s="23" t="str">
        <f>_xlfn.XLOOKUP(B980,[2]customers!$A$2:$A$101,[2]customers!$C$2:$C$101)</f>
        <v>Sambhal</v>
      </c>
      <c r="Q980" s="20" t="s">
        <v>389</v>
      </c>
      <c r="R980" s="20" t="s">
        <v>26</v>
      </c>
      <c r="S980" s="21">
        <f t="shared" si="78"/>
        <v>6420</v>
      </c>
      <c r="T980" s="25">
        <f t="shared" si="79"/>
        <v>3</v>
      </c>
    </row>
    <row r="981" spans="1:20" x14ac:dyDescent="0.3">
      <c r="A981" s="14">
        <v>980</v>
      </c>
      <c r="B981" s="14" t="s">
        <v>80</v>
      </c>
      <c r="C981" s="14">
        <v>12</v>
      </c>
      <c r="D981" s="14" t="s">
        <v>446</v>
      </c>
      <c r="E981" s="14" t="s">
        <v>447</v>
      </c>
      <c r="F981" s="14">
        <v>5</v>
      </c>
      <c r="G981" s="15">
        <f>_xlfn.XLOOKUP(C981,[1]products!$A$2:$A$71,[1]products!$D$2:$D$71)</f>
        <v>672</v>
      </c>
      <c r="H981" s="16">
        <v>45190</v>
      </c>
      <c r="I981" s="16" t="str">
        <f t="shared" si="75"/>
        <v>September</v>
      </c>
      <c r="J981" s="16" t="str">
        <f t="shared" si="76"/>
        <v>Thursday</v>
      </c>
      <c r="K981" s="17">
        <v>0.85793981481481474</v>
      </c>
      <c r="L981" s="16">
        <v>45199</v>
      </c>
      <c r="M981" s="18">
        <f>HOUR(orders!$K981)</f>
        <v>20</v>
      </c>
      <c r="N981" s="16" t="str">
        <f t="shared" si="77"/>
        <v>September</v>
      </c>
      <c r="O981" s="17">
        <v>3.0312499999999996E-2</v>
      </c>
      <c r="P981" s="17" t="str">
        <f>_xlfn.XLOOKUP(B981,[2]customers!$A$2:$A$101,[2]customers!$C$2:$C$101)</f>
        <v>Anand</v>
      </c>
      <c r="Q981" s="14" t="s">
        <v>274</v>
      </c>
      <c r="R981" s="14" t="s">
        <v>12</v>
      </c>
      <c r="S981" s="15">
        <f t="shared" si="78"/>
        <v>3360</v>
      </c>
      <c r="T981" s="19">
        <f t="shared" si="79"/>
        <v>9</v>
      </c>
    </row>
    <row r="982" spans="1:20" x14ac:dyDescent="0.3">
      <c r="A982" s="20">
        <v>981</v>
      </c>
      <c r="B982" s="20" t="s">
        <v>99</v>
      </c>
      <c r="C982" s="20">
        <v>46</v>
      </c>
      <c r="D982" s="20" t="s">
        <v>493</v>
      </c>
      <c r="E982" s="20" t="s">
        <v>431</v>
      </c>
      <c r="F982" s="20">
        <v>2</v>
      </c>
      <c r="G982" s="21">
        <f>_xlfn.XLOOKUP(C982,[1]products!$A$2:$A$71,[1]products!$D$2:$D$71)</f>
        <v>758</v>
      </c>
      <c r="H982" s="22">
        <v>45018</v>
      </c>
      <c r="I982" s="22" t="str">
        <f t="shared" si="75"/>
        <v>April</v>
      </c>
      <c r="J982" s="22" t="str">
        <f t="shared" si="76"/>
        <v>Sunday</v>
      </c>
      <c r="K982" s="23">
        <v>0.83412037037037035</v>
      </c>
      <c r="L982" s="22">
        <v>45019</v>
      </c>
      <c r="M982" s="24">
        <f>HOUR(orders!$K982)</f>
        <v>20</v>
      </c>
      <c r="N982" s="22" t="str">
        <f t="shared" si="77"/>
        <v>April</v>
      </c>
      <c r="O982" s="23">
        <v>0.84834490740740742</v>
      </c>
      <c r="P982" s="23" t="str">
        <f>_xlfn.XLOOKUP(B982,[2]customers!$A$2:$A$101,[2]customers!$C$2:$C$101)</f>
        <v>Panvel</v>
      </c>
      <c r="Q982" s="20" t="s">
        <v>262</v>
      </c>
      <c r="R982" s="20" t="s">
        <v>12</v>
      </c>
      <c r="S982" s="21">
        <f t="shared" si="78"/>
        <v>1516</v>
      </c>
      <c r="T982" s="25">
        <f t="shared" si="79"/>
        <v>1</v>
      </c>
    </row>
    <row r="983" spans="1:20" x14ac:dyDescent="0.3">
      <c r="A983" s="14">
        <v>982</v>
      </c>
      <c r="B983" s="14" t="s">
        <v>13</v>
      </c>
      <c r="C983" s="14">
        <v>47</v>
      </c>
      <c r="D983" s="14" t="s">
        <v>480</v>
      </c>
      <c r="E983" s="14" t="s">
        <v>429</v>
      </c>
      <c r="F983" s="14">
        <v>4</v>
      </c>
      <c r="G983" s="15">
        <f>_xlfn.XLOOKUP(C983,[1]products!$A$2:$A$71,[1]products!$D$2:$D$71)</f>
        <v>1638</v>
      </c>
      <c r="H983" s="16">
        <v>44985</v>
      </c>
      <c r="I983" s="16" t="str">
        <f t="shared" si="75"/>
        <v>February</v>
      </c>
      <c r="J983" s="16" t="str">
        <f t="shared" si="76"/>
        <v>Tuesday</v>
      </c>
      <c r="K983" s="17">
        <v>0.78915509259259264</v>
      </c>
      <c r="L983" s="16">
        <v>44989</v>
      </c>
      <c r="M983" s="18">
        <f>HOUR(orders!$K983)</f>
        <v>18</v>
      </c>
      <c r="N983" s="16" t="str">
        <f t="shared" si="77"/>
        <v>March</v>
      </c>
      <c r="O983" s="17">
        <v>0.13290509259259259</v>
      </c>
      <c r="P983" s="17" t="str">
        <f>_xlfn.XLOOKUP(B983,[2]customers!$A$2:$A$101,[2]customers!$C$2:$C$101)</f>
        <v>Danapur</v>
      </c>
      <c r="Q983" s="14" t="s">
        <v>206</v>
      </c>
      <c r="R983" s="14" t="s">
        <v>36</v>
      </c>
      <c r="S983" s="15">
        <f t="shared" si="78"/>
        <v>6552</v>
      </c>
      <c r="T983" s="19">
        <f t="shared" si="79"/>
        <v>4</v>
      </c>
    </row>
    <row r="984" spans="1:20" x14ac:dyDescent="0.3">
      <c r="A984" s="20">
        <v>983</v>
      </c>
      <c r="B984" s="20" t="s">
        <v>216</v>
      </c>
      <c r="C984" s="20">
        <v>70</v>
      </c>
      <c r="D984" s="20" t="s">
        <v>466</v>
      </c>
      <c r="E984" s="20" t="s">
        <v>427</v>
      </c>
      <c r="F984" s="20">
        <v>1</v>
      </c>
      <c r="G984" s="21">
        <f>_xlfn.XLOOKUP(C984,[1]products!$A$2:$A$71,[1]products!$D$2:$D$71)</f>
        <v>866</v>
      </c>
      <c r="H984" s="22">
        <v>45010</v>
      </c>
      <c r="I984" s="22" t="str">
        <f t="shared" si="75"/>
        <v>March</v>
      </c>
      <c r="J984" s="22" t="str">
        <f t="shared" si="76"/>
        <v>Saturday</v>
      </c>
      <c r="K984" s="23">
        <v>0.40259259259259261</v>
      </c>
      <c r="L984" s="22">
        <v>45017</v>
      </c>
      <c r="M984" s="24">
        <f>HOUR(orders!$K984)</f>
        <v>9</v>
      </c>
      <c r="N984" s="22" t="str">
        <f t="shared" si="77"/>
        <v>April</v>
      </c>
      <c r="O984" s="23">
        <v>0.27688657407407408</v>
      </c>
      <c r="P984" s="23" t="str">
        <f>_xlfn.XLOOKUP(B984,[2]customers!$A$2:$A$101,[2]customers!$C$2:$C$101)</f>
        <v>Deoghar</v>
      </c>
      <c r="Q984" s="20" t="s">
        <v>383</v>
      </c>
      <c r="R984" s="20" t="s">
        <v>20</v>
      </c>
      <c r="S984" s="21">
        <f t="shared" si="78"/>
        <v>866</v>
      </c>
      <c r="T984" s="25">
        <f t="shared" si="79"/>
        <v>7</v>
      </c>
    </row>
    <row r="985" spans="1:20" x14ac:dyDescent="0.3">
      <c r="A985" s="14">
        <v>984</v>
      </c>
      <c r="B985" s="14" t="s">
        <v>116</v>
      </c>
      <c r="C985" s="14">
        <v>65</v>
      </c>
      <c r="D985" s="14" t="s">
        <v>466</v>
      </c>
      <c r="E985" s="14" t="s">
        <v>26</v>
      </c>
      <c r="F985" s="14">
        <v>1</v>
      </c>
      <c r="G985" s="15">
        <f>_xlfn.XLOOKUP(C985,[1]products!$A$2:$A$71,[1]products!$D$2:$D$71)</f>
        <v>1895</v>
      </c>
      <c r="H985" s="16">
        <v>45141</v>
      </c>
      <c r="I985" s="16" t="str">
        <f t="shared" si="75"/>
        <v>August</v>
      </c>
      <c r="J985" s="16" t="str">
        <f t="shared" si="76"/>
        <v>Thursday</v>
      </c>
      <c r="K985" s="17">
        <v>0.93821759259259263</v>
      </c>
      <c r="L985" s="16">
        <v>45145</v>
      </c>
      <c r="M985" s="18">
        <f>HOUR(orders!$K985)</f>
        <v>22</v>
      </c>
      <c r="N985" s="16" t="str">
        <f t="shared" si="77"/>
        <v>August</v>
      </c>
      <c r="O985" s="17">
        <v>0.69387731481481474</v>
      </c>
      <c r="P985" s="17" t="str">
        <f>_xlfn.XLOOKUP(B985,[2]customers!$A$2:$A$101,[2]customers!$C$2:$C$101)</f>
        <v>Guntakal</v>
      </c>
      <c r="Q985" s="14" t="s">
        <v>303</v>
      </c>
      <c r="R985" s="14" t="s">
        <v>60</v>
      </c>
      <c r="S985" s="15">
        <f t="shared" si="78"/>
        <v>1895</v>
      </c>
      <c r="T985" s="19">
        <f t="shared" si="79"/>
        <v>4</v>
      </c>
    </row>
    <row r="986" spans="1:20" x14ac:dyDescent="0.3">
      <c r="A986" s="20">
        <v>985</v>
      </c>
      <c r="B986" s="20" t="s">
        <v>194</v>
      </c>
      <c r="C986" s="20">
        <v>31</v>
      </c>
      <c r="D986" s="20" t="s">
        <v>474</v>
      </c>
      <c r="E986" s="20" t="s">
        <v>429</v>
      </c>
      <c r="F986" s="20">
        <v>4</v>
      </c>
      <c r="G986" s="21">
        <f>_xlfn.XLOOKUP(C986,[1]products!$A$2:$A$71,[1]products!$D$2:$D$71)</f>
        <v>1804</v>
      </c>
      <c r="H986" s="22">
        <v>45204</v>
      </c>
      <c r="I986" s="22" t="str">
        <f t="shared" si="75"/>
        <v>October</v>
      </c>
      <c r="J986" s="22" t="str">
        <f t="shared" si="76"/>
        <v>Thursday</v>
      </c>
      <c r="K986" s="23">
        <v>0.4773148148148148</v>
      </c>
      <c r="L986" s="22">
        <v>45212</v>
      </c>
      <c r="M986" s="24">
        <f>HOUR(orders!$K986)</f>
        <v>11</v>
      </c>
      <c r="N986" s="22" t="str">
        <f t="shared" si="77"/>
        <v>October</v>
      </c>
      <c r="O986" s="23">
        <v>0.70387731481481486</v>
      </c>
      <c r="P986" s="23" t="str">
        <f>_xlfn.XLOOKUP(B986,[2]customers!$A$2:$A$101,[2]customers!$C$2:$C$101)</f>
        <v>Bhatpara</v>
      </c>
      <c r="Q986" s="20" t="s">
        <v>57</v>
      </c>
      <c r="R986" s="20" t="s">
        <v>60</v>
      </c>
      <c r="S986" s="21">
        <f t="shared" si="78"/>
        <v>7216</v>
      </c>
      <c r="T986" s="25">
        <f t="shared" si="79"/>
        <v>8</v>
      </c>
    </row>
    <row r="987" spans="1:20" x14ac:dyDescent="0.3">
      <c r="A987" s="14">
        <v>986</v>
      </c>
      <c r="B987" s="14" t="s">
        <v>292</v>
      </c>
      <c r="C987" s="14">
        <v>1</v>
      </c>
      <c r="D987" s="14" t="s">
        <v>479</v>
      </c>
      <c r="E987" s="14" t="s">
        <v>445</v>
      </c>
      <c r="F987" s="14">
        <v>2</v>
      </c>
      <c r="G987" s="15">
        <f>_xlfn.XLOOKUP(C987,[1]products!$A$2:$A$71,[1]products!$D$2:$D$71)</f>
        <v>1935</v>
      </c>
      <c r="H987" s="16">
        <v>45233</v>
      </c>
      <c r="I987" s="16" t="str">
        <f t="shared" si="75"/>
        <v>November</v>
      </c>
      <c r="J987" s="16" t="str">
        <f t="shared" si="76"/>
        <v>Friday</v>
      </c>
      <c r="K987" s="17">
        <v>0.69576388888888896</v>
      </c>
      <c r="L987" s="16">
        <v>45235</v>
      </c>
      <c r="M987" s="18">
        <f>HOUR(orders!$K987)</f>
        <v>16</v>
      </c>
      <c r="N987" s="16" t="str">
        <f t="shared" si="77"/>
        <v>November</v>
      </c>
      <c r="O987" s="17">
        <v>0.94685185185185183</v>
      </c>
      <c r="P987" s="17" t="str">
        <f>_xlfn.XLOOKUP(B987,[2]customers!$A$2:$A$101,[2]customers!$C$2:$C$101)</f>
        <v>Purnia</v>
      </c>
      <c r="Q987" s="14" t="s">
        <v>129</v>
      </c>
      <c r="R987" s="14" t="s">
        <v>60</v>
      </c>
      <c r="S987" s="15">
        <f t="shared" si="78"/>
        <v>3870</v>
      </c>
      <c r="T987" s="19">
        <f t="shared" si="79"/>
        <v>2</v>
      </c>
    </row>
    <row r="988" spans="1:20" x14ac:dyDescent="0.3">
      <c r="A988" s="20">
        <v>987</v>
      </c>
      <c r="B988" s="20" t="s">
        <v>58</v>
      </c>
      <c r="C988" s="20">
        <v>65</v>
      </c>
      <c r="D988" s="20" t="s">
        <v>466</v>
      </c>
      <c r="E988" s="20" t="s">
        <v>26</v>
      </c>
      <c r="F988" s="20">
        <v>3</v>
      </c>
      <c r="G988" s="21">
        <f>_xlfn.XLOOKUP(C988,[1]products!$A$2:$A$71,[1]products!$D$2:$D$71)</f>
        <v>1895</v>
      </c>
      <c r="H988" s="22">
        <v>45280</v>
      </c>
      <c r="I988" s="22" t="str">
        <f t="shared" si="75"/>
        <v>December</v>
      </c>
      <c r="J988" s="22" t="str">
        <f t="shared" si="76"/>
        <v>Wednesday</v>
      </c>
      <c r="K988" s="23">
        <v>0.38422453703703702</v>
      </c>
      <c r="L988" s="22">
        <v>45285</v>
      </c>
      <c r="M988" s="24">
        <f>HOUR(orders!$K988)</f>
        <v>9</v>
      </c>
      <c r="N988" s="22" t="str">
        <f t="shared" si="77"/>
        <v>December</v>
      </c>
      <c r="O988" s="23">
        <v>0.17371527777777776</v>
      </c>
      <c r="P988" s="23" t="str">
        <f>_xlfn.XLOOKUP(B988,[2]customers!$A$2:$A$101,[2]customers!$C$2:$C$101)</f>
        <v>Nizamabad</v>
      </c>
      <c r="Q988" s="20" t="s">
        <v>69</v>
      </c>
      <c r="R988" s="20" t="s">
        <v>60</v>
      </c>
      <c r="S988" s="21">
        <f t="shared" si="78"/>
        <v>5685</v>
      </c>
      <c r="T988" s="25">
        <f t="shared" si="79"/>
        <v>5</v>
      </c>
    </row>
    <row r="989" spans="1:20" x14ac:dyDescent="0.3">
      <c r="A989" s="14">
        <v>988</v>
      </c>
      <c r="B989" s="14" t="s">
        <v>97</v>
      </c>
      <c r="C989" s="14">
        <v>4</v>
      </c>
      <c r="D989" s="14" t="s">
        <v>475</v>
      </c>
      <c r="E989" s="14" t="s">
        <v>427</v>
      </c>
      <c r="F989" s="14">
        <v>3</v>
      </c>
      <c r="G989" s="15">
        <f>_xlfn.XLOOKUP(C989,[1]products!$A$2:$A$71,[1]products!$D$2:$D$71)</f>
        <v>1199</v>
      </c>
      <c r="H989" s="16">
        <v>45240</v>
      </c>
      <c r="I989" s="16" t="str">
        <f t="shared" si="75"/>
        <v>November</v>
      </c>
      <c r="J989" s="16" t="str">
        <f t="shared" si="76"/>
        <v>Friday</v>
      </c>
      <c r="K989" s="17">
        <v>0.40783564814814816</v>
      </c>
      <c r="L989" s="16">
        <v>45245</v>
      </c>
      <c r="M989" s="18">
        <f>HOUR(orders!$K989)</f>
        <v>9</v>
      </c>
      <c r="N989" s="16" t="str">
        <f t="shared" si="77"/>
        <v>November</v>
      </c>
      <c r="O989" s="17">
        <v>0.43702546296296302</v>
      </c>
      <c r="P989" s="17" t="str">
        <f>_xlfn.XLOOKUP(B989,[2]customers!$A$2:$A$101,[2]customers!$C$2:$C$101)</f>
        <v>Machilipatnam</v>
      </c>
      <c r="Q989" s="14" t="s">
        <v>381</v>
      </c>
      <c r="R989" s="14" t="s">
        <v>15</v>
      </c>
      <c r="S989" s="15">
        <f t="shared" si="78"/>
        <v>3597</v>
      </c>
      <c r="T989" s="19">
        <f t="shared" si="79"/>
        <v>5</v>
      </c>
    </row>
    <row r="990" spans="1:20" x14ac:dyDescent="0.3">
      <c r="A990" s="20">
        <v>989</v>
      </c>
      <c r="B990" s="20" t="s">
        <v>125</v>
      </c>
      <c r="C990" s="20">
        <v>52</v>
      </c>
      <c r="D990" s="20" t="s">
        <v>443</v>
      </c>
      <c r="E990" s="20" t="s">
        <v>26</v>
      </c>
      <c r="F990" s="20">
        <v>3</v>
      </c>
      <c r="G990" s="21">
        <f>_xlfn.XLOOKUP(C990,[1]products!$A$2:$A$71,[1]products!$D$2:$D$71)</f>
        <v>236</v>
      </c>
      <c r="H990" s="22">
        <v>44963</v>
      </c>
      <c r="I990" s="22" t="str">
        <f t="shared" si="75"/>
        <v>February</v>
      </c>
      <c r="J990" s="22" t="str">
        <f t="shared" si="76"/>
        <v>Monday</v>
      </c>
      <c r="K990" s="23">
        <v>0.34128472222222223</v>
      </c>
      <c r="L990" s="22">
        <v>44972</v>
      </c>
      <c r="M990" s="24">
        <f>HOUR(orders!$K990)</f>
        <v>8</v>
      </c>
      <c r="N990" s="22" t="str">
        <f t="shared" si="77"/>
        <v>February</v>
      </c>
      <c r="O990" s="23">
        <v>8.3379629629629637E-2</v>
      </c>
      <c r="P990" s="23" t="str">
        <f>_xlfn.XLOOKUP(B990,[2]customers!$A$2:$A$101,[2]customers!$C$2:$C$101)</f>
        <v>Gangtok</v>
      </c>
      <c r="Q990" s="20" t="s">
        <v>338</v>
      </c>
      <c r="R990" s="20" t="s">
        <v>23</v>
      </c>
      <c r="S990" s="21">
        <f t="shared" si="78"/>
        <v>708</v>
      </c>
      <c r="T990" s="25">
        <f t="shared" si="79"/>
        <v>9</v>
      </c>
    </row>
    <row r="991" spans="1:20" x14ac:dyDescent="0.3">
      <c r="A991" s="14">
        <v>990</v>
      </c>
      <c r="B991" s="14" t="s">
        <v>354</v>
      </c>
      <c r="C991" s="14">
        <v>42</v>
      </c>
      <c r="D991" s="14" t="s">
        <v>448</v>
      </c>
      <c r="E991" s="14" t="s">
        <v>427</v>
      </c>
      <c r="F991" s="14">
        <v>2</v>
      </c>
      <c r="G991" s="15">
        <f>_xlfn.XLOOKUP(C991,[1]products!$A$2:$A$71,[1]products!$D$2:$D$71)</f>
        <v>1744</v>
      </c>
      <c r="H991" s="16">
        <v>45264</v>
      </c>
      <c r="I991" s="16" t="str">
        <f t="shared" si="75"/>
        <v>December</v>
      </c>
      <c r="J991" s="16" t="str">
        <f t="shared" si="76"/>
        <v>Monday</v>
      </c>
      <c r="K991" s="17">
        <v>0.93055555555555547</v>
      </c>
      <c r="L991" s="16">
        <v>45268</v>
      </c>
      <c r="M991" s="18">
        <f>HOUR(orders!$K991)</f>
        <v>22</v>
      </c>
      <c r="N991" s="16" t="str">
        <f t="shared" si="77"/>
        <v>December</v>
      </c>
      <c r="O991" s="17">
        <v>0.99855324074074081</v>
      </c>
      <c r="P991" s="17" t="str">
        <f>_xlfn.XLOOKUP(B991,[2]customers!$A$2:$A$101,[2]customers!$C$2:$C$101)</f>
        <v>Mehsana</v>
      </c>
      <c r="Q991" s="14" t="s">
        <v>202</v>
      </c>
      <c r="R991" s="14" t="s">
        <v>60</v>
      </c>
      <c r="S991" s="15">
        <f t="shared" si="78"/>
        <v>3488</v>
      </c>
      <c r="T991" s="19">
        <f t="shared" si="79"/>
        <v>4</v>
      </c>
    </row>
    <row r="992" spans="1:20" x14ac:dyDescent="0.3">
      <c r="A992" s="20">
        <v>991</v>
      </c>
      <c r="B992" s="20" t="s">
        <v>54</v>
      </c>
      <c r="C992" s="20">
        <v>36</v>
      </c>
      <c r="D992" s="20" t="s">
        <v>468</v>
      </c>
      <c r="E992" s="20" t="s">
        <v>447</v>
      </c>
      <c r="F992" s="20">
        <v>5</v>
      </c>
      <c r="G992" s="21">
        <f>_xlfn.XLOOKUP(C992,[1]products!$A$2:$A$71,[1]products!$D$2:$D$71)</f>
        <v>203</v>
      </c>
      <c r="H992" s="22">
        <v>44966</v>
      </c>
      <c r="I992" s="22" t="str">
        <f t="shared" si="75"/>
        <v>February</v>
      </c>
      <c r="J992" s="22" t="str">
        <f t="shared" si="76"/>
        <v>Thursday</v>
      </c>
      <c r="K992" s="23">
        <v>0.62583333333333335</v>
      </c>
      <c r="L992" s="22">
        <v>44972</v>
      </c>
      <c r="M992" s="24">
        <f>HOUR(orders!$K992)</f>
        <v>15</v>
      </c>
      <c r="N992" s="22" t="str">
        <f t="shared" si="77"/>
        <v>February</v>
      </c>
      <c r="O992" s="23">
        <v>0.72009259259259262</v>
      </c>
      <c r="P992" s="23" t="str">
        <f>_xlfn.XLOOKUP(B992,[2]customers!$A$2:$A$101,[2]customers!$C$2:$C$101)</f>
        <v>Bidhannagar</v>
      </c>
      <c r="Q992" s="20" t="s">
        <v>224</v>
      </c>
      <c r="R992" s="20" t="s">
        <v>20</v>
      </c>
      <c r="S992" s="21">
        <f t="shared" si="78"/>
        <v>1015</v>
      </c>
      <c r="T992" s="25">
        <f t="shared" si="79"/>
        <v>6</v>
      </c>
    </row>
    <row r="993" spans="1:20" x14ac:dyDescent="0.3">
      <c r="A993" s="14">
        <v>992</v>
      </c>
      <c r="B993" s="14" t="s">
        <v>61</v>
      </c>
      <c r="C993" s="14">
        <v>43</v>
      </c>
      <c r="D993" s="14" t="s">
        <v>434</v>
      </c>
      <c r="E993" s="14" t="s">
        <v>26</v>
      </c>
      <c r="F993" s="14">
        <v>3</v>
      </c>
      <c r="G993" s="15">
        <f>_xlfn.XLOOKUP(C993,[1]products!$A$2:$A$71,[1]products!$D$2:$D$71)</f>
        <v>750</v>
      </c>
      <c r="H993" s="16">
        <v>45232</v>
      </c>
      <c r="I993" s="16" t="str">
        <f t="shared" si="75"/>
        <v>November</v>
      </c>
      <c r="J993" s="16" t="str">
        <f t="shared" si="76"/>
        <v>Thursday</v>
      </c>
      <c r="K993" s="17">
        <v>0.58962962962962961</v>
      </c>
      <c r="L993" s="16">
        <v>45233</v>
      </c>
      <c r="M993" s="18">
        <f>HOUR(orders!$K993)</f>
        <v>14</v>
      </c>
      <c r="N993" s="16" t="str">
        <f t="shared" si="77"/>
        <v>November</v>
      </c>
      <c r="O993" s="17">
        <v>0.81434027777777773</v>
      </c>
      <c r="P993" s="17" t="str">
        <f>_xlfn.XLOOKUP(B993,[2]customers!$A$2:$A$101,[2]customers!$C$2:$C$101)</f>
        <v>New Delhi</v>
      </c>
      <c r="Q993" s="14" t="s">
        <v>122</v>
      </c>
      <c r="R993" s="14" t="s">
        <v>15</v>
      </c>
      <c r="S993" s="15">
        <f t="shared" si="78"/>
        <v>2250</v>
      </c>
      <c r="T993" s="19">
        <f t="shared" si="79"/>
        <v>1</v>
      </c>
    </row>
    <row r="994" spans="1:20" x14ac:dyDescent="0.3">
      <c r="A994" s="20">
        <v>993</v>
      </c>
      <c r="B994" s="20" t="s">
        <v>167</v>
      </c>
      <c r="C994" s="20">
        <v>61</v>
      </c>
      <c r="D994" s="20" t="s">
        <v>464</v>
      </c>
      <c r="E994" s="20" t="s">
        <v>447</v>
      </c>
      <c r="F994" s="20">
        <v>5</v>
      </c>
      <c r="G994" s="21">
        <f>_xlfn.XLOOKUP(C994,[1]products!$A$2:$A$71,[1]products!$D$2:$D$71)</f>
        <v>810</v>
      </c>
      <c r="H994" s="22">
        <v>45207</v>
      </c>
      <c r="I994" s="22" t="str">
        <f t="shared" si="75"/>
        <v>October</v>
      </c>
      <c r="J994" s="22" t="str">
        <f t="shared" si="76"/>
        <v>Sunday</v>
      </c>
      <c r="K994" s="23">
        <v>0.89868055555555559</v>
      </c>
      <c r="L994" s="22">
        <v>45213</v>
      </c>
      <c r="M994" s="24">
        <f>HOUR(orders!$K994)</f>
        <v>21</v>
      </c>
      <c r="N994" s="22" t="str">
        <f t="shared" si="77"/>
        <v>October</v>
      </c>
      <c r="O994" s="23">
        <v>0.66386574074074078</v>
      </c>
      <c r="P994" s="23" t="str">
        <f>_xlfn.XLOOKUP(B994,[2]customers!$A$2:$A$101,[2]customers!$C$2:$C$101)</f>
        <v>Ahmednagar</v>
      </c>
      <c r="Q994" s="20" t="s">
        <v>173</v>
      </c>
      <c r="R994" s="20" t="s">
        <v>12</v>
      </c>
      <c r="S994" s="21">
        <f t="shared" si="78"/>
        <v>4050</v>
      </c>
      <c r="T994" s="25">
        <f t="shared" si="79"/>
        <v>6</v>
      </c>
    </row>
    <row r="995" spans="1:20" x14ac:dyDescent="0.3">
      <c r="A995" s="14">
        <v>994</v>
      </c>
      <c r="B995" s="14" t="s">
        <v>251</v>
      </c>
      <c r="C995" s="14">
        <v>68</v>
      </c>
      <c r="D995" s="14" t="s">
        <v>494</v>
      </c>
      <c r="E995" s="14" t="s">
        <v>445</v>
      </c>
      <c r="F995" s="14">
        <v>2</v>
      </c>
      <c r="G995" s="15">
        <f>_xlfn.XLOOKUP(C995,[1]products!$A$2:$A$71,[1]products!$D$2:$D$71)</f>
        <v>597</v>
      </c>
      <c r="H995" s="16">
        <v>44970</v>
      </c>
      <c r="I995" s="16" t="str">
        <f t="shared" si="75"/>
        <v>February</v>
      </c>
      <c r="J995" s="16" t="str">
        <f t="shared" si="76"/>
        <v>Monday</v>
      </c>
      <c r="K995" s="17">
        <v>0.94763888888888881</v>
      </c>
      <c r="L995" s="16">
        <v>44978</v>
      </c>
      <c r="M995" s="18">
        <f>HOUR(orders!$K995)</f>
        <v>22</v>
      </c>
      <c r="N995" s="16" t="str">
        <f t="shared" si="77"/>
        <v>February</v>
      </c>
      <c r="O995" s="17">
        <v>0.28159722222222222</v>
      </c>
      <c r="P995" s="17" t="str">
        <f>_xlfn.XLOOKUP(B995,[2]customers!$A$2:$A$101,[2]customers!$C$2:$C$101)</f>
        <v>Miryalaguda</v>
      </c>
      <c r="Q995" s="14" t="s">
        <v>416</v>
      </c>
      <c r="R995" s="14" t="s">
        <v>23</v>
      </c>
      <c r="S995" s="15">
        <f t="shared" si="78"/>
        <v>1194</v>
      </c>
      <c r="T995" s="19">
        <f t="shared" si="79"/>
        <v>8</v>
      </c>
    </row>
    <row r="996" spans="1:20" x14ac:dyDescent="0.3">
      <c r="A996" s="20">
        <v>995</v>
      </c>
      <c r="B996" s="20" t="s">
        <v>253</v>
      </c>
      <c r="C996" s="20">
        <v>57</v>
      </c>
      <c r="D996" s="20" t="s">
        <v>488</v>
      </c>
      <c r="E996" s="20" t="s">
        <v>429</v>
      </c>
      <c r="F996" s="20">
        <v>2</v>
      </c>
      <c r="G996" s="21">
        <f>_xlfn.XLOOKUP(C996,[1]products!$A$2:$A$71,[1]products!$D$2:$D$71)</f>
        <v>1582</v>
      </c>
      <c r="H996" s="22">
        <v>45127</v>
      </c>
      <c r="I996" s="22" t="str">
        <f t="shared" si="75"/>
        <v>July</v>
      </c>
      <c r="J996" s="22" t="str">
        <f t="shared" si="76"/>
        <v>Thursday</v>
      </c>
      <c r="K996" s="23">
        <v>2.8217592592592589E-2</v>
      </c>
      <c r="L996" s="22">
        <v>45134</v>
      </c>
      <c r="M996" s="24">
        <f>HOUR(orders!$K996)</f>
        <v>0</v>
      </c>
      <c r="N996" s="22" t="str">
        <f t="shared" si="77"/>
        <v>July</v>
      </c>
      <c r="O996" s="23">
        <v>0.48753472222222222</v>
      </c>
      <c r="P996" s="23" t="str">
        <f>_xlfn.XLOOKUP(B996,[2]customers!$A$2:$A$101,[2]customers!$C$2:$C$101)</f>
        <v>Nellore</v>
      </c>
      <c r="Q996" s="20" t="s">
        <v>306</v>
      </c>
      <c r="R996" s="20" t="s">
        <v>20</v>
      </c>
      <c r="S996" s="21">
        <f t="shared" si="78"/>
        <v>3164</v>
      </c>
      <c r="T996" s="25">
        <f t="shared" si="79"/>
        <v>7</v>
      </c>
    </row>
    <row r="997" spans="1:20" x14ac:dyDescent="0.3">
      <c r="A997" s="14">
        <v>996</v>
      </c>
      <c r="B997" s="14" t="s">
        <v>112</v>
      </c>
      <c r="C997" s="14">
        <v>25</v>
      </c>
      <c r="D997" s="14" t="s">
        <v>471</v>
      </c>
      <c r="E997" s="14" t="s">
        <v>447</v>
      </c>
      <c r="F997" s="14">
        <v>5</v>
      </c>
      <c r="G997" s="15">
        <f>_xlfn.XLOOKUP(C997,[1]products!$A$2:$A$71,[1]products!$D$2:$D$71)</f>
        <v>1202</v>
      </c>
      <c r="H997" s="16">
        <v>45059</v>
      </c>
      <c r="I997" s="16" t="str">
        <f t="shared" si="75"/>
        <v>May</v>
      </c>
      <c r="J997" s="16" t="str">
        <f t="shared" si="76"/>
        <v>Saturday</v>
      </c>
      <c r="K997" s="17">
        <v>0.2882986111111111</v>
      </c>
      <c r="L997" s="16">
        <v>45065</v>
      </c>
      <c r="M997" s="18">
        <f>HOUR(orders!$K997)</f>
        <v>6</v>
      </c>
      <c r="N997" s="16" t="str">
        <f t="shared" si="77"/>
        <v>May</v>
      </c>
      <c r="O997" s="17">
        <v>0.23703703703703705</v>
      </c>
      <c r="P997" s="17" t="str">
        <f>_xlfn.XLOOKUP(B997,[2]customers!$A$2:$A$101,[2]customers!$C$2:$C$101)</f>
        <v>Panchkula</v>
      </c>
      <c r="Q997" s="14" t="s">
        <v>87</v>
      </c>
      <c r="R997" s="14" t="s">
        <v>12</v>
      </c>
      <c r="S997" s="15">
        <f t="shared" si="78"/>
        <v>6010</v>
      </c>
      <c r="T997" s="19">
        <f t="shared" si="79"/>
        <v>6</v>
      </c>
    </row>
    <row r="998" spans="1:20" x14ac:dyDescent="0.3">
      <c r="A998" s="20">
        <v>997</v>
      </c>
      <c r="B998" s="20" t="s">
        <v>264</v>
      </c>
      <c r="C998" s="20">
        <v>19</v>
      </c>
      <c r="D998" s="20" t="s">
        <v>457</v>
      </c>
      <c r="E998" s="20" t="s">
        <v>458</v>
      </c>
      <c r="F998" s="20">
        <v>2</v>
      </c>
      <c r="G998" s="21">
        <f>_xlfn.XLOOKUP(C998,[1]products!$A$2:$A$71,[1]products!$D$2:$D$71)</f>
        <v>1234</v>
      </c>
      <c r="H998" s="22">
        <v>44961</v>
      </c>
      <c r="I998" s="22" t="str">
        <f t="shared" si="75"/>
        <v>February</v>
      </c>
      <c r="J998" s="22" t="str">
        <f t="shared" si="76"/>
        <v>Saturday</v>
      </c>
      <c r="K998" s="23">
        <v>0.18642361111111114</v>
      </c>
      <c r="L998" s="22">
        <v>44967</v>
      </c>
      <c r="M998" s="24">
        <f>HOUR(orders!$K998)</f>
        <v>4</v>
      </c>
      <c r="N998" s="22" t="str">
        <f t="shared" si="77"/>
        <v>February</v>
      </c>
      <c r="O998" s="23">
        <v>0.49333333333333335</v>
      </c>
      <c r="P998" s="23" t="str">
        <f>_xlfn.XLOOKUP(B998,[2]customers!$A$2:$A$101,[2]customers!$C$2:$C$101)</f>
        <v>Cuttack</v>
      </c>
      <c r="Q998" s="20" t="s">
        <v>404</v>
      </c>
      <c r="R998" s="20" t="s">
        <v>23</v>
      </c>
      <c r="S998" s="21">
        <f t="shared" si="78"/>
        <v>2468</v>
      </c>
      <c r="T998" s="25">
        <f t="shared" si="79"/>
        <v>6</v>
      </c>
    </row>
    <row r="999" spans="1:20" x14ac:dyDescent="0.3">
      <c r="A999" s="14">
        <v>998</v>
      </c>
      <c r="B999" s="14" t="s">
        <v>88</v>
      </c>
      <c r="C999" s="14">
        <v>44</v>
      </c>
      <c r="D999" s="14" t="s">
        <v>470</v>
      </c>
      <c r="E999" s="14" t="s">
        <v>447</v>
      </c>
      <c r="F999" s="14">
        <v>1</v>
      </c>
      <c r="G999" s="15">
        <f>_xlfn.XLOOKUP(C999,[1]products!$A$2:$A$71,[1]products!$D$2:$D$71)</f>
        <v>794</v>
      </c>
      <c r="H999" s="16">
        <v>45236</v>
      </c>
      <c r="I999" s="16" t="str">
        <f t="shared" si="75"/>
        <v>November</v>
      </c>
      <c r="J999" s="16" t="str">
        <f t="shared" si="76"/>
        <v>Monday</v>
      </c>
      <c r="K999" s="17">
        <v>0.67859953703703713</v>
      </c>
      <c r="L999" s="16">
        <v>45244</v>
      </c>
      <c r="M999" s="18">
        <f>HOUR(orders!$K999)</f>
        <v>16</v>
      </c>
      <c r="N999" s="16" t="str">
        <f t="shared" si="77"/>
        <v>November</v>
      </c>
      <c r="O999" s="17">
        <v>0.18987268518518519</v>
      </c>
      <c r="P999" s="17" t="str">
        <f>_xlfn.XLOOKUP(B999,[2]customers!$A$2:$A$101,[2]customers!$C$2:$C$101)</f>
        <v>Guna</v>
      </c>
      <c r="Q999" s="14" t="s">
        <v>303</v>
      </c>
      <c r="R999" s="14" t="s">
        <v>15</v>
      </c>
      <c r="S999" s="15">
        <f t="shared" si="78"/>
        <v>794</v>
      </c>
      <c r="T999" s="19">
        <f t="shared" si="79"/>
        <v>8</v>
      </c>
    </row>
    <row r="1000" spans="1:20" x14ac:dyDescent="0.3">
      <c r="A1000" s="20">
        <v>999</v>
      </c>
      <c r="B1000" s="20" t="s">
        <v>54</v>
      </c>
      <c r="C1000" s="20">
        <v>52</v>
      </c>
      <c r="D1000" s="20" t="s">
        <v>443</v>
      </c>
      <c r="E1000" s="20" t="s">
        <v>26</v>
      </c>
      <c r="F1000" s="20">
        <v>2</v>
      </c>
      <c r="G1000" s="21">
        <f>_xlfn.XLOOKUP(C1000,[1]products!$A$2:$A$71,[1]products!$D$2:$D$71)</f>
        <v>236</v>
      </c>
      <c r="H1000" s="22">
        <v>44963</v>
      </c>
      <c r="I1000" s="22" t="str">
        <f t="shared" si="75"/>
        <v>February</v>
      </c>
      <c r="J1000" s="22" t="str">
        <f t="shared" si="76"/>
        <v>Monday</v>
      </c>
      <c r="K1000" s="23">
        <v>0.9450115740740741</v>
      </c>
      <c r="L1000" s="22">
        <v>44967</v>
      </c>
      <c r="M1000" s="24">
        <f>HOUR(orders!$K1000)</f>
        <v>22</v>
      </c>
      <c r="N1000" s="22" t="str">
        <f t="shared" si="77"/>
        <v>February</v>
      </c>
      <c r="O1000" s="23">
        <v>0.52038194444444441</v>
      </c>
      <c r="P1000" s="23" t="str">
        <f>_xlfn.XLOOKUP(B1000,[2]customers!$A$2:$A$101,[2]customers!$C$2:$C$101)</f>
        <v>Bidhannagar</v>
      </c>
      <c r="Q1000" s="20" t="s">
        <v>417</v>
      </c>
      <c r="R1000" s="20" t="s">
        <v>23</v>
      </c>
      <c r="S1000" s="21">
        <f t="shared" si="78"/>
        <v>472</v>
      </c>
      <c r="T1000" s="25">
        <f t="shared" si="79"/>
        <v>4</v>
      </c>
    </row>
    <row r="1001" spans="1:20" x14ac:dyDescent="0.3">
      <c r="A1001" s="14">
        <v>1000</v>
      </c>
      <c r="B1001" s="14" t="s">
        <v>18</v>
      </c>
      <c r="C1001" s="14">
        <v>27</v>
      </c>
      <c r="D1001" s="14" t="s">
        <v>435</v>
      </c>
      <c r="E1001" s="14" t="s">
        <v>431</v>
      </c>
      <c r="F1001" s="14">
        <v>4</v>
      </c>
      <c r="G1001" s="15">
        <f>_xlfn.XLOOKUP(C1001,[1]products!$A$2:$A$71,[1]products!$D$2:$D$71)</f>
        <v>548</v>
      </c>
      <c r="H1001" s="16">
        <v>45163</v>
      </c>
      <c r="I1001" s="16" t="str">
        <f t="shared" si="75"/>
        <v>August</v>
      </c>
      <c r="J1001" s="16" t="str">
        <f t="shared" si="76"/>
        <v>Friday</v>
      </c>
      <c r="K1001" s="17">
        <v>5.7442129629629628E-2</v>
      </c>
      <c r="L1001" s="16">
        <v>45169</v>
      </c>
      <c r="M1001" s="18">
        <f>HOUR(orders!$K1001)</f>
        <v>1</v>
      </c>
      <c r="N1001" s="16" t="str">
        <f t="shared" si="77"/>
        <v>August</v>
      </c>
      <c r="O1001" s="17">
        <v>0.29026620370370371</v>
      </c>
      <c r="P1001" s="17" t="str">
        <f>_xlfn.XLOOKUP(B1001,[2]customers!$A$2:$A$101,[2]customers!$C$2:$C$101)</f>
        <v>Bilaspur</v>
      </c>
      <c r="Q1001" s="14" t="s">
        <v>310</v>
      </c>
      <c r="R1001" s="14" t="s">
        <v>26</v>
      </c>
      <c r="S1001" s="15">
        <f t="shared" si="78"/>
        <v>2192</v>
      </c>
      <c r="T1001" s="19">
        <f t="shared" si="79"/>
        <v>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FNP Sales Analysis</vt:lpstr>
      <vt:lpstr>Pivot</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Pal</dc:creator>
  <cp:lastModifiedBy>Abhishek Pal</cp:lastModifiedBy>
  <dcterms:created xsi:type="dcterms:W3CDTF">2026-01-16T19:19:53Z</dcterms:created>
  <dcterms:modified xsi:type="dcterms:W3CDTF">2026-01-16T19:20:17Z</dcterms:modified>
</cp:coreProperties>
</file>